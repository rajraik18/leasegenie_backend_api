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xl/pivotTables/pivotTable1.xml" ContentType="application/vnd.openxmlformats-officedocument.spreadsheetml.pivot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claude\LA sample\"/>
    </mc:Choice>
  </mc:AlternateContent>
  <xr:revisionPtr revIDLastSave="0" documentId="13_ncr:1_{2ABE50ED-7BA4-4758-8356-8BFEB2220841}" xr6:coauthVersionLast="47" xr6:coauthVersionMax="47" xr10:uidLastSave="{00000000-0000-0000-0000-000000000000}"/>
  <bookViews>
    <workbookView xWindow="-120" yWindow="-120" windowWidth="29040" windowHeight="15720" tabRatio="879" firstSheet="7" activeTab="7" xr2:uid="{CF15BE45-CCA4-4430-B201-9EDC4F57AC27}"/>
  </bookViews>
  <sheets>
    <sheet name="Project Status" sheetId="26" state="hidden" r:id="rId1"/>
    <sheet name="Bulk Doc Upload UI" sheetId="22" state="hidden" r:id="rId2"/>
    <sheet name="Unique Fields" sheetId="8" state="hidden" r:id="rId3"/>
    <sheet name="Property_Type" sheetId="14" state="hidden" r:id="rId4"/>
    <sheet name="Output_Type" sheetId="15" state="hidden" r:id="rId5"/>
    <sheet name="Keywords_Mapping" sheetId="16" state="hidden" r:id="rId6"/>
    <sheet name="Sheet2" sheetId="27" state="hidden" r:id="rId7"/>
    <sheet name="Questions" sheetId="32" r:id="rId8"/>
    <sheet name="Process Flow Chart" sheetId="28" state="hidden" r:id="rId9"/>
    <sheet name="Lease Review" sheetId="29" state="hidden" r:id="rId10"/>
    <sheet name="Sheet1" sheetId="17" state="hidden" r:id="rId11"/>
  </sheets>
  <definedNames>
    <definedName name="\" localSheetId="7" hidden="1">{#N/A,#N/A,TRUE,"Cap Budget";#N/A,#N/A,TRUE,"Sources &amp; Uses";#N/A,#N/A,TRUE,"All Closing Disbursements";#N/A,#N/A,TRUE,"Title Co Instructions";#N/A,#N/A,TRUE,"Title Co  - Tranche A";#N/A,#N/A,TRUE,"Title Co - Tranche B";#N/A,#N/A,TRUE,"Lender Summary";#N/A,#N/A,TRUE,"Lender Summary- Tranche A";#N/A,#N/A,TRUE,"Lender - Tranche B";#N/A,#N/A,TRUE,"Closing Prorations";#N/A,#N/A,TRUE,"JV &amp; PWREF Wire Transfers";#N/A,#N/A,TRUE,"Cost Aggregation";#N/A,#N/A,TRUE,"Escrow Accounts";#N/A,#N/A,TRUE,"Inputs"}</definedName>
    <definedName name="\" hidden="1">{#N/A,#N/A,TRUE,"Cap Budget";#N/A,#N/A,TRUE,"Sources &amp; Uses";#N/A,#N/A,TRUE,"All Closing Disbursements";#N/A,#N/A,TRUE,"Title Co Instructions";#N/A,#N/A,TRUE,"Title Co  - Tranche A";#N/A,#N/A,TRUE,"Title Co - Tranche B";#N/A,#N/A,TRUE,"Lender Summary";#N/A,#N/A,TRUE,"Lender Summary- Tranche A";#N/A,#N/A,TRUE,"Lender - Tranche B";#N/A,#N/A,TRUE,"Closing Prorations";#N/A,#N/A,TRUE,"JV &amp; PWREF Wire Transfers";#N/A,#N/A,TRUE,"Cost Aggregation";#N/A,#N/A,TRUE,"Escrow Accounts";#N/A,#N/A,TRUE,"Inputs"}</definedName>
    <definedName name="\0">#REF!</definedName>
    <definedName name="\A">#REF!</definedName>
    <definedName name="\b">#REF!</definedName>
    <definedName name="\C">#REF!</definedName>
    <definedName name="\D">#REF!</definedName>
    <definedName name="\E">#REF!</definedName>
    <definedName name="\G">#REF!</definedName>
    <definedName name="\H">#REF!</definedName>
    <definedName name="\I">#REF!</definedName>
    <definedName name="\J">#REF!</definedName>
    <definedName name="\L">#REF!</definedName>
    <definedName name="\P">#REF!</definedName>
    <definedName name="\Q">#REF!</definedName>
    <definedName name="\W">#REF!</definedName>
    <definedName name="\x">#REF!</definedName>
    <definedName name="______a1" localSheetId="7" hidden="1">{"Assump",#N/A,TRUE,"Proforma";"first",#N/A,TRUE,"Proforma";"second",#N/A,TRUE,"Proforma";"lease1",#N/A,TRUE,"Proforma";"lease2",#N/A,TRUE,"Proforma"}</definedName>
    <definedName name="______a1" hidden="1">{"Assump",#N/A,TRUE,"Proforma";"first",#N/A,TRUE,"Proforma";"second",#N/A,TRUE,"Proforma";"lease1",#N/A,TRUE,"Proforma";"lease2",#N/A,TRUE,"Proforma"}</definedName>
    <definedName name="_____a1" localSheetId="7" hidden="1">{"Assump",#N/A,TRUE,"Proforma";"first",#N/A,TRUE,"Proforma";"second",#N/A,TRUE,"Proforma";"lease1",#N/A,TRUE,"Proforma";"lease2",#N/A,TRUE,"Proforma"}</definedName>
    <definedName name="_____a1" hidden="1">{"Assump",#N/A,TRUE,"Proforma";"first",#N/A,TRUE,"Proforma";"second",#N/A,TRUE,"Proforma";"lease1",#N/A,TRUE,"Proforma";"lease2",#N/A,TRUE,"Proforma"}</definedName>
    <definedName name="_____al1" localSheetId="7" hidden="1">{"sheet a",#N/A,FALSE,"A";"sheet b 1",#N/A,FALSE,"B";"sheet b 2",#N/A,FALSE,"B"}</definedName>
    <definedName name="_____al1" hidden="1">{"sheet a",#N/A,FALSE,"A";"sheet b 1",#N/A,FALSE,"B";"sheet b 2",#N/A,FALSE,"B"}</definedName>
    <definedName name="____a1" localSheetId="7" hidden="1">{"Assump",#N/A,TRUE,"Proforma";"first",#N/A,TRUE,"Proforma";"second",#N/A,TRUE,"Proforma";"lease1",#N/A,TRUE,"Proforma";"lease2",#N/A,TRUE,"Proforma"}</definedName>
    <definedName name="____a1" hidden="1">{"Assump",#N/A,TRUE,"Proforma";"first",#N/A,TRUE,"Proforma";"second",#N/A,TRUE,"Proforma";"lease1",#N/A,TRUE,"Proforma";"lease2",#N/A,TRUE,"Proforma"}</definedName>
    <definedName name="____al1" localSheetId="7" hidden="1">{"sheet a",#N/A,FALSE,"A";"sheet b 1",#N/A,FALSE,"B";"sheet b 2",#N/A,FALSE,"B"}</definedName>
    <definedName name="____al1" hidden="1">{"sheet a",#N/A,FALSE,"A";"sheet b 1",#N/A,FALSE,"B";"sheet b 2",#N/A,FALSE,"B"}</definedName>
    <definedName name="____old2" hidden="1">{#N/A,#N/A,FALSE,"Summary";#N/A,#N/A,FALSE,"Buckets";#N/A,#N/A,FALSE,"Northstar";#N/A,#N/A,FALSE,"Comp"}</definedName>
    <definedName name="____old3" hidden="1">{#N/A,#N/A,FALSE,"Emmes Services";#N/A,#N/A,FALSE,"Emmes Capital";#N/A,#N/A,FALSE,"Emmes &amp; Co"}</definedName>
    <definedName name="____old4" hidden="1">{#N/A,#N/A,FALSE,"Summary";#N/A,#N/A,FALSE,"Buckets";#N/A,#N/A,FALSE,"Northstar";#N/A,#N/A,FALSE,"Comp"}</definedName>
    <definedName name="____old5" hidden="1">{#N/A,#N/A,FALSE,"Emmes Services";#N/A,#N/A,FALSE,"Emmes Capital";#N/A,#N/A,FALSE,"Emmes &amp; Co"}</definedName>
    <definedName name="____old6" hidden="1">{#N/A,#N/A,FALSE,"Summary";#N/A,#N/A,FALSE,"Buckets";#N/A,#N/A,FALSE,"Northstar";#N/A,#N/A,FALSE,"Comp"}</definedName>
    <definedName name="___1">#REF!</definedName>
    <definedName name="___a1" localSheetId="7" hidden="1">{"Assump",#N/A,TRUE,"Proforma";"first",#N/A,TRUE,"Proforma";"second",#N/A,TRUE,"Proforma";"lease1",#N/A,TRUE,"Proforma";"lease2",#N/A,TRUE,"Proforma"}</definedName>
    <definedName name="___a1" hidden="1">{"Assump",#N/A,TRUE,"Proforma";"first",#N/A,TRUE,"Proforma";"second",#N/A,TRUE,"Proforma";"lease1",#N/A,TRUE,"Proforma";"lease2",#N/A,TRUE,"Proforma"}</definedName>
    <definedName name="___al1" localSheetId="7" hidden="1">{"sheet a",#N/A,FALSE,"A";"sheet b 1",#N/A,FALSE,"B";"sheet b 2",#N/A,FALSE,"B"}</definedName>
    <definedName name="___al1" hidden="1">{"sheet a",#N/A,FALSE,"A";"sheet b 1",#N/A,FALSE,"B";"sheet b 2",#N/A,FALSE,"B"}</definedName>
    <definedName name="___old2" hidden="1">{#N/A,#N/A,FALSE,"Summary";#N/A,#N/A,FALSE,"Buckets";#N/A,#N/A,FALSE,"Northstar";#N/A,#N/A,FALSE,"Comp"}</definedName>
    <definedName name="___old3" hidden="1">{#N/A,#N/A,FALSE,"Emmes Services";#N/A,#N/A,FALSE,"Emmes Capital";#N/A,#N/A,FALSE,"Emmes &amp; Co"}</definedName>
    <definedName name="___old4" hidden="1">{#N/A,#N/A,FALSE,"Summary";#N/A,#N/A,FALSE,"Buckets";#N/A,#N/A,FALSE,"Northstar";#N/A,#N/A,FALSE,"Comp"}</definedName>
    <definedName name="___old5" hidden="1">{#N/A,#N/A,FALSE,"Emmes Services";#N/A,#N/A,FALSE,"Emmes Capital";#N/A,#N/A,FALSE,"Emmes &amp; Co"}</definedName>
    <definedName name="___old6" hidden="1">{#N/A,#N/A,FALSE,"Summary";#N/A,#N/A,FALSE,"Buckets";#N/A,#N/A,FALSE,"Northstar";#N/A,#N/A,FALSE,"Comp"}</definedName>
    <definedName name="__1">#REF!</definedName>
    <definedName name="__123Graph_A" hidden="1">#REF!</definedName>
    <definedName name="__123Graph_B" hidden="1">#REF!</definedName>
    <definedName name="__123Graph_D" hidden="1">#REF!</definedName>
    <definedName name="__123Graph_E" hidden="1">#REF!</definedName>
    <definedName name="__123Graph_F" hidden="1">#REF!</definedName>
    <definedName name="__123Graph_X" hidden="1">#REF!</definedName>
    <definedName name="__a1" localSheetId="7" hidden="1">{"Assump",#N/A,TRUE,"Proforma";"first",#N/A,TRUE,"Proforma";"second",#N/A,TRUE,"Proforma";"lease1",#N/A,TRUE,"Proforma";"lease2",#N/A,TRUE,"Proforma"}</definedName>
    <definedName name="__a1" hidden="1">{"Assump",#N/A,TRUE,"Proforma";"first",#N/A,TRUE,"Proforma";"second",#N/A,TRUE,"Proforma";"lease1",#N/A,TRUE,"Proforma";"lease2",#N/A,TRUE,"Proforma"}</definedName>
    <definedName name="__al1" localSheetId="7" hidden="1">{"sheet a",#N/A,FALSE,"A";"sheet b 1",#N/A,FALSE,"B";"sheet b 2",#N/A,FALSE,"B"}</definedName>
    <definedName name="__al1" hidden="1">{"sheet a",#N/A,FALSE,"A";"sheet b 1",#N/A,FALSE,"B";"sheet b 2",#N/A,FALSE,"B"}</definedName>
    <definedName name="__FDS_HYPERLINK_TOGGLE_STATE__" hidden="1">"ON"</definedName>
    <definedName name="__INC1">#N/A</definedName>
    <definedName name="__INC2">#N/A</definedName>
    <definedName name="__INC3">#N/A</definedName>
    <definedName name="__IntlFixup" hidden="1">TRUE</definedName>
    <definedName name="__mg3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__old2" hidden="1">{#N/A,#N/A,FALSE,"Summary";#N/A,#N/A,FALSE,"Buckets";#N/A,#N/A,FALSE,"Northstar";#N/A,#N/A,FALSE,"Comp"}</definedName>
    <definedName name="__old3" hidden="1">{#N/A,#N/A,FALSE,"Emmes Services";#N/A,#N/A,FALSE,"Emmes Capital";#N/A,#N/A,FALSE,"Emmes &amp; Co"}</definedName>
    <definedName name="__old4" hidden="1">{#N/A,#N/A,FALSE,"Summary";#N/A,#N/A,FALSE,"Buckets";#N/A,#N/A,FALSE,"Northstar";#N/A,#N/A,FALSE,"Comp"}</definedName>
    <definedName name="__old5" hidden="1">{#N/A,#N/A,FALSE,"Emmes Services";#N/A,#N/A,FALSE,"Emmes Capital";#N/A,#N/A,FALSE,"Emmes &amp; Co"}</definedName>
    <definedName name="__old6" hidden="1">{#N/A,#N/A,FALSE,"Summary";#N/A,#N/A,FALSE,"Buckets";#N/A,#N/A,FALSE,"Northstar";#N/A,#N/A,FALSE,"Comp"}</definedName>
    <definedName name="_1">#REF!</definedName>
    <definedName name="_1AO_Fixed_________.rdwr">#REF!,#REF!</definedName>
    <definedName name="_1ƒ0ACwvu.Sommai" hidden="1">#REF!,#REF!,#REF!,#REF!,#REF!,#REF!</definedName>
    <definedName name="_2">#REF!</definedName>
    <definedName name="_2ƒ0Swvu.Sommai" hidden="1">#REF!,#REF!,#REF!,#REF!,#REF!,#REF!</definedName>
    <definedName name="_3">#REF!</definedName>
    <definedName name="_3p0Rwvu.Sommai" hidden="1">#REF!,#REF!,#REF!,#REF!,#REF!</definedName>
    <definedName name="_4">#N/A</definedName>
    <definedName name="_a1" localSheetId="7" hidden="1">{"Assump",#N/A,TRUE,"Proforma";"first",#N/A,TRUE,"Proforma";"second",#N/A,TRUE,"Proforma";"lease1",#N/A,TRUE,"Proforma";"lease2",#N/A,TRUE,"Proforma"}</definedName>
    <definedName name="_a1" hidden="1">{"Assump",#N/A,TRUE,"Proforma";"first",#N/A,TRUE,"Proforma";"second",#N/A,TRUE,"Proforma";"lease1",#N/A,TRUE,"Proforma";"lease2",#N/A,TRUE,"Proforma"}</definedName>
    <definedName name="_a2" localSheetId="7" hidden="1">{"sheet a",#N/A,FALSE,"A";"2 9 casflow",#N/A,FALSE,"B"}</definedName>
    <definedName name="_a2" hidden="1">{"sheet a",#N/A,FALSE,"A";"2 9 casflow",#N/A,FALSE,"B"}</definedName>
    <definedName name="_al1" localSheetId="7" hidden="1">{"sheet a",#N/A,FALSE,"A";"sheet b 1",#N/A,FALSE,"B";"sheet b 2",#N/A,FALSE,"B"}</definedName>
    <definedName name="_al1" hidden="1">{"sheet a",#N/A,FALSE,"A";"sheet b 1",#N/A,FALSE,"B";"sheet b 2",#N/A,FALSE,"B"}</definedName>
    <definedName name="_con1">#REF!</definedName>
    <definedName name="_con10">#REF!</definedName>
    <definedName name="_con2">#REF!</definedName>
    <definedName name="_con3">#REF!</definedName>
    <definedName name="_con4">#REF!</definedName>
    <definedName name="_con5">#REF!</definedName>
    <definedName name="_con6">#REF!</definedName>
    <definedName name="_con7">#REF!</definedName>
    <definedName name="_con8">#REF!</definedName>
    <definedName name="_con9">#REF!</definedName>
    <definedName name="_Fill" hidden="1">#REF!</definedName>
    <definedName name="_Fill1" hidden="1">#REF!</definedName>
    <definedName name="_xlnm._FilterDatabase" localSheetId="7" hidden="1">Questions!$B$3:$G$3</definedName>
    <definedName name="_xlnm._FilterDatabase" localSheetId="10" hidden="1">Sheet1!$J$3:$P$151</definedName>
    <definedName name="_xlnm._FilterDatabase" localSheetId="2" hidden="1">'Unique Fields'!$I$79:$J$150</definedName>
    <definedName name="_FL" hidden="1">#REF!</definedName>
    <definedName name="_fx2" hidden="1">#REF!</definedName>
    <definedName name="_G">#REF!</definedName>
    <definedName name="_INC1">#N/A</definedName>
    <definedName name="_INC2">#N/A</definedName>
    <definedName name="_INC3">#N/A</definedName>
    <definedName name="_Inf1">#REF!</definedName>
    <definedName name="_Inf2">#REF!</definedName>
    <definedName name="_Inf3">#REF!</definedName>
    <definedName name="_Inf4">#REF!</definedName>
    <definedName name="_Inf5">#REF!</definedName>
    <definedName name="_Int1">#REF!</definedName>
    <definedName name="_Int2">#REF!</definedName>
    <definedName name="_J">#REF!</definedName>
    <definedName name="_Key1" hidden="1">#REF!</definedName>
    <definedName name="_Key2" hidden="1">#REF!</definedName>
    <definedName name="_L">#REF!</definedName>
    <definedName name="_mg3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_old2" hidden="1">{#N/A,#N/A,FALSE,"Summary";#N/A,#N/A,FALSE,"Buckets";#N/A,#N/A,FALSE,"Northstar";#N/A,#N/A,FALSE,"Comp"}</definedName>
    <definedName name="_old3" hidden="1">{#N/A,#N/A,FALSE,"Emmes Services";#N/A,#N/A,FALSE,"Emmes Capital";#N/A,#N/A,FALSE,"Emmes &amp; Co"}</definedName>
    <definedName name="_old4" hidden="1">{#N/A,#N/A,FALSE,"Summary";#N/A,#N/A,FALSE,"Buckets";#N/A,#N/A,FALSE,"Northstar";#N/A,#N/A,FALSE,"Comp"}</definedName>
    <definedName name="_old5" hidden="1">{#N/A,#N/A,FALSE,"Emmes Services";#N/A,#N/A,FALSE,"Emmes Capital";#N/A,#N/A,FALSE,"Emmes &amp; Co"}</definedName>
    <definedName name="_old6" hidden="1">{#N/A,#N/A,FALSE,"Summary";#N/A,#N/A,FALSE,"Buckets";#N/A,#N/A,FALSE,"Northstar";#N/A,#N/A,FALSE,"Comp"}</definedName>
    <definedName name="_Order1" hidden="1">255</definedName>
    <definedName name="_Order2" hidden="1">255</definedName>
    <definedName name="_Q">#REF!</definedName>
    <definedName name="_Regression_Out" hidden="1">#REF!</definedName>
    <definedName name="_Regression_X" hidden="1">#REF!</definedName>
    <definedName name="_Regression_Y" hidden="1">#REF!</definedName>
    <definedName name="_Sort" hidden="1">#REF!</definedName>
    <definedName name="_T" hidden="1">#REF!</definedName>
    <definedName name="_Table1_In1" hidden="1">#REF!</definedName>
    <definedName name="_Table1_Out" hidden="1">#REF!</definedName>
    <definedName name="_Table2_In1" hidden="1">#REF!</definedName>
    <definedName name="_Table2_In2" hidden="1">#REF!</definedName>
    <definedName name="_Table2_Out" hidden="1">#REF!</definedName>
    <definedName name="_TL" hidden="1">#REF!</definedName>
    <definedName name="_W">#REF!</definedName>
    <definedName name="_wrn4" localSheetId="7" hidden="1">{"data",#N/A,FALSE,"INPUT"}</definedName>
    <definedName name="_wrn4" hidden="1">{"data",#N/A,FALSE,"INPUT"}</definedName>
    <definedName name="a" localSheetId="7" hidden="1">{"Outflow 1",#N/A,FALSE,"Outflows-Inflows";"Outflow 2",#N/A,FALSE,"Outflows-Inflows";"Inflow 1",#N/A,FALSE,"Outflows-Inflows";"Inflow 2",#N/A,FALSE,"Outflows-Inflows"}</definedName>
    <definedName name="a" hidden="1">{"Outflow 1",#N/A,FALSE,"Outflows-Inflows";"Outflow 2",#N/A,FALSE,"Outflows-Inflows";"Inflow 1",#N/A,FALSE,"Outflows-Inflows";"Inflow 2",#N/A,FALSE,"Outflows-Inflows"}</definedName>
    <definedName name="a1a1" localSheetId="7" hidden="1">{"Assump",#N/A,TRUE,"Proforma";"first",#N/A,TRUE,"Proforma";"second",#N/A,TRUE,"Proforma";"lease1",#N/A,TRUE,"Proforma";"lease2",#N/A,TRUE,"Proforma"}</definedName>
    <definedName name="a1a1" hidden="1">{"Assump",#N/A,TRUE,"Proforma";"first",#N/A,TRUE,"Proforma";"second",#N/A,TRUE,"Proforma";"lease1",#N/A,TRUE,"Proforma";"lease2",#N/A,TRUE,"Proforma"}</definedName>
    <definedName name="aa" localSheetId="7" hidden="1">{"AnnualRentRoll",#N/A,FALSE,"RentRoll"}</definedName>
    <definedName name="aa" hidden="1">{"AnnualRentRoll",#N/A,FALSE,"RentRoll"}</definedName>
    <definedName name="aa.2" localSheetId="7" hidden="1">{#N/A,#N/A,FALSE,"Cashflow Analysis";#N/A,#N/A,FALSE,"Sensitivity Analysis";#N/A,#N/A,FALSE,"PV";#N/A,#N/A,FALSE,"Pro Forma"}</definedName>
    <definedName name="aa.2" hidden="1">{#N/A,#N/A,FALSE,"Cashflow Analysis";#N/A,#N/A,FALSE,"Sensitivity Analysis";#N/A,#N/A,FALSE,"PV";#N/A,#N/A,FALSE,"Pro Forma"}</definedName>
    <definedName name="aaa" localSheetId="7" hidden="1">{"AnnualRentRoll",#N/A,FALSE,"RentRoll"}</definedName>
    <definedName name="aaa" hidden="1">{"AnnualRentRoll",#N/A,FALSE,"RentRoll"}</definedName>
    <definedName name="AAA_DOCTOPS" hidden="1">"AAA_SET"</definedName>
    <definedName name="AAA_duser" hidden="1">"OFF"</definedName>
    <definedName name="aaaaa" localSheetId="7" hidden="1">{"Assump",#N/A,TRUE,"Proforma";"first",#N/A,TRUE,"Proforma";"second",#N/A,TRUE,"Proforma";"lease1",#N/A,TRUE,"Proforma";"lease2",#N/A,TRUE,"Proforma"}</definedName>
    <definedName name="aaaaa" hidden="1">{"Assump",#N/A,TRUE,"Proforma";"first",#N/A,TRUE,"Proforma";"second",#N/A,TRUE,"Proforma";"lease1",#N/A,TRUE,"Proforma";"lease2",#N/A,TRUE,"Proforma"}</definedName>
    <definedName name="aaaaaaa" localSheetId="7" hidden="1">{"Outflow 1",#N/A,FALSE,"Outflows-Inflows";"Outflow 2",#N/A,FALSE,"Outflows-Inflows";"Inflow 1",#N/A,FALSE,"Outflows-Inflows";"Inflow 2",#N/A,FALSE,"Outflows-Inflows"}</definedName>
    <definedName name="aaaaaaa" hidden="1">{"Outflow 1",#N/A,FALSE,"Outflows-Inflows";"Outflow 2",#N/A,FALSE,"Outflows-Inflows";"Inflow 1",#N/A,FALSE,"Outflows-Inflows";"Inflow 2",#N/A,FALSE,"Outflows-Inflows"}</definedName>
    <definedName name="AAB_Addin5" hidden="1">"AAB_Description for addin 5,Description for addin 5,Description for addin 5,Description for addin 5,Description for addin 5,Description for addin 5"</definedName>
    <definedName name="aasdfa" localSheetId="7" hidden="1">{"rtn",#N/A,FALSE,"RTN";"tables",#N/A,FALSE,"RTN";"cf",#N/A,FALSE,"CF";"stats",#N/A,FALSE,"Stats";"prop",#N/A,FALSE,"Prop"}</definedName>
    <definedName name="aasdfa" hidden="1">{"rtn",#N/A,FALSE,"RTN";"tables",#N/A,FALSE,"RTN";"cf",#N/A,FALSE,"CF";"stats",#N/A,FALSE,"Stats";"prop",#N/A,FALSE,"Prop"}</definedName>
    <definedName name="abc" localSheetId="7" hidden="1">{"Construction_Short",#N/A,FALSE,"Construction"}</definedName>
    <definedName name="abc" hidden="1">{"Construction_Short",#N/A,FALSE,"Construction"}</definedName>
    <definedName name="ABSORP___PRICE">#REF!</definedName>
    <definedName name="Absorption_Months">#REF!</definedName>
    <definedName name="Access_Button" hidden="1">"Loan_Front_End_Input_List"</definedName>
    <definedName name="AccessDatabase" hidden="1">"C:\My Documents\DAVE\MODELS\Cash at Risk\Loan Front End.mdb"</definedName>
    <definedName name="AccountIDColumn">#REF!</definedName>
    <definedName name="AccountIDFunnelColumn">#REF!</definedName>
    <definedName name="AccountNameFunnelColumn">#REF!</definedName>
    <definedName name="AccountTypeIDFunnelColumn">#REF!</definedName>
    <definedName name="Accrual">#REF!</definedName>
    <definedName name="AccruedInterest">#REF!</definedName>
    <definedName name="acq_fee">#REF!</definedName>
    <definedName name="AcqFee">#REF!</definedName>
    <definedName name="acquisition_date">#REF!</definedName>
    <definedName name="Acreage_Retail">#REF!</definedName>
    <definedName name="Acreage_Total">#REF!</definedName>
    <definedName name="Acreage_Winery">#REF!</definedName>
    <definedName name="acres">#REF!</definedName>
    <definedName name="act">#REF!</definedName>
    <definedName name="ActBox">#REF!</definedName>
    <definedName name="ActBox2">#REF!</definedName>
    <definedName name="actgSys">#REF!</definedName>
    <definedName name="ACwvu.Sommaire." hidden="1">#REF!,#REF!,#REF!,#REF!,#REF!,#REF!</definedName>
    <definedName name="additional_collateral">#REF!</definedName>
    <definedName name="additional_collateral_date">#REF!</definedName>
    <definedName name="additionalcomp">#REF!</definedName>
    <definedName name="afsdasdf" hidden="1">#REF!,#REF!,#REF!,#REF!,#REF!,#REF!</definedName>
    <definedName name="AfterTaxCurrent">#REF!</definedName>
    <definedName name="AfterTaxIRR10">#REF!</definedName>
    <definedName name="AfterTaxIRR5">#REF!</definedName>
    <definedName name="Al" localSheetId="7" hidden="1">{"sheet a",#N/A,FALSE,"A";"2 9 casflow",#N/A,FALSE,"B"}</definedName>
    <definedName name="Al" hidden="1">{"sheet a",#N/A,FALSE,"A";"2 9 casflow",#N/A,FALSE,"B"}</definedName>
    <definedName name="AllDV01">#REF!</definedName>
    <definedName name="AllPV01">#REF!</definedName>
    <definedName name="Alt">#REF!</definedName>
    <definedName name="Amort">#REF!</definedName>
    <definedName name="amort_year_starting">#REF!</definedName>
    <definedName name="amortization_years">#REF!</definedName>
    <definedName name="amterm">#REF!</definedName>
    <definedName name="AnalysisType">#REF!</definedName>
    <definedName name="AnnualizeTTMFactor">#REF!</definedName>
    <definedName name="anscount" hidden="1">1</definedName>
    <definedName name="AO_Assets.rdwr">#REF!,#REF!</definedName>
    <definedName name="AO_Balance_Sheet.hdr">#REF!,#REF!</definedName>
    <definedName name="AO_Cash_Reconcilation.read">#REF!,#REF!</definedName>
    <definedName name="AO_Cash_Reconciliation.read">#REF!,#REF!</definedName>
    <definedName name="AO_Departmental_Expenses.rdwr">#REF!,#REF!</definedName>
    <definedName name="AO_Equity.rdwr">#REF!,#REF!</definedName>
    <definedName name="AO_Fixed_Expenses.rdwr">#REF!,#REF!</definedName>
    <definedName name="AO_General_Property.rdwr">#REF!,#REF!</definedName>
    <definedName name="AO_Income_Statement.hdr">#REF!,#REF!</definedName>
    <definedName name="AO_Liabilities.rdwr">#REF!,#REF!</definedName>
    <definedName name="AO_Net_Operating_Income.rdwr">#REF!,#REF!</definedName>
    <definedName name="AO_Non_Operating_Expenses.rdwr">#REF!,#REF!</definedName>
    <definedName name="AO_Operating_Expenses.rdwr">#REF!,#REF!</definedName>
    <definedName name="AO_PageHeader.hdr">#REF!,#REF!</definedName>
    <definedName name="AO_PageHeader_Balance_Sheet.hdr">#REF!,#REF!</definedName>
    <definedName name="AO_Revenue.rdwr">#REF!,#REF!</definedName>
    <definedName name="AO_Room_Statistics.rdwr">#REF!,#REF!</definedName>
    <definedName name="AO_Undistributed_Expenses.rdwr">#REF!,#REF!</definedName>
    <definedName name="AppraisalLC">#REF!</definedName>
    <definedName name="AppraisalTI">#REF!</definedName>
    <definedName name="apts">#REF!</definedName>
    <definedName name="Area">#REF!</definedName>
    <definedName name="AreaUnit">#REF!</definedName>
    <definedName name="argus_sheet">#REF!</definedName>
    <definedName name="as" localSheetId="7" hidden="1">{"Outflow 1",#N/A,FALSE,"Outflows-Inflows";"Outflow 2",#N/A,FALSE,"Outflows-Inflows";"Inflow 1",#N/A,FALSE,"Outflows-Inflows";"Inflow 2",#N/A,FALSE,"Outflows-Inflows"}</definedName>
    <definedName name="as" hidden="1">{"Outflow 1",#N/A,FALSE,"Outflows-Inflows";"Outflow 2",#N/A,FALSE,"Outflows-Inflows";"Inflow 1",#N/A,FALSE,"Outflows-Inflows";"Inflow 2",#N/A,FALSE,"Outflows-Inflows"}</definedName>
    <definedName name="asd" hidden="1">#REF!</definedName>
    <definedName name="asdf" localSheetId="7" hidden="1">{"sheet a",#N/A,FALSE,"A";"2 9 casflow",#N/A,FALSE,"B"}</definedName>
    <definedName name="asdf" hidden="1">{"sheet a",#N/A,FALSE,"A";"2 9 casflow",#N/A,FALSE,"B"}</definedName>
    <definedName name="asdfadsf" localSheetId="7" hidden="1">{#N/A,#N/A,FALSE,"Summary";#N/A,#N/A,FALSE,"Program Scheme";#N/A,#N/A,FALSE,"Assumptions";#N/A,#N/A,FALSE,"Development Budget";#N/A,#N/A,FALSE,"Timing";#N/A,#N/A,FALSE,"Development Costs &amp; Revenues";#N/A,#N/A,FALSE,"Cash Flow to Debt &amp; Equity";#N/A,#N/A,FALSE,"Cash Flow to Athena LP"}</definedName>
    <definedName name="asdfadsf" hidden="1">{#N/A,#N/A,FALSE,"Summary";#N/A,#N/A,FALSE,"Program Scheme";#N/A,#N/A,FALSE,"Assumptions";#N/A,#N/A,FALSE,"Development Budget";#N/A,#N/A,FALSE,"Timing";#N/A,#N/A,FALSE,"Development Costs &amp; Revenues";#N/A,#N/A,FALSE,"Cash Flow to Debt &amp; Equity";#N/A,#N/A,FALSE,"Cash Flow to Athena LP"}</definedName>
    <definedName name="asdfas" localSheetId="7" hidden="1">{"print 1.6",#N/A,FALSE,"Sheet1";"print 2.6",#N/A,FALSE,"Sheet1";"print 3.6",#N/A,FALSE,"Sheet1";"print 4.6",#N/A,FALSE,"Sheet1";"print 5.6",#N/A,FALSE,"Sheet1";"print 6.6",#N/A,FALSE,"Sheet1"}</definedName>
    <definedName name="asdfas" hidden="1">{"print 1.6",#N/A,FALSE,"Sheet1";"print 2.6",#N/A,FALSE,"Sheet1";"print 3.6",#N/A,FALSE,"Sheet1";"print 4.6",#N/A,FALSE,"Sheet1";"print 5.6",#N/A,FALSE,"Sheet1";"print 6.6",#N/A,FALSE,"Sheet1"}</definedName>
    <definedName name="asdfasaa" localSheetId="7" hidden="1">{"print 1.6",#N/A,FALSE,"Sheet1";"print 2.6",#N/A,FALSE,"Sheet1";"print 3.6",#N/A,FALSE,"Sheet1";"print 4.6",#N/A,FALSE,"Sheet1";"print 5.6",#N/A,FALSE,"Sheet1";"print 6.6",#N/A,FALSE,"Sheet1"}</definedName>
    <definedName name="asdfasaa" hidden="1">{"print 1.6",#N/A,FALSE,"Sheet1";"print 2.6",#N/A,FALSE,"Sheet1";"print 3.6",#N/A,FALSE,"Sheet1";"print 4.6",#N/A,FALSE,"Sheet1";"print 5.6",#N/A,FALSE,"Sheet1";"print 6.6",#N/A,FALSE,"Sheet1"}</definedName>
    <definedName name="asdfasdf" localSheetId="7" hidden="1">{"rtn",#N/A,FALSE,"RTN";"tables",#N/A,FALSE,"RTN";"cf",#N/A,FALSE,"CF";"stats",#N/A,FALSE,"Stats";"prop",#N/A,FALSE,"Prop"}</definedName>
    <definedName name="asdfasdf" hidden="1">{"rtn",#N/A,FALSE,"RTN";"tables",#N/A,FALSE,"RTN";"cf",#N/A,FALSE,"CF";"stats",#N/A,FALSE,"Stats";"prop",#N/A,FALSE,"Prop"}</definedName>
    <definedName name="asdfg" localSheetId="7" hidden="1">{"rtn",#N/A,FALSE,"RTN";"tables",#N/A,FALSE,"RTN";"cf",#N/A,FALSE,"CF";"stats",#N/A,FALSE,"Stats";"prop",#N/A,FALSE,"Prop"}</definedName>
    <definedName name="asdfg" hidden="1">{"rtn",#N/A,FALSE,"RTN";"tables",#N/A,FALSE,"RTN";"cf",#N/A,FALSE,"CF";"stats",#N/A,FALSE,"Stats";"prop",#N/A,FALSE,"Prop"}</definedName>
    <definedName name="asf" localSheetId="7" hidden="1">{"sheet a",#N/A,FALSE,"A";"sheet b 1",#N/A,FALSE,"B";"sheet b 2",#N/A,FALSE,"B"}</definedName>
    <definedName name="asf" hidden="1">{"sheet a",#N/A,FALSE,"A";"sheet b 1",#N/A,FALSE,"B";"sheet b 2",#N/A,FALSE,"B"}</definedName>
    <definedName name="ass" localSheetId="7" hidden="1">{"print 1.6",#N/A,FALSE,"Sheet1";"print 2.6",#N/A,FALSE,"Sheet1";"print 3.6",#N/A,FALSE,"Sheet1";"print 4.6",#N/A,FALSE,"Sheet1";"print 5.6",#N/A,FALSE,"Sheet1";"print 6.6",#N/A,FALSE,"Sheet1"}</definedName>
    <definedName name="ass" hidden="1">{"print 1.6",#N/A,FALSE,"Sheet1";"print 2.6",#N/A,FALSE,"Sheet1";"print 3.6",#N/A,FALSE,"Sheet1";"print 4.6",#N/A,FALSE,"Sheet1";"print 5.6",#N/A,FALSE,"Sheet1";"print 6.6",#N/A,FALSE,"Sheet1"}</definedName>
    <definedName name="asset_name">#REF!</definedName>
    <definedName name="asss" localSheetId="7" hidden="1">{"rtn",#N/A,FALSE,"RTN";"tables",#N/A,FALSE,"RTN";"cf",#N/A,FALSE,"CF";"stats",#N/A,FALSE,"Stats";"prop",#N/A,FALSE,"Prop"}</definedName>
    <definedName name="asss" hidden="1">{"rtn",#N/A,FALSE,"RTN";"tables",#N/A,FALSE,"RTN";"cf",#N/A,FALSE,"CF";"stats",#N/A,FALSE,"Stats";"prop",#N/A,FALSE,"Prop"}</definedName>
    <definedName name="Assump_Construction_Costs_Budget.hdr">#REF!,#REF!</definedName>
    <definedName name="Assump_Construction_Costs_Budget.rdwr">#REF!,#REF!</definedName>
    <definedName name="Assump_Global_Assumptions.hdr">#REF!,#REF!</definedName>
    <definedName name="Assump_Global_Assumptions.rdwr">#REF!,#REF!</definedName>
    <definedName name="Assump_Operating_Expenses.hdr">#REF!,#REF!</definedName>
    <definedName name="Assump_Operating_Expenses.rdwr">#REF!,#REF!</definedName>
    <definedName name="Assump_Parking_Storage_Assumptions.hdr">#REF!,#REF!</definedName>
    <definedName name="Assump_Parking_Storage_Assumptions.rdwr">#REF!,#REF!</definedName>
    <definedName name="Assump_Unit_Sales_Assumptions.hdr">#REF!,#REF!</definedName>
    <definedName name="Assump_Unit_Sales_Assumptions.rdwr">#REF!,#REF!</definedName>
    <definedName name="aSysIndex">#REF!</definedName>
    <definedName name="Augu">#REF!</definedName>
    <definedName name="aveparkcopy" hidden="1">{"View1",#N/A,FALSE,"Sheet1";"View2",#N/A,FALSE,"Sheet1"}</definedName>
    <definedName name="Avg_Residential_Rent_PSF">#REF!</definedName>
    <definedName name="b" localSheetId="7" hidden="1">{#N/A,#N/A,FALSE,"ExitStratigy"}</definedName>
    <definedName name="b" hidden="1">{#N/A,#N/A,FALSE,"ExitStratigy"}</definedName>
    <definedName name="BadLink" hidden="1">#REF!</definedName>
    <definedName name="Balloon30360">#REF!</definedName>
    <definedName name="BalloonAct360">#REF!</definedName>
    <definedName name="BalloonAmt">#REF!</definedName>
    <definedName name="BALTOTAL">#REF!</definedName>
    <definedName name="BASEMENT">#REF!</definedName>
    <definedName name="Basisprint">#REF!</definedName>
    <definedName name="bb" localSheetId="7" hidden="1">{#N/A,#N/A,FALSE,"ExitStratigy"}</definedName>
    <definedName name="bb" hidden="1">{#N/A,#N/A,FALSE,"ExitStratigy"}</definedName>
    <definedName name="bbb" localSheetId="7" hidden="1">{#N/A,#N/A,FALSE,"ExitStratigy"}</definedName>
    <definedName name="bbb" hidden="1">{#N/A,#N/A,FALSE,"ExitStratigy"}</definedName>
    <definedName name="bdcopy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bdinvestor" hidden="1">{"View1",#N/A,FALSE,"Sheet1";"View2",#N/A,FALSE,"Sheet1"}</definedName>
    <definedName name="BDno">#REF!</definedName>
    <definedName name="beginmonth">#REF!</definedName>
    <definedName name="Beginning_Balance">#N/A</definedName>
    <definedName name="beginyr">#REF!</definedName>
    <definedName name="bill">#REF!</definedName>
    <definedName name="BldgII">#REF!</definedName>
    <definedName name="BldgImprII">#REF!</definedName>
    <definedName name="Blvd2001">#REF!</definedName>
    <definedName name="Blvd2010">#REF!</definedName>
    <definedName name="Blvd2040">#REF!</definedName>
    <definedName name="Blvd2045">#REF!</definedName>
    <definedName name="bnmb" localSheetId="7" hidden="1">{#N/A,#N/A,FALSE,"Summary";#N/A,#N/A,FALSE,"Program Scheme";#N/A,#N/A,FALSE,"Assumptions";#N/A,#N/A,FALSE,"Development Budget";#N/A,#N/A,FALSE,"Timing";#N/A,#N/A,FALSE,"Development Costs &amp; Revenues";#N/A,#N/A,FALSE,"Cash Flow to Debt &amp; Equity";#N/A,#N/A,FALSE,"Cash Flow to Athena LP"}</definedName>
    <definedName name="bnmb" hidden="1">{#N/A,#N/A,FALSE,"Summary";#N/A,#N/A,FALSE,"Program Scheme";#N/A,#N/A,FALSE,"Assumptions";#N/A,#N/A,FALSE,"Development Budget";#N/A,#N/A,FALSE,"Timing";#N/A,#N/A,FALSE,"Development Costs &amp; Revenues";#N/A,#N/A,FALSE,"Cash Flow to Debt &amp; Equity";#N/A,#N/A,FALSE,"Cash Flow to Athena LP"}</definedName>
    <definedName name="bsquarters">#REF!</definedName>
    <definedName name="bsrquarters">#REF!</definedName>
    <definedName name="BUDGET">#REF!</definedName>
    <definedName name="Budget_Year">#REF!</definedName>
    <definedName name="BudgetSumm" localSheetId="7" hidden="1">{#N/A,#N/A,FALSE,"Cashflow Analysis";#N/A,#N/A,FALSE,"Sensitivity Analysis";#N/A,#N/A,FALSE,"PV";#N/A,#N/A,FALSE,"Pro Forma"}</definedName>
    <definedName name="BudgetSumm" hidden="1">{#N/A,#N/A,FALSE,"Cashflow Analysis";#N/A,#N/A,FALSE,"Sensitivity Analysis";#N/A,#N/A,FALSE,"PV";#N/A,#N/A,FALSE,"Pro Forma"}</definedName>
    <definedName name="BudgetSumm.2" localSheetId="7" hidden="1">{#N/A,#N/A,FALSE,"Cashflow Analysis";#N/A,#N/A,FALSE,"Sensitivity Analysis";#N/A,#N/A,FALSE,"PV";#N/A,#N/A,FALSE,"Pro Forma"}</definedName>
    <definedName name="BudgetSumm.2" hidden="1">{#N/A,#N/A,FALSE,"Cashflow Analysis";#N/A,#N/A,FALSE,"Sensitivity Analysis";#N/A,#N/A,FALSE,"PV";#N/A,#N/A,FALSE,"Pro Forma"}</definedName>
    <definedName name="budVer">#REF!</definedName>
    <definedName name="Building">#REF!</definedName>
    <definedName name="Bullshit" localSheetId="7" hidden="1">{"Assumptions",#N/A,TRUE,"Returns";"Tables",#N/A,TRUE,"Returns"}</definedName>
    <definedName name="Bullshit" hidden="1">{"Assumptions",#N/A,TRUE,"Returns";"Tables",#N/A,TRUE,"Returns"}</definedName>
    <definedName name="Cap_Ex">#REF!</definedName>
    <definedName name="cap_ex_ded">#REF!</definedName>
    <definedName name="cap_rate">#REF!</definedName>
    <definedName name="Capex">#REF!</definedName>
    <definedName name="capitalized_ti_lc">#REF!</definedName>
    <definedName name="capped_noi">#REF!</definedName>
    <definedName name="CapRate">#REF!</definedName>
    <definedName name="CarolinaGarden">#REF!</definedName>
    <definedName name="CASH">#REF!</definedName>
    <definedName name="cash_flow_model_type">#REF!</definedName>
    <definedName name="cashflow">#REF!</definedName>
    <definedName name="cashflowdist">#REF!</definedName>
    <definedName name="cashprint">#REF!</definedName>
    <definedName name="cashtrap">#REF!</definedName>
    <definedName name="CB_Building_Other.rdwr">#REF!,#REF!</definedName>
    <definedName name="CB_Building_Other_PageHeader.hdr">#REF!,#REF!</definedName>
    <definedName name="CB_Capital_Improvements.hdr">#REF!,#REF!</definedName>
    <definedName name="CB_Capital_Improvements.rdwr">#REF!,#REF!</definedName>
    <definedName name="CB_Change_Orders_Detail.wrte">#REF!,#REF!</definedName>
    <definedName name="CB_Hard_Costs.rdwr">#REF!,#REF!</definedName>
    <definedName name="CB_Hard_Costs_PageHeader.hdr">#REF!,#REF!</definedName>
    <definedName name="CB_Soft_Costs.rdwr">#REF!,#REF!</definedName>
    <definedName name="CB_Soft_Costs_PageHeader.hdr">#REF!,#REF!</definedName>
    <definedName name="cc" localSheetId="7" hidden="1">{#N/A,#N/A,FALSE,"LoanAssumptions"}</definedName>
    <definedName name="cc" hidden="1">{#N/A,#N/A,FALSE,"LoanAssumptions"}</definedName>
    <definedName name="ccc" localSheetId="7" hidden="1">{#N/A,#N/A,FALSE,"LoanAssumptions"}</definedName>
    <definedName name="ccc" hidden="1">{#N/A,#N/A,FALSE,"LoanAssumptions"}</definedName>
    <definedName name="ceprint">#REF!</definedName>
    <definedName name="CF">#REF!</definedName>
    <definedName name="CF_Dt1">#REF!</definedName>
    <definedName name="CFM_Average_Occupancy.read">#REF!,#REF!</definedName>
    <definedName name="CFM_Capital_Costs.read">#REF!,#REF!</definedName>
    <definedName name="CFM_Carlyle_Cash_Flow_Summary.read">#REF!,#REF!</definedName>
    <definedName name="CFM_Carlyle_Gross_Return.rdwr">#REF!,#REF!</definedName>
    <definedName name="CFM_Construction_Costs.read">#REF!,#REF!</definedName>
    <definedName name="CFM_Equity_Rollforward_Carlyle_Equity.rdwr">#REF!,#REF!</definedName>
    <definedName name="CFM_Equity_Rollforward_Partner_1_Equity.rdwr">#REF!,#REF!</definedName>
    <definedName name="CFM_Equity_Rollforward_Partner_2_Equity.rdwr">#REF!,#REF!</definedName>
    <definedName name="CFM_Equity_Rollforward_Partner_3_Equity.rdwr">#REF!,#REF!</definedName>
    <definedName name="CFM_Equity_Rollforward_Partner_4_Equity.rdwr">#REF!,#REF!</definedName>
    <definedName name="CFM_Equity_Rollforward_Partner_5_Equity.rdwr">#REF!,#REF!</definedName>
    <definedName name="CFM_Income_Statement.read">#REF!,#REF!</definedName>
    <definedName name="CFM_Levered_Return.read">#REF!,#REF!</definedName>
    <definedName name="CFM_Non_Carlyle_Equity_Cash_Flow.read">#REF!,#REF!</definedName>
    <definedName name="CFM_Non_Operating_Expense.read">#REF!,#REF!</definedName>
    <definedName name="CFM_Operating_Expenses.read">#REF!,#REF!</definedName>
    <definedName name="CFM_PageHeader.hdr">#REF!,#REF!</definedName>
    <definedName name="CFM_Revenue.read">#REF!,#REF!</definedName>
    <definedName name="CFM_Unlevered_Return.read">#REF!,#REF!</definedName>
    <definedName name="CFQ_Average_Occupancy.read">#REF!,#REF!</definedName>
    <definedName name="CFQ_Capital_Costs.read">#REF!,#REF!</definedName>
    <definedName name="CFQ_Carlyle_Cash_Flow_Summary.read">#REF!,#REF!</definedName>
    <definedName name="CFQ_Carlyle_Gross_Return.read">#REF!,#REF!</definedName>
    <definedName name="CFQ_CFs_after_Preferred_Equity_Calculation.read">#REF!,#REF!</definedName>
    <definedName name="CFQ_CFs_after_Preferred_Equity_Calculation_CC.read">#REF!,#REF!</definedName>
    <definedName name="CFQ_CFs_after_Preferred_Equity_Calculation_NC.read">#REF!,#REF!</definedName>
    <definedName name="CFQ_Equity_Rollforward_Carlyle_Equity.read">#REF!,#REF!</definedName>
    <definedName name="CFQ_Equity_Rollforward_Partner_1_Equity.read">#REF!,#REF!</definedName>
    <definedName name="CFQ_Equity_Rollforward_Partner_2_Equity.read">#REF!,#REF!</definedName>
    <definedName name="CFQ_Equity_Rollforward_Partner_3_Equity.read">#REF!,#REF!</definedName>
    <definedName name="CFQ_Equity_Rollforward_Partner_4_Equity.read">#REF!,#REF!</definedName>
    <definedName name="CFQ_Equity_Rollforward_Partner_5_Equity.read">#REF!,#REF!</definedName>
    <definedName name="CFQ_Income_Statement.read">#REF!,#REF!</definedName>
    <definedName name="CFQ_Leasing_Capital_Costs.read">#REF!,#REF!</definedName>
    <definedName name="CFQ_Levered_Return.read">#REF!,#REF!</definedName>
    <definedName name="CFQ_Non_Carlyle_Equity_Cash_Flow.read">#REF!,#REF!</definedName>
    <definedName name="CFQ_Non_Operating_Expense.read">#REF!,#REF!</definedName>
    <definedName name="CFQ_Operating_Expenses.read">#REF!,#REF!</definedName>
    <definedName name="CFQ_Original_Ownership_Structure.rdwr">#REF!,#REF!</definedName>
    <definedName name="CFQ_PageHeader.hdr">#REF!,#REF!</definedName>
    <definedName name="CFQ_Preferred_Equity_Inputs.rdwr">#REF!,#REF!</definedName>
    <definedName name="CFQ_Preferred_Equity_Structure.rdwr">#REF!,#REF!</definedName>
    <definedName name="CFQ_Revenue.read">#REF!,#REF!</definedName>
    <definedName name="CFQ_Unlevered_Return.read">#REF!,#REF!</definedName>
    <definedName name="CFQ_Value.hdr">#REF!,#REF!</definedName>
    <definedName name="CFTIT2">#REF!</definedName>
    <definedName name="chartflows">#REF!</definedName>
    <definedName name="check">#REF!</definedName>
    <definedName name="check2" localSheetId="7" hidden="1">{#N/A,#N/A,FALSE,"Cashflow Analysis";#N/A,#N/A,FALSE,"Sensitivity Analysis";#N/A,#N/A,FALSE,"PV";#N/A,#N/A,FALSE,"Pro Forma"}</definedName>
    <definedName name="check2" hidden="1">{#N/A,#N/A,FALSE,"Cashflow Analysis";#N/A,#N/A,FALSE,"Sensitivity Analysis";#N/A,#N/A,FALSE,"PV";#N/A,#N/A,FALSE,"Pro Forma"}</definedName>
    <definedName name="Choices_Wrapper">#N/A</definedName>
    <definedName name="Choices_Wrapper5">#N/A</definedName>
    <definedName name="circ">#REF!</definedName>
    <definedName name="CIS_DRAW">#REF!</definedName>
    <definedName name="Civil_Engineer">#REF!</definedName>
    <definedName name="Clay1890">#REF!</definedName>
    <definedName name="CleanPrice">#REF!</definedName>
    <definedName name="close">#REF!</definedName>
    <definedName name="close2">#REF!</definedName>
    <definedName name="closing_costs">#REF!</definedName>
    <definedName name="code">#REF!</definedName>
    <definedName name="Codes_96">#REF!</definedName>
    <definedName name="Codes_97">#REF!</definedName>
    <definedName name="Codes_98">#REF!</definedName>
    <definedName name="Codes_trailing">#REF!</definedName>
    <definedName name="coinvest1_equity_percentage">#REF!</definedName>
    <definedName name="coinvest2_equity_percentage">#REF!</definedName>
    <definedName name="Colgate">#REF!</definedName>
    <definedName name="ColumnAppraisal">#REF!</definedName>
    <definedName name="ColumnBudget">#REF!</definedName>
    <definedName name="ColumnTTM01">#REF!</definedName>
    <definedName name="ColumnTTM02">#REF!</definedName>
    <definedName name="ColumnTTM03">#REF!</definedName>
    <definedName name="ColumnTTM04">#REF!</definedName>
    <definedName name="ColumnTTM05">#REF!</definedName>
    <definedName name="ColumnTTM06">#REF!</definedName>
    <definedName name="ColumnTTM07">#REF!</definedName>
    <definedName name="ColumnTTM08">#REF!</definedName>
    <definedName name="ColumnTTM09">#REF!</definedName>
    <definedName name="ColumnTTM10">#REF!</definedName>
    <definedName name="ColumnTTM11">#REF!</definedName>
    <definedName name="ColumnTTM12">#REF!</definedName>
    <definedName name="ColumnYear1">#REF!</definedName>
    <definedName name="ColumnYear2">#REF!</definedName>
    <definedName name="ColumnYear3">#REF!</definedName>
    <definedName name="ColumnYear4">#REF!</definedName>
    <definedName name="ColumnYear5">#REF!</definedName>
    <definedName name="COMMERCIAL_REAL_ESTATE_FINANCE">#REF!</definedName>
    <definedName name="CommuterMonroe">#REF!</definedName>
    <definedName name="CompanyOH" hidden="1">#REF!</definedName>
    <definedName name="compperformance">#REF!</definedName>
    <definedName name="condenser">#REF!</definedName>
    <definedName name="condo">#REF!</definedName>
    <definedName name="condoassump">#REF!</definedName>
    <definedName name="Condos">#REF!</definedName>
    <definedName name="const">#REF!</definedName>
    <definedName name="constant">#REF!</definedName>
    <definedName name="Construct_Duration_Club">#REF!</definedName>
    <definedName name="Construct_Duration_Golf">#REF!</definedName>
    <definedName name="Construct_Duration_Interval">#REF!</definedName>
    <definedName name="Construct_Duration_Rental">#REF!</definedName>
    <definedName name="Construct_Duration_Resort">#REF!</definedName>
    <definedName name="Construct_Duration_Spa">#REF!</definedName>
    <definedName name="construction">#REF!</definedName>
    <definedName name="Construction_Months">#REF!</definedName>
    <definedName name="copyall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copymondayjv" hidden="1">{"View1",#N/A,FALSE,"Sheet1";"View2",#N/A,FALSE,"Sheet1"}</definedName>
    <definedName name="Cornell">#REF!</definedName>
    <definedName name="Cost">#REF!</definedName>
    <definedName name="cost_at_close">#REF!</definedName>
    <definedName name="country">#REF!</definedName>
    <definedName name="Creditcard">#REF!</definedName>
    <definedName name="CrewEndPoint">#REF!</definedName>
    <definedName name="CrewHostPort">#REF!</definedName>
    <definedName name="Cum_Pref">#REF!</definedName>
    <definedName name="cumdaylkup">#REF!</definedName>
    <definedName name="CurrencySymbol">#REF!</definedName>
    <definedName name="current_balance">#REF!</definedName>
    <definedName name="current_interest_rate">#REF!</definedName>
    <definedName name="current_maturity">#REF!</definedName>
    <definedName name="current_occ">#REF!</definedName>
    <definedName name="current_spread">#REF!</definedName>
    <definedName name="Current_Year">#REF!</definedName>
    <definedName name="cxgxgfgfs" localSheetId="7" hidden="1">{#N/A,#N/A,FALSE,"Cashflow Analysis";#N/A,#N/A,FALSE,"Sensitivity Analysis";#N/A,#N/A,FALSE,"PV";#N/A,#N/A,FALSE,"Pro Forma"}</definedName>
    <definedName name="cxgxgfgfs" hidden="1">{#N/A,#N/A,FALSE,"Cashflow Analysis";#N/A,#N/A,FALSE,"Sensitivity Analysis";#N/A,#N/A,FALSE,"PV";#N/A,#N/A,FALSE,"Pro Forma"}</definedName>
    <definedName name="cxgxgfgfs.2" localSheetId="7" hidden="1">{#N/A,#N/A,FALSE,"Cashflow Analysis";#N/A,#N/A,FALSE,"Sensitivity Analysis";#N/A,#N/A,FALSE,"PV";#N/A,#N/A,FALSE,"Pro Forma"}</definedName>
    <definedName name="cxgxgfgfs.2" hidden="1">{#N/A,#N/A,FALSE,"Cashflow Analysis";#N/A,#N/A,FALSE,"Sensitivity Analysis";#N/A,#N/A,FALSE,"PV";#N/A,#N/A,FALSE,"Pro Forma"}</definedName>
    <definedName name="d" localSheetId="7" hidden="1">{#N/A,#N/A,FALSE,"LoanAssumptions"}</definedName>
    <definedName name="d" hidden="1">{#N/A,#N/A,FALSE,"LoanAssumptions"}</definedName>
    <definedName name="d.s.coverage">#REF!</definedName>
    <definedName name="Dakota">#REF!</definedName>
    <definedName name="dat" localSheetId="7" hidden="1">{"data",#N/A,FALSE,"INPUT"}</definedName>
    <definedName name="dat" hidden="1">{"data",#N/A,FALSE,"INPUT"}</definedName>
    <definedName name="data">#REF!</definedName>
    <definedName name="data1">#REF!</definedName>
    <definedName name="data2">#REF!</definedName>
    <definedName name="data3">#REF!</definedName>
    <definedName name="data4">#REF!</definedName>
    <definedName name="data5">#REF!,#REF!</definedName>
    <definedName name="data6">#REF!</definedName>
    <definedName name="data7">#REF!</definedName>
    <definedName name="dataerror" localSheetId="7" hidden="1">{"data",#N/A,FALSE,"INPUT"}</definedName>
    <definedName name="dataerror" hidden="1">{"data",#N/A,FALSE,"INPUT"}</definedName>
    <definedName name="dataType">#REF!</definedName>
    <definedName name="datax">#REF!</definedName>
    <definedName name="date">#REF!</definedName>
    <definedName name="date1">#REF!</definedName>
    <definedName name="dave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DAYS_YEAR">#REF!</definedName>
    <definedName name="dc" hidden="1">#REF!</definedName>
    <definedName name="DCF">OFFSET(#REF!,0,0,48,IF(#REF!&lt;7,7,#REF!+3))</definedName>
    <definedName name="dd" localSheetId="7" hidden="1">{"MonthlyRentRoll",#N/A,FALSE,"RentRoll"}</definedName>
    <definedName name="dd" hidden="1">{"MonthlyRentRoll",#N/A,FALSE,"RentRoll"}</definedName>
    <definedName name="ddd" localSheetId="7" hidden="1">{"MonthlyRentRoll",#N/A,FALSE,"RentRoll"}</definedName>
    <definedName name="ddd" hidden="1">{"MonthlyRentRoll",#N/A,FALSE,"RentRoll"}</definedName>
    <definedName name="dddddd" hidden="1">{#N/A,#N/A,FALSE,"CAPREIT"}</definedName>
    <definedName name="ddddddd" hidden="1">{#N/A,#N/A,FALSE,"CAPREIT"}</definedName>
    <definedName name="deb">#REF!</definedName>
    <definedName name="Debt_1st">#REF!</definedName>
    <definedName name="debt_2">#REF!</definedName>
    <definedName name="Debt_Additional_Funding_Requirements.rdwr">#REF!,#REF!</definedName>
    <definedName name="Debt_Amortization_1.rdwr">#REF!,#REF!</definedName>
    <definedName name="Debt_Amortization_2.rdwr">#REF!,#REF!</definedName>
    <definedName name="Debt_Amortization_3.rdwr">#REF!,#REF!</definedName>
    <definedName name="Debt_Amortization_Payment.rdwr">#REF!,#REF!</definedName>
    <definedName name="Debt_Capital_Expenditure_Holdback_Loan_1.rdwr">#REF!,#REF!</definedName>
    <definedName name="Debt_Capital_Expenditure_Holdback_Summary.read">#REF!,#REF!</definedName>
    <definedName name="Debt_Cumulative_Debt_Fees_Loan_1.rdwr">#REF!,#REF!</definedName>
    <definedName name="Debt_Cumulative_Debt_Fees_Loan_2.rdwr">#REF!,#REF!</definedName>
    <definedName name="Debt_Cumulative_Debt_Fees_Loan_3.rdwr">#REF!,#REF!</definedName>
    <definedName name="Debt_Cumulative_Debt_Fees_Loan_4.rdwr">#REF!,#REF!</definedName>
    <definedName name="Debt_Cumulative_Debt_Fees_Loan_5.rdwr">#REF!,#REF!</definedName>
    <definedName name="Debt_Debt_Detail_Loan_1.rdwr">#REF!,#REF!</definedName>
    <definedName name="Debt_Debt_Detail_Loan_2.rdwr">#REF!,#REF!</definedName>
    <definedName name="Debt_Debt_Detail_Loan_3.rdwr">#REF!,#REF!</definedName>
    <definedName name="Debt_Debt_Detail_Loan_4.rdwr">#REF!,#REF!</definedName>
    <definedName name="Debt_Debt_Detail_Loan_5.rdwr">#REF!,#REF!</definedName>
    <definedName name="Debt_Debt_Service_Coverage_Ratios_Loan_1.rdwr">#REF!,#REF!</definedName>
    <definedName name="Debt_Debt_Service_Coverage_Ratios_Loan_2.rdwr">#REF!,#REF!</definedName>
    <definedName name="Debt_Debt_Service_Coverage_Ratios_Loan_3.rdwr">#REF!,#REF!</definedName>
    <definedName name="Debt_Debt_Service_Coverage_Ratios_Loan_4.rdwr">#REF!,#REF!</definedName>
    <definedName name="Debt_Debt_Service_Coverage_Ratios_Loan_5.rdwr">#REF!,#REF!</definedName>
    <definedName name="Debt_Extension_Fee_1.rdwr">#REF!,#REF!</definedName>
    <definedName name="Debt_Extension_Fee_2.rdwr">#REF!,#REF!</definedName>
    <definedName name="Debt_Extension_Options.rdwr">#REF!,#REF!</definedName>
    <definedName name="Debt_Financing.rdwr">#REF!,#REF!</definedName>
    <definedName name="Debt_General_Loan_Information.rdwr">#REF!,#REF!</definedName>
    <definedName name="Debt_Guarantee_Fee.rdwr">#REF!,#REF!</definedName>
    <definedName name="Debt_Hard_Costs_Holdback_Summary.read">#REF!,#REF!</definedName>
    <definedName name="Debt_Implied_Cost_of_Debt_Loan_1.rdwr">#REF!,#REF!</definedName>
    <definedName name="Debt_Implied_Cost_of_Debt_Loan_2.rdwr">#REF!,#REF!</definedName>
    <definedName name="Debt_Implied_Cost_of_Debt_Loan_3.rdwr">#REF!,#REF!</definedName>
    <definedName name="Debt_Implied_Cost_of_Debt_Loan_4.rdwr">#REF!,#REF!</definedName>
    <definedName name="Debt_Implied_Cost_of_Debt_Loan_5.rdwr">#REF!,#REF!</definedName>
    <definedName name="Debt_Interest_Rate_Cap.rdwr">#REF!,#REF!</definedName>
    <definedName name="Debt_Interest_Rate_Holdback_Loan_1.rdwr">#REF!,#REF!</definedName>
    <definedName name="Debt_Interest_Rate_Holdback_Summary.read">#REF!,#REF!</definedName>
    <definedName name="Debt_Intial_Interest_Rate.rdwr">#REF!,#REF!</definedName>
    <definedName name="Debt_Leasing_Commission_Holdback_Loan_1.rdwr">#REF!,#REF!</definedName>
    <definedName name="Debt_Leasing_Commission_Holdback_Summary.read">#REF!,#REF!</definedName>
    <definedName name="Debt_Loan_1_Capital_Expenditure_Holdback.rdwr">#REF!,#REF!</definedName>
    <definedName name="Debt_Loan_1_Debt_Detail.rdwr">#REF!,#REF!</definedName>
    <definedName name="Debt_Loan_1_Debt_Fees.rdwr">#REF!,#REF!</definedName>
    <definedName name="Debt_Loan_1_Debt_Service_Coverage_Ratios.rdwr">#REF!,#REF!</definedName>
    <definedName name="Debt_Loan_1_Implied_Cost_of_Debt.rdwr">#REF!,#REF!</definedName>
    <definedName name="Debt_Loan_2_Debt_Detail.rdwr">#REF!,#REF!</definedName>
    <definedName name="Debt_Loan_2_Debt_Fees.rdwr">#REF!,#REF!</definedName>
    <definedName name="Debt_Loan_2_Debt_Service_Coverage_Ratios.rdwr">#REF!,#REF!</definedName>
    <definedName name="Debt_Loan_2_Implied_Cost_of_Debt.rdwr">#REF!,#REF!</definedName>
    <definedName name="Debt_Loan_3_Debt_Detail.rdwr">#REF!,#REF!</definedName>
    <definedName name="Debt_Loan_3_Debt_Fees.rdwr">#REF!,#REF!</definedName>
    <definedName name="Debt_Loan_3_Debt_Service_Coverage_Ratios.rdwr">#REF!,#REF!</definedName>
    <definedName name="Debt_Loan_3_Implied_Cost_of_Debt.rdwr">#REF!,#REF!</definedName>
    <definedName name="Debt_Loan_4_Debt_Detail.rdwr">#REF!,#REF!</definedName>
    <definedName name="Debt_Loan_4_Debt_Fees.rdwr">#REF!,#REF!</definedName>
    <definedName name="Debt_Loan_4_Debt_Service_Coverage_Ratios.rdwr">#REF!,#REF!</definedName>
    <definedName name="Debt_Loan_4_Implied_Cost_of_Debt.rdwr">#REF!,#REF!</definedName>
    <definedName name="Debt_Loan_5_Debt_Detail.rdwr">#REF!,#REF!</definedName>
    <definedName name="Debt_Loan_5_Debt_Fees.rdwr">#REF!,#REF!</definedName>
    <definedName name="Debt_Loan_5_Debt_Service_Coverage_Ratios.rdwr">#REF!,#REF!</definedName>
    <definedName name="Debt_Loan_5_Implied_Cost_of_Debt.rdwr">#REF!,#REF!</definedName>
    <definedName name="Debt_Loan_PageHeader.hdr">#REF!,#REF!</definedName>
    <definedName name="Debt_Loan_Principal_Payments.rdwr">#REF!,#REF!</definedName>
    <definedName name="Debt_Loan_Summary.read">#REF!,#REF!</definedName>
    <definedName name="Debt_Loan_Summary_Capital_Expenditure_Holdback.read">#REF!,#REF!</definedName>
    <definedName name="Debt_Loan_Summary_Debt_Fees.rdwr">#REF!,#REF!</definedName>
    <definedName name="Debt_Loan_Summary_Debt_Fees.read">#REF!,#REF!</definedName>
    <definedName name="Debt_Loan_Summary_Debt_Service_Coverage_Ratios.rdwr">#REF!,#REF!</definedName>
    <definedName name="Debt_Loan_Summary_Debt_Service_Coverage_Ratios.read">#REF!,#REF!</definedName>
    <definedName name="Debt_Loan_Summary_Implied_Cost_of_Debt.rdwr">#REF!,#REF!</definedName>
    <definedName name="Debt_Loan_Summary_Implied_Cost_of_Debt.read">#REF!,#REF!</definedName>
    <definedName name="Debt_Loan_Summary_Interest_Rate_Holdback.read">#REF!,#REF!</definedName>
    <definedName name="Debt_Prepayment_Fee_1.rdwr">#REF!,#REF!</definedName>
    <definedName name="Debt_Prepayment_Fee_2.rdwr">#REF!,#REF!</definedName>
    <definedName name="Debt_Prepayment_Fee_3.rdwr">#REF!,#REF!</definedName>
    <definedName name="Debt_Stabilized_Interest_Rate.rdwr">#REF!,#REF!</definedName>
    <definedName name="debt_table">#REF!</definedName>
    <definedName name="Debt_Yield_Maintenance_Prepayment.rdwr">#REF!,#REF!</definedName>
    <definedName name="debthold">#REF!</definedName>
    <definedName name="DebtTable">#REF!</definedName>
    <definedName name="delloan">#REF!</definedName>
    <definedName name="deptbysys">#REF!</definedName>
    <definedName name="depts">#REF!</definedName>
    <definedName name="DEVASS">#REF!</definedName>
    <definedName name="DEVCOSTS">#REF!</definedName>
    <definedName name="dff" localSheetId="7" hidden="1">{"sheet a",#N/A,FALSE,"A";"2 9 casflow",#N/A,FALSE,"B"}</definedName>
    <definedName name="dff" hidden="1">{"sheet a",#N/A,FALSE,"A";"2 9 casflow",#N/A,FALSE,"B"}</definedName>
    <definedName name="dfgd" localSheetId="7" hidden="1">{#N/A,#N/A,FALSE,"Cashflow Analysis";#N/A,#N/A,FALSE,"Sensitivity Analysis";#N/A,#N/A,FALSE,"PV";#N/A,#N/A,FALSE,"Pro Forma"}</definedName>
    <definedName name="dfgd" hidden="1">{#N/A,#N/A,FALSE,"Cashflow Analysis";#N/A,#N/A,FALSE,"Sensitivity Analysis";#N/A,#N/A,FALSE,"PV";#N/A,#N/A,FALSE,"Pro Forma"}</definedName>
    <definedName name="dfgg" localSheetId="7" hidden="1">{"sheet a",#N/A,FALSE,"A";"sheet b 1",#N/A,FALSE,"B";"sheet b 2",#N/A,FALSE,"B"}</definedName>
    <definedName name="dfgg" hidden="1">{"sheet a",#N/A,FALSE,"A";"sheet b 1",#N/A,FALSE,"B";"sheet b 2",#N/A,FALSE,"B"}</definedName>
    <definedName name="dis" localSheetId="7" hidden="1">{#N/A,#N/A,FALSE,"Cashflow Analysis";#N/A,#N/A,FALSE,"Sensitivity Analysis";#N/A,#N/A,FALSE,"PV";#N/A,#N/A,FALSE,"Pro Forma"}</definedName>
    <definedName name="dis" hidden="1">{#N/A,#N/A,FALSE,"Cashflow Analysis";#N/A,#N/A,FALSE,"Sensitivity Analysis";#N/A,#N/A,FALSE,"PV";#N/A,#N/A,FALSE,"Pro Forma"}</definedName>
    <definedName name="dis.2" localSheetId="7" hidden="1">{#N/A,#N/A,FALSE,"Cashflow Analysis";#N/A,#N/A,FALSE,"Sensitivity Analysis";#N/A,#N/A,FALSE,"PV";#N/A,#N/A,FALSE,"Pro Forma"}</definedName>
    <definedName name="dis.2" hidden="1">{#N/A,#N/A,FALSE,"Cashflow Analysis";#N/A,#N/A,FALSE,"Sensitivity Analysis";#N/A,#N/A,FALSE,"PV";#N/A,#N/A,FALSE,"Pro Forma"}</definedName>
    <definedName name="Discount_Rate">#REF!</definedName>
    <definedName name="discrate">#REF!</definedName>
    <definedName name="dispo_date">#REF!</definedName>
    <definedName name="DisposCap">#REF!</definedName>
    <definedName name="distribution">#REF!</definedName>
    <definedName name="distribution_1">#REF!</definedName>
    <definedName name="distribution_2">#REF!</definedName>
    <definedName name="distribution_3">#REF!</definedName>
    <definedName name="distribution_date_1">#REF!</definedName>
    <definedName name="distribution_date_2">#REF!</definedName>
    <definedName name="distribution_date_3">#REF!</definedName>
    <definedName name="Divider">#REF!</definedName>
    <definedName name="DlgProject">#N/A</definedName>
    <definedName name="due_diligence">#REF!</definedName>
    <definedName name="Duration">#REF!</definedName>
    <definedName name="dvAccountDisplay">#REF!</definedName>
    <definedName name="e" localSheetId="7" hidden="1">{"MonthlyRentRoll",#N/A,FALSE,"RentRoll"}</definedName>
    <definedName name="e" hidden="1">{"MonthlyRentRoll",#N/A,FALSE,"RentRoll"}</definedName>
    <definedName name="East417">#REF!</definedName>
    <definedName name="ee" localSheetId="7" hidden="1">{#N/A,#N/A,FALSE,"OperatingAssumptions"}</definedName>
    <definedName name="ee" hidden="1">{#N/A,#N/A,FALSE,"OperatingAssumptions"}</definedName>
    <definedName name="eee" localSheetId="7" hidden="1">{#N/A,#N/A,FALSE,"OperatingAssumptions"}</definedName>
    <definedName name="eee" hidden="1">{#N/A,#N/A,FALSE,"OperatingAssumptions"}</definedName>
    <definedName name="eer" localSheetId="7" hidden="1">{"Construction_Short",#N/A,FALSE,"Construction"}</definedName>
    <definedName name="eer" hidden="1">{"Construction_Short",#N/A,FALSE,"Construction"}</definedName>
    <definedName name="el2_code">#REF!</definedName>
    <definedName name="Ending_Balance">#N/A</definedName>
    <definedName name="endmonth">#REF!</definedName>
    <definedName name="EngineeringReserve">#REF!</definedName>
    <definedName name="ENTRIES" hidden="1">#REF!</definedName>
    <definedName name="EPS">#REF!</definedName>
    <definedName name="equity">#REF!</definedName>
    <definedName name="equity_requirement">#REF!</definedName>
    <definedName name="EquityAmort">#REF!</definedName>
    <definedName name="equityear">#REF!</definedName>
    <definedName name="equityinv">#REF!</definedName>
    <definedName name="eret" localSheetId="7" hidden="1">{"sheet a",#N/A,FALSE,"A";"2 9 casflow",#N/A,FALSE,"B"}</definedName>
    <definedName name="eret" hidden="1">{"sheet a",#N/A,FALSE,"A";"2 9 casflow",#N/A,FALSE,"B"}</definedName>
    <definedName name="ernie">#REF!</definedName>
    <definedName name="Escrows_Capital_Expenditure_Escrow.rdwr">#REF!,#REF!</definedName>
    <definedName name="Escrows_Interest_Rate_Escrow.rdwr">#REF!,#REF!</definedName>
    <definedName name="Escrows_PageHeader.hdr">#REF!,#REF!</definedName>
    <definedName name="Escrows_Security_Deposit_Escrow.rdwr">#REF!,#REF!</definedName>
    <definedName name="Escrows_Taxes_and_Insurance_Escrow.rdwr">#REF!,#REF!</definedName>
    <definedName name="Estoppel">#REF!</definedName>
    <definedName name="etert" localSheetId="7" hidden="1">{"sheet a",#N/A,FALSE,"A";"sheet b 1",#N/A,FALSE,"B";"sheet b 2",#N/A,FALSE,"B"}</definedName>
    <definedName name="etert" hidden="1">{"sheet a",#N/A,FALSE,"A";"sheet b 1",#N/A,FALSE,"B";"sheet b 2",#N/A,FALSE,"B"}</definedName>
    <definedName name="ew" hidden="1">#REF!</definedName>
    <definedName name="existing_loan_balance">#REF!</definedName>
    <definedName name="exit">#REF!</definedName>
    <definedName name="ExpensesRow">MATCH("Expenses",#REF!,0)+2</definedName>
    <definedName name="Expensexx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ExternalData_1" localSheetId="5" hidden="1">Keywords_Mapping!$A$1:$B$988</definedName>
    <definedName name="ExternalData_1" localSheetId="4" hidden="1">Output_Type!$A$1:$B$84</definedName>
    <definedName name="ExternalData_1" localSheetId="3" hidden="1">Property_Type!$A$1:$B$192</definedName>
    <definedName name="F">#REF!:#REF!</definedName>
    <definedName name="fdfdfd" hidden="1">{#N/A,#N/A,FALSE,"CAPREIT"}</definedName>
    <definedName name="fdfdfdf" hidden="1">{#N/A,#N/A,FALSE,"CAPREIT"}</definedName>
    <definedName name="ff" localSheetId="7" hidden="1">{#N/A,#N/A,TRUE,"Summary";"AnnualRentRoll",#N/A,TRUE,"RentRoll";#N/A,#N/A,TRUE,"ExitStratigy";#N/A,#N/A,TRUE,"OperatingAssumptions"}</definedName>
    <definedName name="ff" hidden="1">{#N/A,#N/A,TRUE,"Summary";"AnnualRentRoll",#N/A,TRUE,"RentRoll";#N/A,#N/A,TRUE,"ExitStratigy";#N/A,#N/A,TRUE,"OperatingAssumptions"}</definedName>
    <definedName name="FF_DETAIL">#REF!</definedName>
    <definedName name="FF_DRAW">#REF!</definedName>
    <definedName name="ffe_reserve">#REF!</definedName>
    <definedName name="fff" localSheetId="7" hidden="1">{#N/A,#N/A,TRUE,"Summary";"AnnualRentRoll",#N/A,TRUE,"RentRoll";#N/A,#N/A,TRUE,"ExitStratigy";#N/A,#N/A,TRUE,"OperatingAssumptions"}</definedName>
    <definedName name="fff" hidden="1">{#N/A,#N/A,TRUE,"Summary";"AnnualRentRoll",#N/A,TRUE,"RentRoll";#N/A,#N/A,TRUE,"ExitStratigy";#N/A,#N/A,TRUE,"OperatingAssumptions"}</definedName>
    <definedName name="ffffff" localSheetId="7" hidden="1">{#N/A,#N/A,FALSE,"Cashflow Analysis";#N/A,#N/A,FALSE,"Sensitivity Analysis";#N/A,#N/A,FALSE,"PV";#N/A,#N/A,FALSE,"Pro Forma"}</definedName>
    <definedName name="ffffff" hidden="1">{#N/A,#N/A,FALSE,"Cashflow Analysis";#N/A,#N/A,FALSE,"Sensitivity Analysis";#N/A,#N/A,FALSE,"PV";#N/A,#N/A,FALSE,"Pro Forma"}</definedName>
    <definedName name="ffffff.2" localSheetId="7" hidden="1">{#N/A,#N/A,FALSE,"Cashflow Analysis";#N/A,#N/A,FALSE,"Sensitivity Analysis";#N/A,#N/A,FALSE,"PV";#N/A,#N/A,FALSE,"Pro Forma"}</definedName>
    <definedName name="ffffff.2" hidden="1">{#N/A,#N/A,FALSE,"Cashflow Analysis";#N/A,#N/A,FALSE,"Sensitivity Analysis";#N/A,#N/A,FALSE,"PV";#N/A,#N/A,FALSE,"Pro Forma"}</definedName>
    <definedName name="FILE_busplan.xls">#REF!</definedName>
    <definedName name="FILL2" hidden="1">#REF!</definedName>
    <definedName name="Fin_Sum_Acquisition_Fee.rdwr">#REF!,#REF!</definedName>
    <definedName name="Fin_Sum_Average_In_Place_Rent.read">#REF!,#REF!</definedName>
    <definedName name="Fin_Sum_Comments.wrte">#REF!,#REF!</definedName>
    <definedName name="Fin_Sum_Current_Occupancy.read">#REF!,#REF!</definedName>
    <definedName name="Fin_Sum_Debt_Financing.read">#REF!,#REF!</definedName>
    <definedName name="Fin_Sum_Debt_Service_Coverage_Ratio__NOI.read">#REF!,#REF!</definedName>
    <definedName name="Fin_Sum_Equity_Commitment.rdwr">#REF!,#REF!</definedName>
    <definedName name="Fin_Sum_Exit_Assumptions.rdwr">#REF!,#REF!</definedName>
    <definedName name="Fin_Sum_Exit_Matrix.wrte">#REF!,#REF!</definedName>
    <definedName name="Fin_Sum_FTM_Debt_Service.read">#REF!,#REF!</definedName>
    <definedName name="Fin_Sum_Funded_Equity.read">#REF!,#REF!</definedName>
    <definedName name="Fin_Sum_Implied_Cost_of_Debt__Loan_1.read">#REF!,#REF!</definedName>
    <definedName name="Fin_Sum_Joint_Venture_Information.rdwr">#REF!,#REF!</definedName>
    <definedName name="Fin_Sum_NOI.read">#REF!,#REF!</definedName>
    <definedName name="Fin_Sum_Realization.rdwr">#REF!,#REF!</definedName>
    <definedName name="Fin_Sum_REIT_Equity.rdwr">#REF!,#REF!</definedName>
    <definedName name="Fin_Sum_Replacement.rdwr">#REF!,#REF!</definedName>
    <definedName name="Fin_Sum_Returns.read">#REF!,#REF!</definedName>
    <definedName name="Fin_Sum_Reversion_Assumptions.rdwr">#REF!,#REF!</definedName>
    <definedName name="Fin_Sum_Source_of_Funds_At_Closing.rdwr">#REF!,#REF!</definedName>
    <definedName name="Fin_Sum_Source_of_Return.read">#REF!,#REF!</definedName>
    <definedName name="Fin_Sum_Sources_of_Funds_At_Sale.rdwr">#REF!,#REF!</definedName>
    <definedName name="Fin_Sum_Stabalization.rdwr">#REF!,#REF!</definedName>
    <definedName name="Fin_Sum_Uses_of_Funds_At_Closing.rdwr">#REF!,#REF!</definedName>
    <definedName name="Fin_Sum_Uses_of_Funds_At_Sale.read">#REF!,#REF!</definedName>
    <definedName name="Fin_Sum_Yields_.read">#REF!,#REF!</definedName>
    <definedName name="FinAnal3" localSheetId="7" hidden="1">{"Construction_Short",#N/A,FALSE,"Construction"}</definedName>
    <definedName name="FinAnal3" hidden="1">{"Construction_Short",#N/A,FALSE,"Construction"}</definedName>
    <definedName name="finance_fee">#REF!</definedName>
    <definedName name="financing_points">#REF!</definedName>
    <definedName name="FinancingPercentage">#REF!</definedName>
    <definedName name="FINSUM">#REF!</definedName>
    <definedName name="First_Pref">#REF!</definedName>
    <definedName name="firstmort">#REF!</definedName>
    <definedName name="FirstPart">#REF!</definedName>
    <definedName name="firstyear">#REF!</definedName>
    <definedName name="fiveirr">#REF!</definedName>
    <definedName name="flag">#REF!</definedName>
    <definedName name="fldfjlsd" hidden="1">#REF!</definedName>
    <definedName name="flowyear">#REF!:#REF!</definedName>
    <definedName name="Footnote">#REF!</definedName>
    <definedName name="FootnoteAnchor">#REF!</definedName>
    <definedName name="FS_Acquisition_Fee.rdwr">#REF!,#REF!</definedName>
    <definedName name="FS_Average_Daily_Rate.read">#REF!,#REF!</definedName>
    <definedName name="FS_Comments.rdwr">#REF!,#REF!</definedName>
    <definedName name="FS_Comments.wrte">#REF!,#REF!</definedName>
    <definedName name="FS_Current_Occupancy.read">#REF!,#REF!</definedName>
    <definedName name="FS_Debt_Financing.read">#REF!,#REF!</definedName>
    <definedName name="FS_Debt_Service_Coverage_Ratio_NOI.read">#REF!,#REF!</definedName>
    <definedName name="FS_Equity_Commitment.rdwr">#REF!,#REF!</definedName>
    <definedName name="FS_Exit_Assumptions.rdwr">#REF!,#REF!</definedName>
    <definedName name="FS_Exit_Matrix.rdwr">#REF!,#REF!</definedName>
    <definedName name="FS_FTM_Debt_Service.read">#REF!,#REF!</definedName>
    <definedName name="FS_Funded_Equity.read">#REF!,#REF!</definedName>
    <definedName name="FS_Implied_Cost_Of_Debt_Load_1.read">#REF!,#REF!</definedName>
    <definedName name="FS_Joint_Venture_Ownership_Structure.rdwr">#REF!,#REF!</definedName>
    <definedName name="FS_NOI.read">#REF!,#REF!</definedName>
    <definedName name="FS_Realization.rdwr">#REF!,#REF!</definedName>
    <definedName name="FS_REIT_Equity.rdwr">#REF!,#REF!</definedName>
    <definedName name="FS_Replacement.rdwr">#REF!,#REF!</definedName>
    <definedName name="FS_Returns.read">#REF!,#REF!</definedName>
    <definedName name="FS_Reversion_Assumptions.rdwr">#REF!,#REF!</definedName>
    <definedName name="FS_Source_Of_Funds_At_Closing.rdwr">#REF!,#REF!</definedName>
    <definedName name="FS_Source_Of_Funds_At_Sale.read">#REF!,#REF!</definedName>
    <definedName name="FS_Source_Of_Return.read">#REF!,#REF!</definedName>
    <definedName name="FS_Stabilization.rdwr">#REF!,#REF!</definedName>
    <definedName name="FS_Use_Of_Funds_At_Closing.rdwr">#REF!,#REF!</definedName>
    <definedName name="FS_Use_Of_Funds_At_Sale.read">#REF!,#REF!</definedName>
    <definedName name="FS_Yields.read">#REF!,#REF!</definedName>
    <definedName name="fulcrum">#REF!</definedName>
    <definedName name="funding">#REF!</definedName>
    <definedName name="Gap">#REF!</definedName>
    <definedName name="gdp">#REF!</definedName>
    <definedName name="gegeg" localSheetId="7" hidden="1">{#N/A,#N/A,FALSE,"Cashflow Analysis";#N/A,#N/A,FALSE,"Sensitivity Analysis";#N/A,#N/A,FALSE,"PV";#N/A,#N/A,FALSE,"Pro Forma"}</definedName>
    <definedName name="gegeg" hidden="1">{#N/A,#N/A,FALSE,"Cashflow Analysis";#N/A,#N/A,FALSE,"Sensitivity Analysis";#N/A,#N/A,FALSE,"PV";#N/A,#N/A,FALSE,"Pro Forma"}</definedName>
    <definedName name="gegeg.2" localSheetId="7" hidden="1">{#N/A,#N/A,FALSE,"Cashflow Analysis";#N/A,#N/A,FALSE,"Sensitivity Analysis";#N/A,#N/A,FALSE,"PV";#N/A,#N/A,FALSE,"Pro Forma"}</definedName>
    <definedName name="gegeg.2" hidden="1">{#N/A,#N/A,FALSE,"Cashflow Analysis";#N/A,#N/A,FALSE,"Sensitivity Analysis";#N/A,#N/A,FALSE,"PV";#N/A,#N/A,FALSE,"Pro Forma"}</definedName>
    <definedName name="gg" localSheetId="7" hidden="1">{#N/A,#N/A,FALSE,"PropertyInfo"}</definedName>
    <definedName name="gg" hidden="1">{#N/A,#N/A,FALSE,"PropertyInfo"}</definedName>
    <definedName name="gg.2" localSheetId="7" hidden="1">{#N/A,#N/A,FALSE,"Cashflow Analysis";#N/A,#N/A,FALSE,"Sensitivity Analysis";#N/A,#N/A,FALSE,"PV";#N/A,#N/A,FALSE,"Pro Forma"}</definedName>
    <definedName name="gg.2" hidden="1">{#N/A,#N/A,FALSE,"Cashflow Analysis";#N/A,#N/A,FALSE,"Sensitivity Analysis";#N/A,#N/A,FALSE,"PV";#N/A,#N/A,FALSE,"Pro Forma"}</definedName>
    <definedName name="ggg" localSheetId="7" hidden="1">{#N/A,#N/A,FALSE,"PropertyInfo"}</definedName>
    <definedName name="ggg" hidden="1">{#N/A,#N/A,FALSE,"PropertyInfo"}</definedName>
    <definedName name="gp_catch_up">#REF!</definedName>
    <definedName name="gp_lookback">#REF!</definedName>
    <definedName name="gp_profit_split">#REF!</definedName>
    <definedName name="gp_promote_tier_1">#REF!</definedName>
    <definedName name="Gross_Sched">#REF!</definedName>
    <definedName name="GrossPrice">#REF!</definedName>
    <definedName name="growth_schedule">#REF!</definedName>
    <definedName name="h" localSheetId="7" hidden="1">{#N/A,#N/A,FALSE,"PropertyInfo"}</definedName>
    <definedName name="h" hidden="1">{#N/A,#N/A,FALSE,"PropertyInfo"}</definedName>
    <definedName name="Heading">#REF!</definedName>
    <definedName name="Hello">#N/A</definedName>
    <definedName name="Hello5">#N/A</definedName>
    <definedName name="hfgh" localSheetId="7" hidden="1">{"sheet a",#N/A,FALSE,"A";"sheet b 1",#N/A,FALSE,"B";"sheet b 2",#N/A,FALSE,"B"}</definedName>
    <definedName name="hfgh" hidden="1">{"sheet a",#N/A,FALSE,"A";"sheet b 1",#N/A,FALSE,"B";"sheet b 2",#N/A,FALSE,"B"}</definedName>
    <definedName name="HGI">#REF!</definedName>
    <definedName name="HGIclose">#REF!</definedName>
    <definedName name="HGIexit">#REF!</definedName>
    <definedName name="HGIkeys">#REF!</definedName>
    <definedName name="HGIopen">#REF!</definedName>
    <definedName name="HGIretailexit">#REF!</definedName>
    <definedName name="HGIScenario">#REF!</definedName>
    <definedName name="hh" localSheetId="7" hidden="1">{#N/A,#N/A,FALSE,"Summary"}</definedName>
    <definedName name="hh" hidden="1">{#N/A,#N/A,FALSE,"Summary"}</definedName>
    <definedName name="hhh" localSheetId="7" hidden="1">{#N/A,#N/A,FALSE,"Summary"}</definedName>
    <definedName name="hhh" hidden="1">{#N/A,#N/A,FALSE,"Summary"}</definedName>
    <definedName name="HI" hidden="1">#REF!</definedName>
    <definedName name="high">#REF!</definedName>
    <definedName name="highgate_equity">#REF!</definedName>
    <definedName name="highgate_equity_percentage">#REF!</definedName>
    <definedName name="historical_sheet">#REF!</definedName>
    <definedName name="historicals_start_date">#REF!</definedName>
    <definedName name="hjhj" localSheetId="7" hidden="1">{"PROFORMA",#N/A,FALSE,"A";"BIGGER 1",#N/A,FALSE,"B";"BIGGER 2",#N/A,FALSE,"B";"BIGGER 3",#N/A,FALSE,"B";"SMALL CF 1",#N/A,FALSE,"C"}</definedName>
    <definedName name="hjhj" hidden="1">{"PROFORMA",#N/A,FALSE,"A";"BIGGER 1",#N/A,FALSE,"B";"BIGGER 2",#N/A,FALSE,"B";"BIGGER 3",#N/A,FALSE,"B";"SMALL CF 1",#N/A,FALSE,"C"}</definedName>
    <definedName name="holding_96">#REF!</definedName>
    <definedName name="holding_97">#REF!</definedName>
    <definedName name="holding_98">#REF!</definedName>
    <definedName name="holding_trailing">#REF!</definedName>
    <definedName name="Hotel">#REF!</definedName>
    <definedName name="hotel_mgt_fee">#REF!</definedName>
    <definedName name="hotelkeys">#REF!</definedName>
    <definedName name="hotelopen">#REF!</definedName>
    <definedName name="hotelpromote">#REF!</definedName>
    <definedName name="HPOA_Departmental_Expenses.wrte">#REF!,#REF!</definedName>
    <definedName name="HPOA_Fixed_Expenses.wrte">#REF!,#REF!</definedName>
    <definedName name="HPOA_Net_Operating_Income.wrte">#REF!,#REF!</definedName>
    <definedName name="HPOA_Revenue.wrte">#REF!,#REF!</definedName>
    <definedName name="HPOA_Room_Statistics.wrte">#REF!,#REF!</definedName>
    <definedName name="HPOA_Undistributed_Expenses.wrte">#REF!,#REF!</definedName>
    <definedName name="HPOC_Departmental_Expenses.wrte">#REF!,#REF!</definedName>
    <definedName name="HPOC_Fixed_Expenses.wrte">#REF!,#REF!</definedName>
    <definedName name="HPOC_Net_Operating_Income.wrte">#REF!,#REF!</definedName>
    <definedName name="HPOC_Revenue.wrte">#REF!,#REF!</definedName>
    <definedName name="HPOC_Room_Statistics.wrte">#REF!,#REF!</definedName>
    <definedName name="HPOC_Undistributed_Expenses.wrte">#REF!,#REF!</definedName>
    <definedName name="HPOM_Departmental_Expenses.read">#REF!,#REF!</definedName>
    <definedName name="HPOM_Fixed_Expenses.read">#REF!,#REF!</definedName>
    <definedName name="HPOM_Growth_Statistics.read">#REF!,#REF!</definedName>
    <definedName name="HPOM_Net_Operating_Income.read">#REF!,#REF!</definedName>
    <definedName name="HPOM_PageHeader.hdr">#REF!,#REF!</definedName>
    <definedName name="HPOM_Revenue.read">#REF!,#REF!</definedName>
    <definedName name="HPOM_Room_Statistics.read">#REF!,#REF!</definedName>
    <definedName name="HPOM_Undistributed_Expenses.read">#REF!,#REF!</definedName>
    <definedName name="HTML_CodePage" hidden="1">1252</definedName>
    <definedName name="HTML_Control" hidden="1">{"'2001NOI'!$J$34"}</definedName>
    <definedName name="HTML_Description" hidden="1">""</definedName>
    <definedName name="HTML_Email" hidden="1">""</definedName>
    <definedName name="HTML_Header" hidden="1">"2001NOI"</definedName>
    <definedName name="HTML_LastUpdate" hidden="1">"05/22/2001"</definedName>
    <definedName name="HTML_LineAfter" hidden="1">FALSE</definedName>
    <definedName name="HTML_LineBefore" hidden="1">FALSE</definedName>
    <definedName name="HTML_Name" hidden="1">"Thomas Leeman"</definedName>
    <definedName name="HTML_OBDlg2" hidden="1">TRUE</definedName>
    <definedName name="HTML_OBDlg4" hidden="1">TRUE</definedName>
    <definedName name="HTML_OS" hidden="1">0</definedName>
    <definedName name="HTML_PathFile" hidden="1">"C:\My Documents\MyHTML.htm"</definedName>
    <definedName name="HTML_Title" hidden="1">"01BUDGET"</definedName>
    <definedName name="ie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IGrade">#REF!</definedName>
    <definedName name="IHMPrintCF1" hidden="1">#REF!</definedName>
    <definedName name="IHMPrintMR1" hidden="1">#REF!</definedName>
    <definedName name="IHMPrintMR2" hidden="1">#REF!</definedName>
    <definedName name="IHMPrintVAL1" hidden="1">#REF!</definedName>
    <definedName name="IHMPrintVAL2" hidden="1">#REF!</definedName>
    <definedName name="immediate" localSheetId="7" hidden="1">{"sheet a",#N/A,FALSE,"A";"2 9 casflow",#N/A,FALSE,"B"}</definedName>
    <definedName name="immediate" hidden="1">{"sheet a",#N/A,FALSE,"A";"2 9 casflow",#N/A,FALSE,"B"}</definedName>
    <definedName name="Inf">#REF!</definedName>
    <definedName name="Inf0">#REF!</definedName>
    <definedName name="Inflation">#REF!</definedName>
    <definedName name="initial_cost_basis">#REF!</definedName>
    <definedName name="initial_equity">#REF!</definedName>
    <definedName name="initial_equity_committment">#REF!</definedName>
    <definedName name="InitOccupancy">#REF!</definedName>
    <definedName name="INPUT">#REF!</definedName>
    <definedName name="Input1">#REF!</definedName>
    <definedName name="input2">#REF!</definedName>
    <definedName name="input3">#REF!</definedName>
    <definedName name="Inputs_96">#REF!</definedName>
    <definedName name="Inputs_97">#REF!</definedName>
    <definedName name="Inputs_98">#REF!</definedName>
    <definedName name="Inputs_trailing">#REF!</definedName>
    <definedName name="ins">#REF!</definedName>
    <definedName name="Ins_Recovery_21SO1">#REF!</definedName>
    <definedName name="Insurance">#REF!</definedName>
    <definedName name="Intcirc">#REF!</definedName>
    <definedName name="interest">#REF!</definedName>
    <definedName name="interest_rate">#REF!</definedName>
    <definedName name="InterestAppraised">#REF!</definedName>
    <definedName name="IntroPrintArea" hidden="1">#REF!</definedName>
    <definedName name="INVESTOR">#REF!</definedName>
    <definedName name="InvestorYield">#REF!</definedName>
    <definedName name="io_period">#REF!</definedName>
    <definedName name="Iowa">#REF!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DIN" hidden="1">"AUTO"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MT_OUT" hidden="1">"c2145"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PRICE_TARGET" hidden="1">"c82"</definedName>
    <definedName name="IQ_AVG_SHAREOUTSTANDING" hidden="1">"c83"</definedName>
    <definedName name="IQ_AVG_TEV" hidden="1">"c84"</definedName>
    <definedName name="IQ_AVG_VOLUME" hidden="1">"c1346"</definedName>
    <definedName name="IQ_BALANCE_GOODS_APR_FC_UNUSED_UNUSED_UNUSED" hidden="1">"c8353"</definedName>
    <definedName name="IQ_BALANCE_GOODS_APR_UNUSED_UNUSED_UNUSED" hidden="1">"c7473"</definedName>
    <definedName name="IQ_BALANCE_GOODS_FC_UNUSED_UNUSED_UNUSED" hidden="1">"c7693"</definedName>
    <definedName name="IQ_BALANCE_GOODS_POP_FC_UNUSED_UNUSED_UNUSED" hidden="1">"c7913"</definedName>
    <definedName name="IQ_BALANCE_GOODS_POP_UNUSED_UNUSED_UNUSED" hidden="1">"c7033"</definedName>
    <definedName name="IQ_BALANCE_GOODS_UNUSED_UNUSED_UNUSED" hidden="1">"c6813"</definedName>
    <definedName name="IQ_BALANCE_GOODS_YOY_FC_UNUSED_UNUSED_UNUSED" hidden="1">"c8133"</definedName>
    <definedName name="IQ_BALANCE_GOODS_YOY_UNUSED_UNUSED_UNUSED" hidden="1">"c7253"</definedName>
    <definedName name="IQ_BALANCE_SERV_APR_FC_UNUSED_UNUSED_UNUSED" hidden="1">"c8355"</definedName>
    <definedName name="IQ_BALANCE_SERV_APR_UNUSED_UNUSED_UNUSED" hidden="1">"c7475"</definedName>
    <definedName name="IQ_BALANCE_SERV_FC_UNUSED_UNUSED_UNUSED" hidden="1">"c7695"</definedName>
    <definedName name="IQ_BALANCE_SERV_POP_FC_UNUSED_UNUSED_UNUSED" hidden="1">"c7915"</definedName>
    <definedName name="IQ_BALANCE_SERV_POP_UNUSED_UNUSED_UNUSED" hidden="1">"c7035"</definedName>
    <definedName name="IQ_BALANCE_SERV_UNUSED_UNUSED_UNUSED" hidden="1">"c6815"</definedName>
    <definedName name="IQ_BALANCE_SERV_YOY_FC_UNUSED_UNUSED_UNUSED" hidden="1">"c8135"</definedName>
    <definedName name="IQ_BALANCE_SERV_YOY_UNUSED_UNUSED_UNUSED" hidden="1">"c7255"</definedName>
    <definedName name="IQ_BALANCE_TRADE_APR_FC_UNUSED_UNUSED_UNUSED" hidden="1">"c8357"</definedName>
    <definedName name="IQ_BALANCE_TRADE_APR_UNUSED_UNUSED_UNUSED" hidden="1">"c7477"</definedName>
    <definedName name="IQ_BALANCE_TRADE_FC_UNUSED_UNUSED_UNUSED" hidden="1">"c7697"</definedName>
    <definedName name="IQ_BALANCE_TRADE_POP_FC_UNUSED_UNUSED_UNUSED" hidden="1">"c7917"</definedName>
    <definedName name="IQ_BALANCE_TRADE_POP_UNUSED_UNUSED_UNUSED" hidden="1">"c7037"</definedName>
    <definedName name="IQ_BALANCE_TRADE_UNUSED_UNUSED_UNUSED" hidden="1">"c6817"</definedName>
    <definedName name="IQ_BALANCE_TRADE_YOY_FC_UNUSED_UNUSED_UNUSED" hidden="1">"c8137"</definedName>
    <definedName name="IQ_BALANCE_TRADE_YOY_UNUSED_UNUSED_UNUSED" hidden="1">"c7257"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UDGET_BALANCE_APR_FC_UNUSED_UNUSED_UNUSED" hidden="1">"c8359"</definedName>
    <definedName name="IQ_BUDGET_BALANCE_APR_UNUSED_UNUSED_UNUSED" hidden="1">"c7479"</definedName>
    <definedName name="IQ_BUDGET_BALANCE_FC_UNUSED_UNUSED_UNUSED" hidden="1">"c7699"</definedName>
    <definedName name="IQ_BUDGET_BALANCE_POP_FC_UNUSED_UNUSED_UNUSED" hidden="1">"c7919"</definedName>
    <definedName name="IQ_BUDGET_BALANCE_POP_UNUSED_UNUSED_UNUSED" hidden="1">"c7039"</definedName>
    <definedName name="IQ_BUDGET_BALANCE_UNUSED_UNUSED_UNUSED" hidden="1">"c6819"</definedName>
    <definedName name="IQ_BUDGET_BALANCE_YOY_FC_UNUSED_UNUSED_UNUSED" hidden="1">"c8139"</definedName>
    <definedName name="IQ_BUDGET_BALANCE_YOY_UNUSED_UNUSED_UNUSED" hidden="1">"c7259"</definedName>
    <definedName name="IQ_BUDGET_RECEIPTS_APR_FC_UNUSED_UNUSED_UNUSED" hidden="1">"c8361"</definedName>
    <definedName name="IQ_BUDGET_RECEIPTS_APR_UNUSED_UNUSED_UNUSED" hidden="1">"c7481"</definedName>
    <definedName name="IQ_BUDGET_RECEIPTS_FC_UNUSED_UNUSED_UNUSED" hidden="1">"c7701"</definedName>
    <definedName name="IQ_BUDGET_RECEIPTS_POP_FC_UNUSED_UNUSED_UNUSED" hidden="1">"c7921"</definedName>
    <definedName name="IQ_BUDGET_RECEIPTS_POP_UNUSED_UNUSED_UNUSED" hidden="1">"c7041"</definedName>
    <definedName name="IQ_BUDGET_RECEIPTS_UNUSED_UNUSED_UNUSED" hidden="1">"c6821"</definedName>
    <definedName name="IQ_BUDGET_RECEIPTS_YOY_FC_UNUSED_UNUSED_UNUSED" hidden="1">"c8141"</definedName>
    <definedName name="IQ_BUDGET_RECEIPTS_YOY_UNUSED_UNUSED_UNUSED" hidden="1">"c7261"</definedName>
    <definedName name="IQ_BUILDINGS" hidden="1">"c99"</definedName>
    <definedName name="IQ_BUSINESS_DESCRIPTION" hidden="1">"c322"</definedName>
    <definedName name="IQ_BV_OVER_SHARES" hidden="1">"c1349"</definedName>
    <definedName name="IQ_BV_SHARE" hidden="1">"c100"</definedName>
    <definedName name="IQ_CAL_Q" hidden="1">"c101"</definedName>
    <definedName name="IQ_CAL_Y" hidden="1">"c102"</definedName>
    <definedName name="IQ_CALL_FEATURE" hidden="1">"c2197"</definedName>
    <definedName name="IQ_CALLABLE" hidden="1">"c2196"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IZED_INTEREST" hidden="1">"c2076"</definedName>
    <definedName name="IQ_CASH" hidden="1">"c1458"</definedName>
    <definedName name="IQ_CASH_ACQUIRE_CF" hidden="1">"c1630"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FPS_ACT_OR_EST" hidden="1">"c2217"</definedName>
    <definedName name="IQ_CFPS_EST" hidden="1">"c1667"</definedName>
    <definedName name="IQ_CFPS_HIGH_EST" hidden="1">"c1669"</definedName>
    <definedName name="IQ_CFPS_LOW_EST" hidden="1">"c1670"</definedName>
    <definedName name="IQ_CFPS_MEDIAN_EST" hidden="1">"c1668"</definedName>
    <definedName name="IQ_CFPS_NUM_EST" hidden="1">"c1671"</definedName>
    <definedName name="IQ_CFPS_STDDEV_EST" hidden="1">"c1672"</definedName>
    <definedName name="IQ_CH" hidden="1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_REAL_APR_FC_UNUSED_UNUSED_UNUSED" hidden="1">"c8500"</definedName>
    <definedName name="IQ_CHANGE_INVENT_REAL_APR_UNUSED_UNUSED_UNUSED" hidden="1">"c7620"</definedName>
    <definedName name="IQ_CHANGE_INVENT_REAL_FC_UNUSED_UNUSED_UNUSED" hidden="1">"c7840"</definedName>
    <definedName name="IQ_CHANGE_INVENT_REAL_POP_FC_UNUSED_UNUSED_UNUSED" hidden="1">"c8060"</definedName>
    <definedName name="IQ_CHANGE_INVENT_REAL_POP_UNUSED_UNUSED_UNUSED" hidden="1">"c7180"</definedName>
    <definedName name="IQ_CHANGE_INVENT_REAL_UNUSED_UNUSED_UNUSED" hidden="1">"c6960"</definedName>
    <definedName name="IQ_CHANGE_INVENT_REAL_YOY_FC_UNUSED_UNUSED_UNUSED" hidden="1">"c8280"</definedName>
    <definedName name="IQ_CHANGE_INVENT_REAL_YOY_UNUSED_UNUSED_UNUSED" hidden="1">"c7400"</definedName>
    <definedName name="IQ_CHANGE_INVENTORY" hidden="1">"c151"</definedName>
    <definedName name="IQ_CHANGE_NET_WORKING_CAPITAL" hidden="1">"c1909"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UTSTANDING_BS_DATE" hidden="1">"c1971"</definedName>
    <definedName name="IQ_CLASSA_OUTSTANDING_FILING_DATE" hidden="1">"c1973"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DATE" hidden="1">"c2191"</definedName>
    <definedName name="IQ_CONV_PREMIUM" hidden="1">"c2195"</definedName>
    <definedName name="IQ_CONV_PRICE" hidden="1">"c2193"</definedName>
    <definedName name="IQ_CONV_RATE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XITY" hidden="1">"c2182"</definedName>
    <definedName name="IQ_CORP_GOODS_PRICE_INDEX_APR_FC_UNUSED_UNUSED_UNUSED" hidden="1">"c8381"</definedName>
    <definedName name="IQ_CORP_GOODS_PRICE_INDEX_APR_UNUSED_UNUSED_UNUSED" hidden="1">"c7501"</definedName>
    <definedName name="IQ_CORP_GOODS_PRICE_INDEX_FC_UNUSED_UNUSED_UNUSED" hidden="1">"c7721"</definedName>
    <definedName name="IQ_CORP_GOODS_PRICE_INDEX_POP_FC_UNUSED_UNUSED_UNUSED" hidden="1">"c7941"</definedName>
    <definedName name="IQ_CORP_GOODS_PRICE_INDEX_POP_UNUSED_UNUSED_UNUSED" hidden="1">"c7061"</definedName>
    <definedName name="IQ_CORP_GOODS_PRICE_INDEX_UNUSED_UNUSED_UNUSED" hidden="1">"c6841"</definedName>
    <definedName name="IQ_CORP_GOODS_PRICE_INDEX_YOY_FC_UNUSED_UNUSED_UNUSED" hidden="1">"c8161"</definedName>
    <definedName name="IQ_CORP_GOODS_PRICE_INDEX_YOY_UNUSED_UNUSED_UNUSED" hidden="1">"c7281"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ACCT_BALANCE_APR_FC_UNUSED_UNUSED_UNUSED" hidden="1">"c8387"</definedName>
    <definedName name="IQ_CURR_ACCT_BALANCE_APR_UNUSED_UNUSED_UNUSED" hidden="1">"c7507"</definedName>
    <definedName name="IQ_CURR_ACCT_BALANCE_FC_UNUSED_UNUSED_UNUSED" hidden="1">"c7727"</definedName>
    <definedName name="IQ_CURR_ACCT_BALANCE_POP_FC_UNUSED_UNUSED_UNUSED" hidden="1">"c7947"</definedName>
    <definedName name="IQ_CURR_ACCT_BALANCE_POP_UNUSED_UNUSED_UNUSED" hidden="1">"c7067"</definedName>
    <definedName name="IQ_CURR_ACCT_BALANCE_UNUSED_UNUSED_UNUSED" hidden="1">"c6847"</definedName>
    <definedName name="IQ_CURR_ACCT_BALANCE_YOY_FC_UNUSED_UNUSED_UNUSED" hidden="1">"c8167"</definedName>
    <definedName name="IQ_CURR_ACCT_BALANCE_YOY_UNUSED_UNUSED_UNUSED" hidden="1">"c7287"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USIP" hidden="1">"c2245"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ILY" hidden="1">500000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PS_ACT_OR_EST" hidden="1">"c2218"</definedName>
    <definedName name="IQ_DPS_EST" hidden="1">"c1674"</definedName>
    <definedName name="IQ_DPS_HIGH_EST" hidden="1">"c1676"</definedName>
    <definedName name="IQ_DPS_LOW_EST" hidden="1">"c1677"</definedName>
    <definedName name="IQ_DPS_MEDIAN_EST" hidden="1">"c1675"</definedName>
    <definedName name="IQ_DPS_NUM_EST" hidden="1">"c1678"</definedName>
    <definedName name="IQ_DPS_STDDEV_EST" hidden="1">"c1679"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ACT_OR_EST" hidden="1">"c2219"</definedName>
    <definedName name="IQ_EBIT_EST" hidden="1">"c1681"</definedName>
    <definedName name="IQ_EBIT_HIGH_EST" hidden="1">"c1683"</definedName>
    <definedName name="IQ_EBIT_INT" hidden="1">"c360"</definedName>
    <definedName name="IQ_EBIT_LOW_EST" hidden="1">"c1684"</definedName>
    <definedName name="IQ_EBIT_MARGIN" hidden="1">"c359"</definedName>
    <definedName name="IQ_EBIT_MEDIAN_EST" hidden="1">"c1682"</definedName>
    <definedName name="IQ_EBIT_NUM_EST" hidden="1">"c1685"</definedName>
    <definedName name="IQ_EBIT_OVER_IE" hidden="1">"c1369"</definedName>
    <definedName name="IQ_EBIT_STDDEV_EST" hidden="1">"c1686"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ACT_OR_EST" hidden="1">"c2215"</definedName>
    <definedName name="IQ_EBITDA_CAPEX_INT" hidden="1">"c368"</definedName>
    <definedName name="IQ_EBITDA_CAPEX_OVER_TOTAL_IE" hidden="1">"c1370"</definedName>
    <definedName name="IQ_EBITDA_EST" hidden="1">"c369"</definedName>
    <definedName name="IQ_EBITDA_HIGH_EST" hidden="1">"c370"</definedName>
    <definedName name="IQ_EBITDA_INT" hidden="1">"c373"</definedName>
    <definedName name="IQ_EBITDA_LOW_EST" hidden="1">"c371"</definedName>
    <definedName name="IQ_EBITDA_MARGIN" hidden="1">"c372"</definedName>
    <definedName name="IQ_EBITDA_MEDIAN_EST" hidden="1">"c1663"</definedName>
    <definedName name="IQ_EBITDA_NUM_EST" hidden="1">"c374"</definedName>
    <definedName name="IQ_EBITDA_OVER_TOTAL_IE" hidden="1">"c1371"</definedName>
    <definedName name="IQ_EBITDA_STDDEV_EST" hidden="1">"c375"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CO_METRIC_6825_UNUSED_UNUSED_UNUSED" hidden="1">"c6825"</definedName>
    <definedName name="IQ_ECO_METRIC_6839_UNUSED_UNUSED_UNUSED" hidden="1">"c6839"</definedName>
    <definedName name="IQ_ECO_METRIC_6896_UNUSED_UNUSED_UNUSED" hidden="1">"c6896"</definedName>
    <definedName name="IQ_ECO_METRIC_6897_UNUSED_UNUSED_UNUSED" hidden="1">"c6897"</definedName>
    <definedName name="IQ_ECO_METRIC_6988_UNUSED_UNUSED_UNUSED" hidden="1">"c6988"</definedName>
    <definedName name="IQ_ECO_METRIC_7045_UNUSED_UNUSED_UNUSED" hidden="1">"c7045"</definedName>
    <definedName name="IQ_ECO_METRIC_7059_UNUSED_UNUSED_UNUSED" hidden="1">"c7059"</definedName>
    <definedName name="IQ_ECO_METRIC_7116_UNUSED_UNUSED_UNUSED" hidden="1">"c7116"</definedName>
    <definedName name="IQ_ECO_METRIC_7117_UNUSED_UNUSED_UNUSED" hidden="1">"c7117"</definedName>
    <definedName name="IQ_ECO_METRIC_7208_UNUSED_UNUSED_UNUSED" hidden="1">"c7208"</definedName>
    <definedName name="IQ_ECO_METRIC_7265_UNUSED_UNUSED_UNUSED" hidden="1">"c7265"</definedName>
    <definedName name="IQ_ECO_METRIC_7279_UNUSED_UNUSED_UNUSED" hidden="1">"c7279"</definedName>
    <definedName name="IQ_ECO_METRIC_7336_UNUSED_UNUSED_UNUSED" hidden="1">"c7336"</definedName>
    <definedName name="IQ_ECO_METRIC_7337_UNUSED_UNUSED_UNUSED" hidden="1">"c7337"</definedName>
    <definedName name="IQ_ECO_METRIC_7428_UNUSED_UNUSED_UNUSED" hidden="1">"c7428"</definedName>
    <definedName name="IQ_ECO_METRIC_7556_UNUSED_UNUSED_UNUSED" hidden="1">"c7556"</definedName>
    <definedName name="IQ_ECO_METRIC_7557_UNUSED_UNUSED_UNUSED" hidden="1">"c7557"</definedName>
    <definedName name="IQ_ECO_METRIC_7648_UNUSED_UNUSED_UNUSED" hidden="1">"c7648"</definedName>
    <definedName name="IQ_ECO_METRIC_7705_UNUSED_UNUSED_UNUSED" hidden="1">"c7705"</definedName>
    <definedName name="IQ_ECO_METRIC_7719_UNUSED_UNUSED_UNUSED" hidden="1">"c7719"</definedName>
    <definedName name="IQ_ECO_METRIC_7776_UNUSED_UNUSED_UNUSED" hidden="1">"c7776"</definedName>
    <definedName name="IQ_ECO_METRIC_7777_UNUSED_UNUSED_UNUSED" hidden="1">"c7777"</definedName>
    <definedName name="IQ_ECO_METRIC_7868_UNUSED_UNUSED_UNUSED" hidden="1">"c7868"</definedName>
    <definedName name="IQ_ECO_METRIC_7925_UNUSED_UNUSED_UNUSED" hidden="1">"c7925"</definedName>
    <definedName name="IQ_ECO_METRIC_7939_UNUSED_UNUSED_UNUSED" hidden="1">"c7939"</definedName>
    <definedName name="IQ_ECO_METRIC_7996_UNUSED_UNUSED_UNUSED" hidden="1">"c7996"</definedName>
    <definedName name="IQ_ECO_METRIC_7997_UNUSED_UNUSED_UNUSED" hidden="1">"c7997"</definedName>
    <definedName name="IQ_ECO_METRIC_8088_UNUSED_UNUSED_UNUSED" hidden="1">"c8088"</definedName>
    <definedName name="IQ_ECO_METRIC_8145_UNUSED_UNUSED_UNUSED" hidden="1">"c8145"</definedName>
    <definedName name="IQ_ECO_METRIC_8159_UNUSED_UNUSED_UNUSED" hidden="1">"c8159"</definedName>
    <definedName name="IQ_ECO_METRIC_8216_UNUSED_UNUSED_UNUSED" hidden="1">"c8216"</definedName>
    <definedName name="IQ_ECO_METRIC_8217_UNUSED_UNUSED_UNUSED" hidden="1">"c8217"</definedName>
    <definedName name="IQ_ECO_METRIC_8308_UNUSED_UNUSED_UNUSED" hidden="1">"c8308"</definedName>
    <definedName name="IQ_ECO_METRIC_8436_UNUSED_UNUSED_UNUSED" hidden="1">"c8436"</definedName>
    <definedName name="IQ_ECO_METRIC_8437_UNUSED_UNUSED_UNUSED" hidden="1">"c8437"</definedName>
    <definedName name="IQ_ECO_METRIC_8528_UNUSED_UNUSED_UNUSED" hidden="1">"c8528"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" hidden="1">"c2213"</definedName>
    <definedName name="IQ_EPS_EST" hidden="1">"c399"</definedName>
    <definedName name="IQ_EPS_GW_ACT_OR_EST" hidden="1">"c2223"</definedName>
    <definedName name="IQ_EPS_GW_EST" hidden="1">"c1737"</definedName>
    <definedName name="IQ_EPS_GW_HIGH_EST" hidden="1">"c1739"</definedName>
    <definedName name="IQ_EPS_GW_LOW_EST" hidden="1">"c1740"</definedName>
    <definedName name="IQ_EPS_GW_MEDIAN_EST" hidden="1">"c1738"</definedName>
    <definedName name="IQ_EPS_GW_NUM_EST" hidden="1">"c1741"</definedName>
    <definedName name="IQ_EPS_GW_STDDEV_EST" hidden="1">"c1742"</definedName>
    <definedName name="IQ_EPS_HIGH_EST" hidden="1">"c400"</definedName>
    <definedName name="IQ_EPS_LOW_EST" hidden="1">"c401"</definedName>
    <definedName name="IQ_EPS_MEDIAN_EST" hidden="1">"c1661"</definedName>
    <definedName name="IQ_EPS_NORM" hidden="1">"c1902"</definedName>
    <definedName name="IQ_EPS_NORM_EST" hidden="1">"c2226"</definedName>
    <definedName name="IQ_EPS_NORM_HIGH_EST" hidden="1">"c2228"</definedName>
    <definedName name="IQ_EPS_NORM_LOW_EST" hidden="1">"c2229"</definedName>
    <definedName name="IQ_EPS_NORM_MEDIAN_EST" hidden="1">"c2227"</definedName>
    <definedName name="IQ_EPS_NORM_NUM_EST" hidden="1">"c2230"</definedName>
    <definedName name="IQ_EPS_NORM_STDDEV_EST" hidden="1">"c2231"</definedName>
    <definedName name="IQ_EPS_NUM_EST" hidden="1">"c402"</definedName>
    <definedName name="IQ_EPS_REPORT_ACT_OR_EST" hidden="1">"c2224"</definedName>
    <definedName name="IQ_EPS_REPORTED_EST" hidden="1">"c1744"</definedName>
    <definedName name="IQ_EPS_REPORTED_HIGH_EST" hidden="1">"c1746"</definedName>
    <definedName name="IQ_EPS_REPORTED_LOW_EST" hidden="1">"c1747"</definedName>
    <definedName name="IQ_EPS_REPORTED_MEDIAN_EST" hidden="1">"c1745"</definedName>
    <definedName name="IQ_EPS_REPORTED_NUM_EST" hidden="1">"c1748"</definedName>
    <definedName name="IQ_EPS_REPORTED_STDDEV_EST" hidden="1">"c1749"</definedName>
    <definedName name="IQ_EPS_STDDEV_EST" hidden="1">"c403"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CFPS" hidden="1">"c1673"</definedName>
    <definedName name="IQ_EST_ACT_DPS" hidden="1">"c1680"</definedName>
    <definedName name="IQ_EST_ACT_EBIT" hidden="1">"c1687"</definedName>
    <definedName name="IQ_EST_ACT_EBITDA" hidden="1">"c1664"</definedName>
    <definedName name="IQ_EST_ACT_EPS" hidden="1">"c1648"</definedName>
    <definedName name="IQ_EST_ACT_EPS_GW" hidden="1">"c1743"</definedName>
    <definedName name="IQ_EST_ACT_EPS_NORM" hidden="1">"c2232"</definedName>
    <definedName name="IQ_EST_ACT_EPS_REPORTED" hidden="1">"c1750"</definedName>
    <definedName name="IQ_EST_ACT_FFO" hidden="1">"c1666"</definedName>
    <definedName name="IQ_EST_ACT_NAV" hidden="1">"c1757"</definedName>
    <definedName name="IQ_EST_ACT_NI" hidden="1">"c1722"</definedName>
    <definedName name="IQ_EST_ACT_NI_GW" hidden="1">"c1729"</definedName>
    <definedName name="IQ_EST_ACT_NI_REPORTED" hidden="1">"c1736"</definedName>
    <definedName name="IQ_EST_ACT_OPER_INC" hidden="1">"c1694"</definedName>
    <definedName name="IQ_EST_ACT_PRETAX_GW_INC" hidden="1">"c1708"</definedName>
    <definedName name="IQ_EST_ACT_PRETAX_INC" hidden="1">"c1701"</definedName>
    <definedName name="IQ_EST_ACT_PRETAX_REPORT_INC" hidden="1">"c1715"</definedName>
    <definedName name="IQ_EST_ACT_REV" hidden="1">"c2113"</definedName>
    <definedName name="IQ_EST_CFPS_DIFF" hidden="1">"c1871"</definedName>
    <definedName name="IQ_EST_CFPS_GROWTH_1YR" hidden="1">"c1774"</definedName>
    <definedName name="IQ_EST_CFPS_GROWTH_2YR" hidden="1">"c1775"</definedName>
    <definedName name="IQ_EST_CFPS_GROWTH_Q_1YR" hidden="1">"c1776"</definedName>
    <definedName name="IQ_EST_CFPS_SEQ_GROWTH_Q" hidden="1">"c1777"</definedName>
    <definedName name="IQ_EST_CFPS_SURPRISE_PERCENT" hidden="1">"c1872"</definedName>
    <definedName name="IQ_EST_CURRENCY" hidden="1">"c2140"</definedName>
    <definedName name="IQ_EST_DATE" hidden="1">"c1634"</definedName>
    <definedName name="IQ_EST_DPS_DIFF" hidden="1">"c1873"</definedName>
    <definedName name="IQ_EST_DPS_GROWTH_1YR" hidden="1">"c1778"</definedName>
    <definedName name="IQ_EST_DPS_GROWTH_2YR" hidden="1">"c1779"</definedName>
    <definedName name="IQ_EST_DPS_GROWTH_Q_1YR" hidden="1">"c1780"</definedName>
    <definedName name="IQ_EST_DPS_SEQ_GROWTH_Q" hidden="1">"c1781"</definedName>
    <definedName name="IQ_EST_DPS_SURPRISE_PERCENT" hidden="1">"c1874"</definedName>
    <definedName name="IQ_EST_EBIT_DIFF" hidden="1">"c1875"</definedName>
    <definedName name="IQ_EST_EBIT_SURPRISE_PERCENT" hidden="1">"c1876"</definedName>
    <definedName name="IQ_EST_EBITDA_DIFF" hidden="1">"c1867"</definedName>
    <definedName name="IQ_EST_EBITDA_GROWTH_1YR" hidden="1">"c1766"</definedName>
    <definedName name="IQ_EST_EBITDA_GROWTH_2YR" hidden="1">"c1767"</definedName>
    <definedName name="IQ_EST_EBITDA_GROWTH_Q_1YR" hidden="1">"c1768"</definedName>
    <definedName name="IQ_EST_EBITDA_SEQ_GROWTH_Q" hidden="1">"c1769"</definedName>
    <definedName name="IQ_EST_EBITDA_SURPRISE_PERCENT" hidden="1">"c1868"</definedName>
    <definedName name="IQ_EST_EPS_DIFF" hidden="1">"c1864"</definedName>
    <definedName name="IQ_EST_EPS_GROWTH_1YR" hidden="1">"c1636"</definedName>
    <definedName name="IQ_EST_EPS_GROWTH_2YR" hidden="1">"c1637"</definedName>
    <definedName name="IQ_EST_EPS_GROWTH_5YR" hidden="1">"c1655"</definedName>
    <definedName name="IQ_EST_EPS_GROWTH_5YR_HIGH" hidden="1">"c1657"</definedName>
    <definedName name="IQ_EST_EPS_GROWTH_5YR_LOW" hidden="1">"c1658"</definedName>
    <definedName name="IQ_EST_EPS_GROWTH_5YR_MEDIAN" hidden="1">"c1656"</definedName>
    <definedName name="IQ_EST_EPS_GROWTH_5YR_NUM" hidden="1">"c1659"</definedName>
    <definedName name="IQ_EST_EPS_GROWTH_5YR_STDDEV" hidden="1">"c1660"</definedName>
    <definedName name="IQ_EST_EPS_GROWTH_Q_1YR" hidden="1">"c1641"</definedName>
    <definedName name="IQ_EST_EPS_GW_DIFF" hidden="1">"c1891"</definedName>
    <definedName name="IQ_EST_EPS_GW_SURPRISE_PERCENT" hidden="1">"c1892"</definedName>
    <definedName name="IQ_EST_EPS_NORM_DIFF" hidden="1">"c2247"</definedName>
    <definedName name="IQ_EST_EPS_NORM_SURPRISE_PERCENT" hidden="1">"c2248"</definedName>
    <definedName name="IQ_EST_EPS_REPORT_DIFF" hidden="1">"c1893"</definedName>
    <definedName name="IQ_EST_EPS_REPORT_SURPRISE_PERCENT" hidden="1">"c1894"</definedName>
    <definedName name="IQ_EST_EPS_SEQ_GROWTH_Q" hidden="1">"c1764"</definedName>
    <definedName name="IQ_EST_EPS_SURPRISE_PERCENT" hidden="1">"c1635"</definedName>
    <definedName name="IQ_EST_FFO_DIFF" hidden="1">"c1869"</definedName>
    <definedName name="IQ_EST_FFO_GROWTH_1YR" hidden="1">"c1770"</definedName>
    <definedName name="IQ_EST_FFO_GROWTH_2YR" hidden="1">"c1771"</definedName>
    <definedName name="IQ_EST_FFO_GROWTH_Q_1YR" hidden="1">"c1772"</definedName>
    <definedName name="IQ_EST_FFO_SEQ_GROWTH_Q" hidden="1">"c1773"</definedName>
    <definedName name="IQ_EST_FFO_SURPRISE_PERCENT" hidden="1">"c1870"</definedName>
    <definedName name="IQ_EST_NAV_DIFF" hidden="1">"c1895"</definedName>
    <definedName name="IQ_EST_NAV_SURPRISE_PERCENT" hidden="1">"c1896"</definedName>
    <definedName name="IQ_EST_NI_DIFF" hidden="1">"c1885"</definedName>
    <definedName name="IQ_EST_NI_GW_DIFF" hidden="1">"c1887"</definedName>
    <definedName name="IQ_EST_NI_GW_SURPRISE_PERCENT" hidden="1">"c1888"</definedName>
    <definedName name="IQ_EST_NI_REPORT_DIFF" hidden="1">"c1889"</definedName>
    <definedName name="IQ_EST_NI_REPORT_SURPRISE_PERCENT" hidden="1">"c1890"</definedName>
    <definedName name="IQ_EST_NI_SURPRISE_PERCENT" hidden="1">"c1886"</definedName>
    <definedName name="IQ_EST_NUM_BUY" hidden="1">"c1759"</definedName>
    <definedName name="IQ_EST_NUM_HOLD" hidden="1">"c1761"</definedName>
    <definedName name="IQ_EST_NUM_NO_OPINION" hidden="1">"c1758"</definedName>
    <definedName name="IQ_EST_NUM_OUTPERFORM" hidden="1">"c1760"</definedName>
    <definedName name="IQ_EST_NUM_SELL" hidden="1">"c1763"</definedName>
    <definedName name="IQ_EST_NUM_UNDERPERFORM" hidden="1">"c1762"</definedName>
    <definedName name="IQ_EST_OPER_INC_DIFF" hidden="1">"c1877"</definedName>
    <definedName name="IQ_EST_OPER_INC_SURPRISE_PERCENT" hidden="1">"c1878"</definedName>
    <definedName name="IQ_EST_PRE_TAX_DIFF" hidden="1">"c1879"</definedName>
    <definedName name="IQ_EST_PRE_TAX_GW_DIFF" hidden="1">"c1881"</definedName>
    <definedName name="IQ_EST_PRE_TAX_GW_SURPRISE_PERCENT" hidden="1">"c1882"</definedName>
    <definedName name="IQ_EST_PRE_TAX_REPORT_DIFF" hidden="1">"c1883"</definedName>
    <definedName name="IQ_EST_PRE_TAX_REPORT_SURPRISE_PERCENT" hidden="1">"c1884"</definedName>
    <definedName name="IQ_EST_PRE_TAX_SURPRISE_PERCENT" hidden="1">"c1880"</definedName>
    <definedName name="IQ_EST_REV_DIFF" hidden="1">"c1865"</definedName>
    <definedName name="IQ_EST_REV_GROWTH_1YR" hidden="1">"c1638"</definedName>
    <definedName name="IQ_EST_REV_GROWTH_2YR" hidden="1">"c1639"</definedName>
    <definedName name="IQ_EST_REV_GROWTH_Q_1YR" hidden="1">"c1640"</definedName>
    <definedName name="IQ_EST_REV_SEQ_GROWTH_Q" hidden="1">"c1765"</definedName>
    <definedName name="IQ_EST_REV_SURPRISE_PERCENT" hidden="1">"c1866"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PORTS_APR_FC_UNUSED_UNUSED_UNUSED" hidden="1">"c8401"</definedName>
    <definedName name="IQ_EXPORTS_APR_UNUSED_UNUSED_UNUSED" hidden="1">"c7521"</definedName>
    <definedName name="IQ_EXPORTS_FC_UNUSED_UNUSED_UNUSED" hidden="1">"c7741"</definedName>
    <definedName name="IQ_EXPORTS_GOODS_REAL_SAAR_APR_FC_UNUSED_UNUSED_UNUSED" hidden="1">"c8512"</definedName>
    <definedName name="IQ_EXPORTS_GOODS_REAL_SAAR_APR_UNUSED_UNUSED_UNUSED" hidden="1">"c7632"</definedName>
    <definedName name="IQ_EXPORTS_GOODS_REAL_SAAR_FC_UNUSED_UNUSED_UNUSED" hidden="1">"c7852"</definedName>
    <definedName name="IQ_EXPORTS_GOODS_REAL_SAAR_POP_FC_UNUSED_UNUSED_UNUSED" hidden="1">"c8072"</definedName>
    <definedName name="IQ_EXPORTS_GOODS_REAL_SAAR_POP_UNUSED_UNUSED_UNUSED" hidden="1">"c7192"</definedName>
    <definedName name="IQ_EXPORTS_GOODS_REAL_SAAR_UNUSED_UNUSED_UNUSED" hidden="1">"c6972"</definedName>
    <definedName name="IQ_EXPORTS_GOODS_REAL_SAAR_YOY_FC_UNUSED_UNUSED_UNUSED" hidden="1">"c8292"</definedName>
    <definedName name="IQ_EXPORTS_GOODS_REAL_SAAR_YOY_UNUSED_UNUSED_UNUSED" hidden="1">"c7412"</definedName>
    <definedName name="IQ_EXPORTS_POP_FC_UNUSED_UNUSED_UNUSED" hidden="1">"c7961"</definedName>
    <definedName name="IQ_EXPORTS_POP_UNUSED_UNUSED_UNUSED" hidden="1">"c7081"</definedName>
    <definedName name="IQ_EXPORTS_SERVICES_REAL_SAAR_APR_FC_UNUSED_UNUSED_UNUSED" hidden="1">"c8516"</definedName>
    <definedName name="IQ_EXPORTS_SERVICES_REAL_SAAR_APR_UNUSED_UNUSED_UNUSED" hidden="1">"c7636"</definedName>
    <definedName name="IQ_EXPORTS_SERVICES_REAL_SAAR_FC_UNUSED_UNUSED_UNUSED" hidden="1">"c7856"</definedName>
    <definedName name="IQ_EXPORTS_SERVICES_REAL_SAAR_POP_FC_UNUSED_UNUSED_UNUSED" hidden="1">"c8076"</definedName>
    <definedName name="IQ_EXPORTS_SERVICES_REAL_SAAR_POP_UNUSED_UNUSED_UNUSED" hidden="1">"c7196"</definedName>
    <definedName name="IQ_EXPORTS_SERVICES_REAL_SAAR_UNUSED_UNUSED_UNUSED" hidden="1">"c6976"</definedName>
    <definedName name="IQ_EXPORTS_SERVICES_REAL_SAAR_YOY_FC_UNUSED_UNUSED_UNUSED" hidden="1">"c8296"</definedName>
    <definedName name="IQ_EXPORTS_SERVICES_REAL_SAAR_YOY_UNUSED_UNUSED_UNUSED" hidden="1">"c7416"</definedName>
    <definedName name="IQ_EXPORTS_UNUSED_UNUSED_UNUSED" hidden="1">"c6861"</definedName>
    <definedName name="IQ_EXPORTS_YOY_FC_UNUSED_UNUSED_UNUSED" hidden="1">"c8181"</definedName>
    <definedName name="IQ_EXPORTS_YOY_UNUSED_UNUSED_UNUSED" hidden="1">"c7301"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EDFUNDS_SOLD" hidden="1">"c2256"</definedName>
    <definedName name="IQ_FFO" hidden="1">"c1574"</definedName>
    <definedName name="IQ_FFO_ACT_OR_EST" hidden="1">"c2216"</definedName>
    <definedName name="IQ_FFO_EST" hidden="1">"c418"</definedName>
    <definedName name="IQ_FFO_HIGH_EST" hidden="1">"c419"</definedName>
    <definedName name="IQ_FFO_LOW_EST" hidden="1">"c420"</definedName>
    <definedName name="IQ_FFO_MEDIAN_EST" hidden="1">"c1665"</definedName>
    <definedName name="IQ_FFO_NUM_EST" hidden="1">"c421"</definedName>
    <definedName name="IQ_FFO_STDDEV_EST" hidden="1">"c422"</definedName>
    <definedName name="IQ_FH" hidden="1">100000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INT_DATE" hidden="1">"c2186"</definedName>
    <definedName name="IQ_FIRST_YEAR_LIFE" hidden="1">"c439"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IXED_INVEST_APR_FC_UNUSED_UNUSED_UNUSED" hidden="1">"c8410"</definedName>
    <definedName name="IQ_FIXED_INVEST_APR_UNUSED_UNUSED_UNUSED" hidden="1">"c7530"</definedName>
    <definedName name="IQ_FIXED_INVEST_FC_UNUSED_UNUSED_UNUSED" hidden="1">"c7750"</definedName>
    <definedName name="IQ_FIXED_INVEST_POP_FC_UNUSED_UNUSED_UNUSED" hidden="1">"c7970"</definedName>
    <definedName name="IQ_FIXED_INVEST_POP_UNUSED_UNUSED_UNUSED" hidden="1">"c7090"</definedName>
    <definedName name="IQ_FIXED_INVEST_REAL_APR_FC_UNUSED_UNUSED_UNUSED" hidden="1">"c8518"</definedName>
    <definedName name="IQ_FIXED_INVEST_REAL_APR_UNUSED_UNUSED_UNUSED" hidden="1">"c7638"</definedName>
    <definedName name="IQ_FIXED_INVEST_REAL_FC_UNUSED_UNUSED_UNUSED" hidden="1">"c7858"</definedName>
    <definedName name="IQ_FIXED_INVEST_REAL_POP_FC_UNUSED_UNUSED_UNUSED" hidden="1">"c8078"</definedName>
    <definedName name="IQ_FIXED_INVEST_REAL_POP_UNUSED_UNUSED_UNUSED" hidden="1">"c7198"</definedName>
    <definedName name="IQ_FIXED_INVEST_REAL_UNUSED_UNUSED_UNUSED" hidden="1">"c6978"</definedName>
    <definedName name="IQ_FIXED_INVEST_REAL_YOY_FC_UNUSED_UNUSED_UNUSED" hidden="1">"c8298"</definedName>
    <definedName name="IQ_FIXED_INVEST_REAL_YOY_UNUSED_UNUSED_UNUSED" hidden="1">"c7418"</definedName>
    <definedName name="IQ_FIXED_INVEST_UNUSED_UNUSED_UNUSED" hidden="1">"c6870"</definedName>
    <definedName name="IQ_FIXED_INVEST_YOY_FC_UNUSED_UNUSED_UNUSED" hidden="1">"c8190"</definedName>
    <definedName name="IQ_FIXED_INVEST_YOY_UNUSED_UNUSED_UNUSED" hidden="1">"c7310"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"c1446"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"c1378"</definedName>
    <definedName name="IQ_GROSS_SPRD" hidden="1">"c2155"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_TARGET_PRICE" hidden="1">"c1651"</definedName>
    <definedName name="IQ_HIGHPRICE" hidden="1">"c545"</definedName>
    <definedName name="IQ_HOMEOWNERS_WRITTEN" hidden="1">"c546"</definedName>
    <definedName name="IQ_HOUSING_COMPLETIONS_SINGLE_FAM_APR_FC_UNUSED_UNUSED_UNUSED" hidden="1">"c8422"</definedName>
    <definedName name="IQ_HOUSING_COMPLETIONS_SINGLE_FAM_APR_UNUSED_UNUSED_UNUSED" hidden="1">"c7542"</definedName>
    <definedName name="IQ_HOUSING_COMPLETIONS_SINGLE_FAM_FC_UNUSED_UNUSED_UNUSED" hidden="1">"c7762"</definedName>
    <definedName name="IQ_HOUSING_COMPLETIONS_SINGLE_FAM_POP_FC_UNUSED_UNUSED_UNUSED" hidden="1">"c7982"</definedName>
    <definedName name="IQ_HOUSING_COMPLETIONS_SINGLE_FAM_POP_UNUSED_UNUSED_UNUSED" hidden="1">"c7102"</definedName>
    <definedName name="IQ_HOUSING_COMPLETIONS_SINGLE_FAM_UNUSED_UNUSED_UNUSED" hidden="1">"c6882"</definedName>
    <definedName name="IQ_HOUSING_COMPLETIONS_SINGLE_FAM_YOY_FC_UNUSED_UNUSED_UNUSED" hidden="1">"c8202"</definedName>
    <definedName name="IQ_HOUSING_COMPLETIONS_SINGLE_FAM_YOY_UNUSED_UNUSED_UNUSED" hidden="1">"c7322"</definedName>
    <definedName name="IQ_IMPAIR_OIL" hidden="1">"c547"</definedName>
    <definedName name="IQ_IMPAIRMENT_GW" hidden="1">"c548"</definedName>
    <definedName name="IQ_IMPORTS_GOODS_REAL_SAAR_APR_FC_UNUSED_UNUSED_UNUSED" hidden="1">"c8523"</definedName>
    <definedName name="IQ_IMPORTS_GOODS_REAL_SAAR_APR_UNUSED_UNUSED_UNUSED" hidden="1">"c7643"</definedName>
    <definedName name="IQ_IMPORTS_GOODS_REAL_SAAR_FC_UNUSED_UNUSED_UNUSED" hidden="1">"c7863"</definedName>
    <definedName name="IQ_IMPORTS_GOODS_REAL_SAAR_POP_FC_UNUSED_UNUSED_UNUSED" hidden="1">"c8083"</definedName>
    <definedName name="IQ_IMPORTS_GOODS_REAL_SAAR_POP_UNUSED_UNUSED_UNUSED" hidden="1">"c7203"</definedName>
    <definedName name="IQ_IMPORTS_GOODS_REAL_SAAR_UNUSED_UNUSED_UNUSED" hidden="1">"c6983"</definedName>
    <definedName name="IQ_IMPORTS_GOODS_REAL_SAAR_YOY_FC_UNUSED_UNUSED_UNUSED" hidden="1">"c8303"</definedName>
    <definedName name="IQ_IMPORTS_GOODS_REAL_SAAR_YOY_UNUSED_UNUSED_UNUSED" hidden="1">"c7423"</definedName>
    <definedName name="IQ_IMPORTS_GOODS_SERVICES_APR_FC_UNUSED_UNUSED_UNUSED" hidden="1">"c8429"</definedName>
    <definedName name="IQ_IMPORTS_GOODS_SERVICES_APR_UNUSED_UNUSED_UNUSED" hidden="1">"c7549"</definedName>
    <definedName name="IQ_IMPORTS_GOODS_SERVICES_FC_UNUSED_UNUSED_UNUSED" hidden="1">"c7769"</definedName>
    <definedName name="IQ_IMPORTS_GOODS_SERVICES_POP_FC_UNUSED_UNUSED_UNUSED" hidden="1">"c7989"</definedName>
    <definedName name="IQ_IMPORTS_GOODS_SERVICES_POP_UNUSED_UNUSED_UNUSED" hidden="1">"c7109"</definedName>
    <definedName name="IQ_IMPORTS_GOODS_SERVICES_REAL_SAAR_APR_FC_UNUSED_UNUSED_UNUSED" hidden="1">"c8524"</definedName>
    <definedName name="IQ_IMPORTS_GOODS_SERVICES_REAL_SAAR_APR_UNUSED_UNUSED_UNUSED" hidden="1">"c7644"</definedName>
    <definedName name="IQ_IMPORTS_GOODS_SERVICES_REAL_SAAR_FC_UNUSED_UNUSED_UNUSED" hidden="1">"c7864"</definedName>
    <definedName name="IQ_IMPORTS_GOODS_SERVICES_REAL_SAAR_POP_FC_UNUSED_UNUSED_UNUSED" hidden="1">"c8084"</definedName>
    <definedName name="IQ_IMPORTS_GOODS_SERVICES_REAL_SAAR_POP_UNUSED_UNUSED_UNUSED" hidden="1">"c7204"</definedName>
    <definedName name="IQ_IMPORTS_GOODS_SERVICES_REAL_SAAR_UNUSED_UNUSED_UNUSED" hidden="1">"c6984"</definedName>
    <definedName name="IQ_IMPORTS_GOODS_SERVICES_REAL_SAAR_YOY_FC_UNUSED_UNUSED_UNUSED" hidden="1">"c8304"</definedName>
    <definedName name="IQ_IMPORTS_GOODS_SERVICES_REAL_SAAR_YOY_UNUSED_UNUSED_UNUSED" hidden="1">"c7424"</definedName>
    <definedName name="IQ_IMPORTS_GOODS_SERVICES_UNUSED_UNUSED_UNUSED" hidden="1">"c6889"</definedName>
    <definedName name="IQ_IMPORTS_GOODS_SERVICES_YOY_FC_UNUSED_UNUSED_UNUSED" hidden="1">"c8209"</definedName>
    <definedName name="IQ_IMPORTS_GOODS_SERVICES_YOY_UNUSED_UNUSED_UNUSED" hidden="1">"c7329"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M_SERVICES_APR_FC_UNUSED_UNUSED_UNUSED" hidden="1">"c8443"</definedName>
    <definedName name="IQ_ISM_SERVICES_APR_UNUSED_UNUSED_UNUSED" hidden="1">"c7563"</definedName>
    <definedName name="IQ_ISM_SERVICES_FC_UNUSED_UNUSED_UNUSED" hidden="1">"c7783"</definedName>
    <definedName name="IQ_ISM_SERVICES_POP_FC_UNUSED_UNUSED_UNUSED" hidden="1">"c8003"</definedName>
    <definedName name="IQ_ISM_SERVICES_POP_UNUSED_UNUSED_UNUSED" hidden="1">"c7123"</definedName>
    <definedName name="IQ_ISM_SERVICES_UNUSED_UNUSED_UNUSED" hidden="1">"c6903"</definedName>
    <definedName name="IQ_ISM_SERVICES_YOY_FC_UNUSED_UNUSED_UNUSED" hidden="1">"c8223"</definedName>
    <definedName name="IQ_ISM_SERVICES_YOY_UNUSED_UNUSED_UNUSED" hidden="1">"c7343"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ICENSED_POPS" hidden="1">"c2123"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W_TARGET_PRICE" hidden="1">"c1652"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LTMMONTH" hidden="1">120000</definedName>
    <definedName name="IQ_MACHINERY" hidden="1">"c711"</definedName>
    <definedName name="IQ_MAINT_REPAIR" hidden="1">"c2087"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EDIAN_NEW_HOME_SALES_APR_FC_UNUSED_UNUSED_UNUSED" hidden="1">"c8460"</definedName>
    <definedName name="IQ_MEDIAN_NEW_HOME_SALES_APR_UNUSED_UNUSED_UNUSED" hidden="1">"c7580"</definedName>
    <definedName name="IQ_MEDIAN_NEW_HOME_SALES_FC_UNUSED_UNUSED_UNUSED" hidden="1">"c7800"</definedName>
    <definedName name="IQ_MEDIAN_NEW_HOME_SALES_POP_FC_UNUSED_UNUSED_UNUSED" hidden="1">"c8020"</definedName>
    <definedName name="IQ_MEDIAN_NEW_HOME_SALES_POP_UNUSED_UNUSED_UNUSED" hidden="1">"c7140"</definedName>
    <definedName name="IQ_MEDIAN_NEW_HOME_SALES_UNUSED_UNUSED_UNUSED" hidden="1">"c6920"</definedName>
    <definedName name="IQ_MEDIAN_NEW_HOME_SALES_YOY_FC_UNUSED_UNUSED_UNUSED" hidden="1">"c8240"</definedName>
    <definedName name="IQ_MEDIAN_NEW_HOME_SALES_YOY_UNUSED_UNUSED_UNUSED" hidden="1">"c7360"</definedName>
    <definedName name="IQ_MEDIAN_TARGET_PRICE" hidden="1">"c1650"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M_ACCOUNT" hidden="1">"c743"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MTD" hidden="1">800000</definedName>
    <definedName name="IQ_NAMES_REVISION_DATE_" hidden="1">40473.6015972222</definedName>
    <definedName name="IQ_NAV_ACT_OR_EST" hidden="1">"c2225"</definedName>
    <definedName name="IQ_NAV_EST" hidden="1">"c1751"</definedName>
    <definedName name="IQ_NAV_HIGH_EST" hidden="1">"c1753"</definedName>
    <definedName name="IQ_NAV_LOW_EST" hidden="1">"c1754"</definedName>
    <definedName name="IQ_NAV_MEDIAN_EST" hidden="1">"c1752"</definedName>
    <definedName name="IQ_NAV_NUM_EST" hidden="1">"c1755"</definedName>
    <definedName name="IQ_NAV_STDDEV_EST" hidden="1">"c1756"</definedName>
    <definedName name="IQ_NET_CHANGE" hidden="1">"c749"</definedName>
    <definedName name="IQ_NET_DEBT" hidden="1">"c1584"</definedName>
    <definedName name="IQ_NET_DEBT_EBITDA" hidden="1">"c750"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CT_OR_EST" hidden="1">"c2222"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EST" hidden="1">"c1716"</definedName>
    <definedName name="IQ_NI_GW_EST" hidden="1">"c1723"</definedName>
    <definedName name="IQ_NI_GW_HIGH_EST" hidden="1">"c1725"</definedName>
    <definedName name="IQ_NI_GW_LOW_EST" hidden="1">"c1726"</definedName>
    <definedName name="IQ_NI_GW_MEDIAN_EST" hidden="1">"c1724"</definedName>
    <definedName name="IQ_NI_GW_NUM_EST" hidden="1">"c1727"</definedName>
    <definedName name="IQ_NI_GW_STDDEV_EST" hidden="1">"c1728"</definedName>
    <definedName name="IQ_NI_HIGH_EST" hidden="1">"c1718"</definedName>
    <definedName name="IQ_NI_LOW_EST" hidden="1">"c1719"</definedName>
    <definedName name="IQ_NI_MARGIN" hidden="1">"c794"</definedName>
    <definedName name="IQ_NI_MEDIAN_EST" hidden="1">"c1717"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NUM_EST" hidden="1">"c1720"</definedName>
    <definedName name="IQ_NI_REPORTED_EST" hidden="1">"c1730"</definedName>
    <definedName name="IQ_NI_REPORTED_HIGH_EST" hidden="1">"c1732"</definedName>
    <definedName name="IQ_NI_REPORTED_LOW_EST" hidden="1">"c1733"</definedName>
    <definedName name="IQ_NI_REPORTED_MEDIAN_EST" hidden="1">"c1731"</definedName>
    <definedName name="IQ_NI_REPORTED_NUM_EST" hidden="1">"c1734"</definedName>
    <definedName name="IQ_NI_REPORTED_STDDEV_EST" hidden="1">"c1735"</definedName>
    <definedName name="IQ_NI_SFAS" hidden="1">"c795"</definedName>
    <definedName name="IQ_NI_STDDEV_EST" hidden="1">"c1721"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RES_FIXED_INVEST_PRIV_APR_FC_UNUSED_UNUSED_UNUSED" hidden="1">"c8468"</definedName>
    <definedName name="IQ_NONRES_FIXED_INVEST_PRIV_APR_UNUSED_UNUSED_UNUSED" hidden="1">"c7588"</definedName>
    <definedName name="IQ_NONRES_FIXED_INVEST_PRIV_FC_UNUSED_UNUSED_UNUSED" hidden="1">"c7808"</definedName>
    <definedName name="IQ_NONRES_FIXED_INVEST_PRIV_POP_FC_UNUSED_UNUSED_UNUSED" hidden="1">"c8028"</definedName>
    <definedName name="IQ_NONRES_FIXED_INVEST_PRIV_POP_UNUSED_UNUSED_UNUSED" hidden="1">"c7148"</definedName>
    <definedName name="IQ_NONRES_FIXED_INVEST_PRIV_UNUSED_UNUSED_UNUSED" hidden="1">"c6928"</definedName>
    <definedName name="IQ_NONRES_FIXED_INVEST_PRIV_YOY_FC_UNUSED_UNUSED_UNUSED" hidden="1">"c8248"</definedName>
    <definedName name="IQ_NONRES_FIXED_INVEST_PRIV_YOY_UNUSED_UNUSED_UNUSED" hidden="1">"c7368"</definedName>
    <definedName name="IQ_NONUTIL_REV" hidden="1">"c2089"</definedName>
    <definedName name="IQ_NORM_EPS_ACT_OR_EST" hidden="1">"c2249"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CLOSE_BALANCE_GAS" hidden="1">"c2049"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OIL" hidden="1">"c2035"</definedName>
    <definedName name="IQ_OG_PURCHASES_GAS" hidden="1">"c2045"</definedName>
    <definedName name="IQ_OG_PURCHASES_OIL" hidden="1">"c2033"</definedName>
    <definedName name="IQ_OG_REVISIONS_GAS" hidden="1">"c2042"</definedName>
    <definedName name="IQ_OG_REVISIONS_OIL" hidden="1">"c2030"</definedName>
    <definedName name="IQ_OG_SALES_IN_PLACE_GAS" hidden="1">"c2046"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TOTAL_OIL_PRODUCTON" hidden="1">"c2059"</definedName>
    <definedName name="IQ_OG_UNDEVELOPED_RESERVES_GAS" hidden="1">"c2051"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ACT_OR_EST" hidden="1">"c2220"</definedName>
    <definedName name="IQ_OPER_INC_BR" hidden="1">"c850"</definedName>
    <definedName name="IQ_OPER_INC_EST" hidden="1">"c1688"</definedName>
    <definedName name="IQ_OPER_INC_FIN" hidden="1">"c851"</definedName>
    <definedName name="IQ_OPER_INC_HIGH_EST" hidden="1">"c1690"</definedName>
    <definedName name="IQ_OPER_INC_INS" hidden="1">"c852"</definedName>
    <definedName name="IQ_OPER_INC_LOW_EST" hidden="1">"c1691"</definedName>
    <definedName name="IQ_OPER_INC_MARGIN" hidden="1">"c1448"</definedName>
    <definedName name="IQ_OPER_INC_MEDIAN_EST" hidden="1">"c1689"</definedName>
    <definedName name="IQ_OPER_INC_NUM_EST" hidden="1">"c1692"</definedName>
    <definedName name="IQ_OPER_INC_REIT" hidden="1">"c853"</definedName>
    <definedName name="IQ_OPER_INC_STDDEV_EST" hidden="1">"c1693"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ISSUED" hidden="1">"c857"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"c2128"</definedName>
    <definedName name="IQ_OUTSTANDING_FILING_DATE" hidden="1">"c2127"</definedName>
    <definedName name="IQ_OWNERSHIP" hidden="1">"c2160"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NORMALIZED" hidden="1">"c2207"</definedName>
    <definedName name="IQ_PE_RATIO" hidden="1">"c1610"</definedName>
    <definedName name="IQ_PEG_FWD" hidden="1">"c1863"</definedName>
    <definedName name="IQ_PENSION" hidden="1">"c1031"</definedName>
    <definedName name="IQ_PERCENT_CHANGE_EST_5YR_GROWTH_RATE_12MONTHS" hidden="1">"c1852"</definedName>
    <definedName name="IQ_PERCENT_CHANGE_EST_5YR_GROWTH_RATE_18MONTHS" hidden="1">"c1853"</definedName>
    <definedName name="IQ_PERCENT_CHANGE_EST_5YR_GROWTH_RATE_3MONTHS" hidden="1">"c1849"</definedName>
    <definedName name="IQ_PERCENT_CHANGE_EST_5YR_GROWTH_RATE_6MONTHS" hidden="1">"c1850"</definedName>
    <definedName name="IQ_PERCENT_CHANGE_EST_5YR_GROWTH_RATE_9MONTHS" hidden="1">"c1851"</definedName>
    <definedName name="IQ_PERCENT_CHANGE_EST_5YR_GROWTH_RATE_DAY" hidden="1">"c1846"</definedName>
    <definedName name="IQ_PERCENT_CHANGE_EST_5YR_GROWTH_RATE_MONTH" hidden="1">"c1848"</definedName>
    <definedName name="IQ_PERCENT_CHANGE_EST_5YR_GROWTH_RATE_WEEK" hidden="1">"c1847"</definedName>
    <definedName name="IQ_PERCENT_CHANGE_EST_CFPS_12MONTHS" hidden="1">"c1812"</definedName>
    <definedName name="IQ_PERCENT_CHANGE_EST_CFPS_18MONTHS" hidden="1">"c1813"</definedName>
    <definedName name="IQ_PERCENT_CHANGE_EST_CFPS_3MONTHS" hidden="1">"c1809"</definedName>
    <definedName name="IQ_PERCENT_CHANGE_EST_CFPS_6MONTHS" hidden="1">"c1810"</definedName>
    <definedName name="IQ_PERCENT_CHANGE_EST_CFPS_9MONTHS" hidden="1">"c1811"</definedName>
    <definedName name="IQ_PERCENT_CHANGE_EST_CFPS_DAY" hidden="1">"c1806"</definedName>
    <definedName name="IQ_PERCENT_CHANGE_EST_CFPS_MONTH" hidden="1">"c1808"</definedName>
    <definedName name="IQ_PERCENT_CHANGE_EST_CFPS_WEEK" hidden="1">"c1807"</definedName>
    <definedName name="IQ_PERCENT_CHANGE_EST_DPS_12MONTHS" hidden="1">"c1820"</definedName>
    <definedName name="IQ_PERCENT_CHANGE_EST_DPS_18MONTHS" hidden="1">"c1821"</definedName>
    <definedName name="IQ_PERCENT_CHANGE_EST_DPS_3MONTHS" hidden="1">"c1817"</definedName>
    <definedName name="IQ_PERCENT_CHANGE_EST_DPS_6MONTHS" hidden="1">"c1818"</definedName>
    <definedName name="IQ_PERCENT_CHANGE_EST_DPS_9MONTHS" hidden="1">"c1819"</definedName>
    <definedName name="IQ_PERCENT_CHANGE_EST_DPS_DAY" hidden="1">"c1814"</definedName>
    <definedName name="IQ_PERCENT_CHANGE_EST_DPS_MONTH" hidden="1">"c1816"</definedName>
    <definedName name="IQ_PERCENT_CHANGE_EST_DPS_WEEK" hidden="1">"c1815"</definedName>
    <definedName name="IQ_PERCENT_CHANGE_EST_EBITDA_12MONTHS" hidden="1">"c1804"</definedName>
    <definedName name="IQ_PERCENT_CHANGE_EST_EBITDA_18MONTHS" hidden="1">"c1805"</definedName>
    <definedName name="IQ_PERCENT_CHANGE_EST_EBITDA_3MONTHS" hidden="1">"c1801"</definedName>
    <definedName name="IQ_PERCENT_CHANGE_EST_EBITDA_6MONTHS" hidden="1">"c1802"</definedName>
    <definedName name="IQ_PERCENT_CHANGE_EST_EBITDA_9MONTHS" hidden="1">"c1803"</definedName>
    <definedName name="IQ_PERCENT_CHANGE_EST_EBITDA_DAY" hidden="1">"c1798"</definedName>
    <definedName name="IQ_PERCENT_CHANGE_EST_EBITDA_MONTH" hidden="1">"c1800"</definedName>
    <definedName name="IQ_PERCENT_CHANGE_EST_EBITDA_WEEK" hidden="1">"c1799"</definedName>
    <definedName name="IQ_PERCENT_CHANGE_EST_EPS_12MONTHS" hidden="1">"c1788"</definedName>
    <definedName name="IQ_PERCENT_CHANGE_EST_EPS_18MONTHS" hidden="1">"c1789"</definedName>
    <definedName name="IQ_PERCENT_CHANGE_EST_EPS_3MONTHS" hidden="1">"c1785"</definedName>
    <definedName name="IQ_PERCENT_CHANGE_EST_EPS_6MONTHS" hidden="1">"c1786"</definedName>
    <definedName name="IQ_PERCENT_CHANGE_EST_EPS_9MONTHS" hidden="1">"c1787"</definedName>
    <definedName name="IQ_PERCENT_CHANGE_EST_EPS_DAY" hidden="1">"c1782"</definedName>
    <definedName name="IQ_PERCENT_CHANGE_EST_EPS_MONTH" hidden="1">"c1784"</definedName>
    <definedName name="IQ_PERCENT_CHANGE_EST_EPS_WEEK" hidden="1">"c1783"</definedName>
    <definedName name="IQ_PERCENT_CHANGE_EST_FFO_12MONTHS" hidden="1">"c1828"</definedName>
    <definedName name="IQ_PERCENT_CHANGE_EST_FFO_18MONTHS" hidden="1">"c1829"</definedName>
    <definedName name="IQ_PERCENT_CHANGE_EST_FFO_3MONTHS" hidden="1">"c1825"</definedName>
    <definedName name="IQ_PERCENT_CHANGE_EST_FFO_6MONTHS" hidden="1">"c1826"</definedName>
    <definedName name="IQ_PERCENT_CHANGE_EST_FFO_9MONTHS" hidden="1">"c1827"</definedName>
    <definedName name="IQ_PERCENT_CHANGE_EST_FFO_DAY" hidden="1">"c1822"</definedName>
    <definedName name="IQ_PERCENT_CHANGE_EST_FFO_MONTH" hidden="1">"c1824"</definedName>
    <definedName name="IQ_PERCENT_CHANGE_EST_FFO_WEEK" hidden="1">"c1823"</definedName>
    <definedName name="IQ_PERCENT_CHANGE_EST_PRICE_TARGET_12MONTHS" hidden="1">"c1844"</definedName>
    <definedName name="IQ_PERCENT_CHANGE_EST_PRICE_TARGET_18MONTHS" hidden="1">"c1845"</definedName>
    <definedName name="IQ_PERCENT_CHANGE_EST_PRICE_TARGET_3MONTHS" hidden="1">"c1841"</definedName>
    <definedName name="IQ_PERCENT_CHANGE_EST_PRICE_TARGET_6MONTHS" hidden="1">"c1842"</definedName>
    <definedName name="IQ_PERCENT_CHANGE_EST_PRICE_TARGET_9MONTHS" hidden="1">"c1843"</definedName>
    <definedName name="IQ_PERCENT_CHANGE_EST_PRICE_TARGET_DAY" hidden="1">"c1838"</definedName>
    <definedName name="IQ_PERCENT_CHANGE_EST_PRICE_TARGET_MONTH" hidden="1">"c1840"</definedName>
    <definedName name="IQ_PERCENT_CHANGE_EST_PRICE_TARGET_WEEK" hidden="1">"c1839"</definedName>
    <definedName name="IQ_PERCENT_CHANGE_EST_RECO_12MONTHS" hidden="1">"c1836"</definedName>
    <definedName name="IQ_PERCENT_CHANGE_EST_RECO_18MONTHS" hidden="1">"c1837"</definedName>
    <definedName name="IQ_PERCENT_CHANGE_EST_RECO_3MONTHS" hidden="1">"c1833"</definedName>
    <definedName name="IQ_PERCENT_CHANGE_EST_RECO_6MONTHS" hidden="1">"c1834"</definedName>
    <definedName name="IQ_PERCENT_CHANGE_EST_RECO_9MONTHS" hidden="1">"c1835"</definedName>
    <definedName name="IQ_PERCENT_CHANGE_EST_RECO_DAY" hidden="1">"c1830"</definedName>
    <definedName name="IQ_PERCENT_CHANGE_EST_RECO_MONTH" hidden="1">"c1832"</definedName>
    <definedName name="IQ_PERCENT_CHANGE_EST_RECO_WEEK" hidden="1">"c1831"</definedName>
    <definedName name="IQ_PERCENT_CHANGE_EST_REV_12MONTHS" hidden="1">"c1796"</definedName>
    <definedName name="IQ_PERCENT_CHANGE_EST_REV_18MONTHS" hidden="1">"c1797"</definedName>
    <definedName name="IQ_PERCENT_CHANGE_EST_REV_3MONTHS" hidden="1">"c1793"</definedName>
    <definedName name="IQ_PERCENT_CHANGE_EST_REV_6MONTHS" hidden="1">"c1794"</definedName>
    <definedName name="IQ_PERCENT_CHANGE_EST_REV_9MONTHS" hidden="1">"c1795"</definedName>
    <definedName name="IQ_PERCENT_CHANGE_EST_REV_DAY" hidden="1">"c1790"</definedName>
    <definedName name="IQ_PERCENT_CHANGE_EST_REV_MONTH" hidden="1">"c1792"</definedName>
    <definedName name="IQ_PERCENT_CHANGE_EST_REV_WEEK" hidden="1">"c1791"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 hidden="1">"c2236"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" hidden="1">"c1855"</definedName>
    <definedName name="IQ_PRE_OPEN_COST" hidden="1">"c1040"</definedName>
    <definedName name="IQ_PRE_TAX_ACT_OR_EST" hidden="1">"c2221"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GW_INC_EST" hidden="1">"c1702"</definedName>
    <definedName name="IQ_PRETAX_GW_INC_HIGH_EST" hidden="1">"c1704"</definedName>
    <definedName name="IQ_PRETAX_GW_INC_LOW_EST" hidden="1">"c1705"</definedName>
    <definedName name="IQ_PRETAX_GW_INC_MEDIAN_EST" hidden="1">"c1703"</definedName>
    <definedName name="IQ_PRETAX_GW_INC_NUM_EST" hidden="1">"c1706"</definedName>
    <definedName name="IQ_PRETAX_GW_INC_STDDEV_EST" hidden="1">"c1707"</definedName>
    <definedName name="IQ_PRETAX_INC_EST" hidden="1">"c1695"</definedName>
    <definedName name="IQ_PRETAX_INC_HIGH_EST" hidden="1">"c1697"</definedName>
    <definedName name="IQ_PRETAX_INC_LOW_EST" hidden="1">"c1698"</definedName>
    <definedName name="IQ_PRETAX_INC_MEDIAN_EST" hidden="1">"c1696"</definedName>
    <definedName name="IQ_PRETAX_INC_NUM_EST" hidden="1">"c1699"</definedName>
    <definedName name="IQ_PRETAX_INC_STDDEV_EST" hidden="1">"c1700"</definedName>
    <definedName name="IQ_PRETAX_REPORT_INC_EST" hidden="1">"c1709"</definedName>
    <definedName name="IQ_PRETAX_REPORT_INC_HIGH_EST" hidden="1">"c1711"</definedName>
    <definedName name="IQ_PRETAX_REPORT_INC_LOW_EST" hidden="1">"c1712"</definedName>
    <definedName name="IQ_PRETAX_REPORT_INC_MEDIAN_EST" hidden="1">"c1710"</definedName>
    <definedName name="IQ_PRETAX_REPORT_INC_NUM_EST" hidden="1">"c1713"</definedName>
    <definedName name="IQ_PRETAX_REPORT_INC_STDDEV_EST" hidden="1">"c1714"</definedName>
    <definedName name="IQ_PRICE_CFPS_FWD" hidden="1">"c2237"</definedName>
    <definedName name="IQ_PRICE_OVER_BVPS" hidden="1">"c1412"</definedName>
    <definedName name="IQ_PRICE_OVER_LTM_EPS" hidden="1">"c1413"</definedName>
    <definedName name="IQ_PRICE_TARGET" hidden="1">"c82"</definedName>
    <definedName name="IQ_PRICEDATE" hidden="1">"c1069"</definedName>
    <definedName name="IQ_PRICING_DATE" hidden="1">"c1613"</definedName>
    <definedName name="IQ_PRIMARY_INDUSTRY" hidden="1">"c1070"</definedName>
    <definedName name="IQ_PRINCIPAL_AMT" hidden="1">"c2157"</definedName>
    <definedName name="IQ_PRIVATE_CONST_TOTAL_APR_FC_UNUSED_UNUSED_UNUSED" hidden="1">"c8559"</definedName>
    <definedName name="IQ_PRIVATE_CONST_TOTAL_APR_UNUSED_UNUSED_UNUSED" hidden="1">"c7679"</definedName>
    <definedName name="IQ_PRIVATE_CONST_TOTAL_FC_UNUSED_UNUSED_UNUSED" hidden="1">"c7899"</definedName>
    <definedName name="IQ_PRIVATE_CONST_TOTAL_POP_FC_UNUSED_UNUSED_UNUSED" hidden="1">"c8119"</definedName>
    <definedName name="IQ_PRIVATE_CONST_TOTAL_POP_UNUSED_UNUSED_UNUSED" hidden="1">"c7239"</definedName>
    <definedName name="IQ_PRIVATE_CONST_TOTAL_UNUSED_UNUSED_UNUSED" hidden="1">"c7019"</definedName>
    <definedName name="IQ_PRIVATE_CONST_TOTAL_YOY_FC_UNUSED_UNUSED_UNUSED" hidden="1">"c8339"</definedName>
    <definedName name="IQ_PRIVATE_CONST_TOTAL_YOY_UNUSED_UNUSED_UNUSED" hidden="1">"c7459"</definedName>
    <definedName name="IQ_PRIVATE_RES_CONST_REAL_APR_FC_UNUSED_UNUSED_UNUSED" hidden="1">"c8535"</definedName>
    <definedName name="IQ_PRIVATE_RES_CONST_REAL_APR_UNUSED_UNUSED_UNUSED" hidden="1">"c7655"</definedName>
    <definedName name="IQ_PRIVATE_RES_CONST_REAL_FC_UNUSED_UNUSED_UNUSED" hidden="1">"c7875"</definedName>
    <definedName name="IQ_PRIVATE_RES_CONST_REAL_POP_FC_UNUSED_UNUSED_UNUSED" hidden="1">"c8095"</definedName>
    <definedName name="IQ_PRIVATE_RES_CONST_REAL_POP_UNUSED_UNUSED_UNUSED" hidden="1">"c7215"</definedName>
    <definedName name="IQ_PRIVATE_RES_CONST_REAL_UNUSED_UNUSED_UNUSED" hidden="1">"c6995"</definedName>
    <definedName name="IQ_PRIVATE_RES_CONST_REAL_YOY_FC_UNUSED_UNUSED_UNUSED" hidden="1">"c8315"</definedName>
    <definedName name="IQ_PRIVATE_RES_CONST_REAL_YOY_UNUSED_UNUSED_UNUSED" hidden="1">"c7435"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RCHASES_EQUIP_NONRES_SAAR_APR_FC_UNUSED_UNUSED_UNUSED" hidden="1">"c8491"</definedName>
    <definedName name="IQ_PURCHASES_EQUIP_NONRES_SAAR_APR_UNUSED_UNUSED_UNUSED" hidden="1">"c7611"</definedName>
    <definedName name="IQ_PURCHASES_EQUIP_NONRES_SAAR_FC_UNUSED_UNUSED_UNUSED" hidden="1">"c7831"</definedName>
    <definedName name="IQ_PURCHASES_EQUIP_NONRES_SAAR_POP_FC_UNUSED_UNUSED_UNUSED" hidden="1">"c8051"</definedName>
    <definedName name="IQ_PURCHASES_EQUIP_NONRES_SAAR_POP_UNUSED_UNUSED_UNUSED" hidden="1">"c7171"</definedName>
    <definedName name="IQ_PURCHASES_EQUIP_NONRES_SAAR_UNUSED_UNUSED_UNUSED" hidden="1">"c6951"</definedName>
    <definedName name="IQ_PURCHASES_EQUIP_NONRES_SAAR_YOY_FC_UNUSED_UNUSED_UNUSED" hidden="1">"c8271"</definedName>
    <definedName name="IQ_PURCHASES_EQUIP_NONRES_SAAR_YOY_UNUSED_UNUSED_UNUSED" hidden="1">"c7391"</definedName>
    <definedName name="IQ_QTD" hidden="1">750000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_CONST_REAL_APR_FC_UNUSED_UNUSED_UNUSED" hidden="1">"c8536"</definedName>
    <definedName name="IQ_RES_CONST_REAL_APR_UNUSED_UNUSED_UNUSED" hidden="1">"c7656"</definedName>
    <definedName name="IQ_RES_CONST_REAL_FC_UNUSED_UNUSED_UNUSED" hidden="1">"c7876"</definedName>
    <definedName name="IQ_RES_CONST_REAL_POP_FC_UNUSED_UNUSED_UNUSED" hidden="1">"c8096"</definedName>
    <definedName name="IQ_RES_CONST_REAL_POP_UNUSED_UNUSED_UNUSED" hidden="1">"c7216"</definedName>
    <definedName name="IQ_RES_CONST_REAL_SAAR_APR_FC_UNUSED_UNUSED_UNUSED" hidden="1">"c8537"</definedName>
    <definedName name="IQ_RES_CONST_REAL_SAAR_APR_UNUSED_UNUSED_UNUSED" hidden="1">"c7657"</definedName>
    <definedName name="IQ_RES_CONST_REAL_SAAR_FC_UNUSED_UNUSED_UNUSED" hidden="1">"c7877"</definedName>
    <definedName name="IQ_RES_CONST_REAL_SAAR_POP_FC_UNUSED_UNUSED_UNUSED" hidden="1">"c8097"</definedName>
    <definedName name="IQ_RES_CONST_REAL_SAAR_POP_UNUSED_UNUSED_UNUSED" hidden="1">"c7217"</definedName>
    <definedName name="IQ_RES_CONST_REAL_SAAR_UNUSED_UNUSED_UNUSED" hidden="1">"c6997"</definedName>
    <definedName name="IQ_RES_CONST_REAL_SAAR_YOY_FC_UNUSED_UNUSED_UNUSED" hidden="1">"c8317"</definedName>
    <definedName name="IQ_RES_CONST_REAL_SAAR_YOY_UNUSED_UNUSED_UNUSED" hidden="1">"c7437"</definedName>
    <definedName name="IQ_RES_CONST_REAL_UNUSED_UNUSED_UNUSED" hidden="1">"c6996"</definedName>
    <definedName name="IQ_RES_CONST_REAL_YOY_FC_UNUSED_UNUSED_UNUSED" hidden="1">"c8316"</definedName>
    <definedName name="IQ_RES_CONST_REAL_YOY_UNUSED_UNUSED_UNUSED" hidden="1">"c7436"</definedName>
    <definedName name="IQ_RES_CONST_SAAR_APR_FC_UNUSED_UNUSED_UNUSED" hidden="1">"c8540"</definedName>
    <definedName name="IQ_RES_CONST_SAAR_APR_UNUSED_UNUSED_UNUSED" hidden="1">"c7660"</definedName>
    <definedName name="IQ_RES_CONST_SAAR_FC_UNUSED_UNUSED_UNUSED" hidden="1">"c7880"</definedName>
    <definedName name="IQ_RES_CONST_SAAR_POP_FC_UNUSED_UNUSED_UNUSED" hidden="1">"c8100"</definedName>
    <definedName name="IQ_RES_CONST_SAAR_POP_UNUSED_UNUSED_UNUSED" hidden="1">"c7220"</definedName>
    <definedName name="IQ_RES_CONST_SAAR_UNUSED_UNUSED_UNUSED" hidden="1">"c7000"</definedName>
    <definedName name="IQ_RES_CONST_SAAR_YOY_FC_UNUSED_UNUSED_UNUSED" hidden="1">"c8320"</definedName>
    <definedName name="IQ_RES_CONST_SAAR_YOY_UNUSED_UNUSED_UNUSED" hidden="1">"c7440"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VG_STORE_SIZE_GROSS" hidden="1">"c2066"</definedName>
    <definedName name="IQ_RETAIL_AVG_STORE_SIZE_NET" hidden="1">"c2067"</definedName>
    <definedName name="IQ_RETAIL_CLOSED_STORES" hidden="1">"c2063"</definedName>
    <definedName name="IQ_RETAIL_OPENED_STORES" hidden="1">"c2062"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Q_FOOTAGE" hidden="1">"c2064"</definedName>
    <definedName name="IQ_RETAIL_STORE_SELLING_AREA" hidden="1">"c2065"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STDDEV_EST" hidden="1">"c1124"</definedName>
    <definedName name="IQ_REV_UTI" hidden="1">"c1125"</definedName>
    <definedName name="IQ_REVENUE" hidden="1">"c1422"</definedName>
    <definedName name="IQ_REVENUE_ACT_OR_EST" hidden="1">"c2214"</definedName>
    <definedName name="IQ_REVENUE_EST" hidden="1">"c1126"</definedName>
    <definedName name="IQ_REVENUE_HIGH_EST" hidden="1">"c1127"</definedName>
    <definedName name="IQ_REVENUE_LOW_EST" hidden="1">"c1128"</definedName>
    <definedName name="IQ_REVENUE_MEDIAN_EST" hidden="1">"c1662"</definedName>
    <definedName name="IQ_REVENUE_NUM_EST" hidden="1">"c1129"</definedName>
    <definedName name="IQ_REVISION_DATE_" hidden="1">39051.3803356482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VING_DEP" hidden="1">"c1150"</definedName>
    <definedName name="IQ_SECUR_RECEIV" hidden="1">"c1151"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" hidden="1">"c2171"</definedName>
    <definedName name="IQ_SP_DATE" hidden="1">"c2172"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CF" hidden="1">"c1203"</definedName>
    <definedName name="IQ_STRIKE_PRICE_ISSUED" hidden="1">"c1645"</definedName>
    <definedName name="IQ_STRIKE_PRICE_OS" hidden="1">"c1646"</definedName>
    <definedName name="IQ_STW" hidden="1">"c2166"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RGET_PRICE_NUM" hidden="1">"c1653"</definedName>
    <definedName name="IQ_TARGET_PRICE_STDDEV" hidden="1">"c1654"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_FWD" hidden="1">"c2238"</definedName>
    <definedName name="IQ_TEV_EBITDA" hidden="1">"c1222"</definedName>
    <definedName name="IQ_TEV_EBITDA_AVG" hidden="1">"c1223"</definedName>
    <definedName name="IQ_TEV_EBITDA_FWD" hidden="1">"c1224"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UFCF" hidden="1">"c2208"</definedName>
    <definedName name="IQ_TIER_ONE_RATIO" hidden="1">"c1229"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EXP" hidden="1">"c1291"</definedName>
    <definedName name="IQ_TOTAL_PENSION_OBLIGATION" hidden="1">"c1292"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S" hidden="1">"c2119"</definedName>
    <definedName name="IQ_TOTAL_UNUSUAL" hidden="1">"c1508"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USUAL_EXP" hidden="1">"c1456"</definedName>
    <definedName name="IQ_US_GAAP" hidden="1">"c1331"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EEK" hidden="1">50000</definedName>
    <definedName name="IQ_WEIGHTED_AVG_PRICE" hidden="1">"c1334"</definedName>
    <definedName name="IQ_WIP_INV" hidden="1">"c1335"</definedName>
    <definedName name="IQ_WORKMEN_WRITTEN" hidden="1">"c1336"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RR">#REF!</definedName>
    <definedName name="isquarters">#REF!</definedName>
    <definedName name="isyears">#REF!</definedName>
    <definedName name="items2">#REF!</definedName>
    <definedName name="j" localSheetId="7" hidden="1">{"new",#N/A,FALSE,"D";"PROFORMA",#N/A,FALSE,"A";"partial 1",#N/A,FALSE,"B";"partial 2",#N/A,FALSE,"B";"partial 3",#N/A,FALSE,"B";"SMALL CF 1",#N/A,FALSE,"C"}</definedName>
    <definedName name="j" hidden="1">{"new",#N/A,FALSE,"D";"PROFORMA",#N/A,FALSE,"A";"partial 1",#N/A,FALSE,"B";"partial 2",#N/A,FALSE,"B";"partial 3",#N/A,FALSE,"B";"SMALL CF 1",#N/A,FALSE,"C"}</definedName>
    <definedName name="jackass" localSheetId="7" hidden="1">{"Summary",#N/A,FALSE,"Returns";"venture Cash flows",#N/A,FALSE,"Returns";"IRR Calcs",#N/A,FALSE,"Returns";"Promote Calcs",#N/A,FALSE,"Returns";"cash flor Streams",#N/A,FALSE,"Returns";"Prop. Cash Flow",#N/A,FALSE,"Returns";"Prop. Cash Flow PSF",#N/A,FALSE,"Returns";"Prop. Cash Flow %",#N/A,FALSE,"Returns";"Stub Period",#N/A,FALSE,"Returns"}</definedName>
    <definedName name="jackass" hidden="1">{"Summary",#N/A,FALSE,"Returns";"venture Cash flows",#N/A,FALSE,"Returns";"IRR Calcs",#N/A,FALSE,"Returns";"Promote Calcs",#N/A,FALSE,"Returns";"cash flor Streams",#N/A,FALSE,"Returns";"Prop. Cash Flow",#N/A,FALSE,"Returns";"Prop. Cash Flow PSF",#N/A,FALSE,"Returns";"Prop. Cash Flow %",#N/A,FALSE,"Returns";"Stub Period",#N/A,FALSE,"Returns"}</definedName>
    <definedName name="JamesMadison">#REF!</definedName>
    <definedName name="JaS" localSheetId="7" hidden="1">{"Assumptions",#N/A,TRUE,"Returns";"Tables",#N/A,TRUE,"Returns"}</definedName>
    <definedName name="JaS" hidden="1">{"Assumptions",#N/A,TRUE,"Returns";"Tables",#N/A,TRUE,"Returns"}</definedName>
    <definedName name="jes" hidden="1">{"View1",#N/A,FALSE,"Sheet1";"View2",#N/A,FALSE,"Sheet1"}</definedName>
    <definedName name="jim" hidden="1">#REF!</definedName>
    <definedName name="jimmy" hidden="1">#REF!</definedName>
    <definedName name="joe">#REF!</definedName>
    <definedName name="Js" localSheetId="7" hidden="1">{"Summary",#N/A,FALSE,"Returns";"venture Cash flows",#N/A,FALSE,"Returns";"IRR Calcs",#N/A,FALSE,"Returns";"Promote Calcs",#N/A,FALSE,"Returns";"cash flor Streams",#N/A,FALSE,"Returns";"Prop. Cash Flow",#N/A,FALSE,"Returns";"Prop. Cash Flow PSF",#N/A,FALSE,"Returns";"Prop. Cash Flow %",#N/A,FALSE,"Returns";"Stub Period",#N/A,FALSE,"Returns"}</definedName>
    <definedName name="Js" hidden="1">{"Summary",#N/A,FALSE,"Returns";"venture Cash flows",#N/A,FALSE,"Returns";"IRR Calcs",#N/A,FALSE,"Returns";"Promote Calcs",#N/A,FALSE,"Returns";"cash flor Streams",#N/A,FALSE,"Returns";"Prop. Cash Flow",#N/A,FALSE,"Returns";"Prop. Cash Flow PSF",#N/A,FALSE,"Returns";"Prop. Cash Flow %",#N/A,FALSE,"Returns";"Stub Period",#N/A,FALSE,"Returns"}</definedName>
    <definedName name="Jul_02">#REF!</definedName>
    <definedName name="JUNK" hidden="1">{"'Table of Contents'!$A$1"}</definedName>
    <definedName name="JV_Tier_1_Carlyle_Cost_Overruns.wrte">#REF!,#REF!</definedName>
    <definedName name="JV_Tier_1_Carlyle_Guarantee_Pref_Amount.wrte">#REF!,#REF!</definedName>
    <definedName name="JV_Tier_1_Carlyle_Guarantee_Pref_Rate_Payoff.wrte">#REF!,#REF!</definedName>
    <definedName name="JV_Tier_1_Cost_Overruns_Compounding.wrte">#REF!,#REF!</definedName>
    <definedName name="JV_Tier_1_Cost_Overruns_IRR.wrte">#REF!,#REF!</definedName>
    <definedName name="JV_Tier_1_Description.wrte">#REF!,#REF!</definedName>
    <definedName name="JV_Tier_1_Guarantee_Pref_IRR.wrte">#REF!,#REF!</definedName>
    <definedName name="JV_Tier_1_Member_IRR.wrte">#REF!,#REF!</definedName>
    <definedName name="JV_Tier_1_Member_Payment.wrte">#REF!,#REF!</definedName>
    <definedName name="JV_Tier_1_Member_Sharing.wrte">#REF!,#REF!</definedName>
    <definedName name="JV_Tier_1_Mezzanine___Amount_Rate.wrte">#REF!,#REF!</definedName>
    <definedName name="JV_Tier_1_Mezzanine_Amount_Rate.wrte">#REF!,#REF!</definedName>
    <definedName name="JV_Tier_1_Mezzanine_Payoff.wrte">#REF!,#REF!</definedName>
    <definedName name="JV_Tier_1_PageHeader_2.hdr">#REF!,#REF!</definedName>
    <definedName name="JV_Tier_1_Partner_1_Cost_Overruns.wrte">#REF!,#REF!</definedName>
    <definedName name="JV_Tier_1_Partner_1_Guarantee_Pref_Amount.wrte">#REF!,#REF!</definedName>
    <definedName name="JV_Tier_1_Partner_1_Guarantee_Pref_Rate_Payoff.wrte">#REF!,#REF!</definedName>
    <definedName name="JV_Tier_1_Partner_2_Cost_Overruns.wrte">#REF!,#REF!</definedName>
    <definedName name="JV_Tier_1_Partner_2_Guarantee_Pref_Amount.wrte">#REF!,#REF!</definedName>
    <definedName name="JV_Tier_1_Partner_2_Guarantee_Pref_Rate_Payoff.wrte">#REF!,#REF!</definedName>
    <definedName name="JV_Tier_1_Partner_3_Cost_Overruns.wrte">#REF!,#REF!</definedName>
    <definedName name="JV_Tier_1_Partner_3_Guarantee_Pref_Amount.wrte">#REF!,#REF!</definedName>
    <definedName name="JV_Tier_1_Partner_3_Guarantee_Pref_Rate_Payoff.wrte">#REF!,#REF!</definedName>
    <definedName name="JV_Tier_1_Partner_4_Cost_Overruns.wrte">#REF!,#REF!</definedName>
    <definedName name="JV_Tier_1_Partner_4_Guarantee_Pref_Amount.wrte">#REF!,#REF!</definedName>
    <definedName name="JV_Tier_1_Partner_4_Guarantee_Pref_Rate_Payoff.wrte">#REF!,#REF!</definedName>
    <definedName name="JV_Tier_1_Partner_5_Cost_Overruns.wrte">#REF!,#REF!</definedName>
    <definedName name="JV_Tier_1_Partner_5_Guarantee_Pref_Amount.wrte">#REF!,#REF!</definedName>
    <definedName name="JV_Tier_1_Partner_5_Guarantee_Pref_Rate_Payoff.wrte">#REF!,#REF!</definedName>
    <definedName name="JV_Tier_1_Partner_Name.wrte">#REF!,#REF!</definedName>
    <definedName name="JV_Tier_1_Type.wrte">#REF!,#REF!</definedName>
    <definedName name="JV_Tier_1_Waterfall_Level_Information.wrte">#REF!,#REF!</definedName>
    <definedName name="JV_Tier_10_Carlyle_Cost_Overruns.wrte">#REF!,#REF!</definedName>
    <definedName name="JV_Tier_10_Carlyle_Guarantee_Pref_Amount.wrte">#REF!,#REF!</definedName>
    <definedName name="JV_Tier_10_Carlyle_Guarantee_Pref_Rate_Payoff.wrte">#REF!,#REF!</definedName>
    <definedName name="JV_Tier_10_Cost_Overruns_Compounding.wrte">#REF!,#REF!</definedName>
    <definedName name="JV_Tier_10_Cost_Overruns_IRR.wrte">#REF!,#REF!</definedName>
    <definedName name="JV_Tier_10_Description.wrte">#REF!,#REF!</definedName>
    <definedName name="JV_Tier_10_Guarantee_Pref_IRR.wrte">#REF!,#REF!</definedName>
    <definedName name="JV_Tier_10_Member_IRR.wrte">#REF!,#REF!</definedName>
    <definedName name="JV_Tier_10_Member_Payment.wrte">#REF!,#REF!</definedName>
    <definedName name="JV_Tier_10_Member_Sharing.wrte">#REF!,#REF!</definedName>
    <definedName name="JV_Tier_10_Mezzanine_Amount_Rate.wrte">#REF!,#REF!</definedName>
    <definedName name="JV_Tier_10_Mezzanine_Payoff.wrte">#REF!,#REF!</definedName>
    <definedName name="JV_Tier_10_PageHeader_2.hdr">#REF!,#REF!</definedName>
    <definedName name="JV_Tier_10_Partner_1_Cost_Overruns.wrte">#REF!,#REF!</definedName>
    <definedName name="JV_Tier_10_Partner_1_Guarantee_Pref_Amount.wrte">#REF!,#REF!</definedName>
    <definedName name="JV_Tier_10_Partner_1_Guarantee_Pref_Rate_Payoff.wrte">#REF!,#REF!</definedName>
    <definedName name="JV_Tier_10_Partner_2_Cost_Overruns.wrte">#REF!,#REF!</definedName>
    <definedName name="JV_Tier_10_Partner_2_Guarantee_Pref_Amount.wrte">#REF!,#REF!</definedName>
    <definedName name="JV_Tier_10_Partner_2_Guarantee_Pref_Rate_Payoff.wrte">#REF!,#REF!</definedName>
    <definedName name="JV_Tier_10_Partner_3_Cost_Overruns.wrte">#REF!,#REF!</definedName>
    <definedName name="JV_Tier_10_Partner_3_Guarantee_Pref_Amount.wrte">#REF!,#REF!</definedName>
    <definedName name="JV_Tier_10_Partner_3_Guarantee_Pref_Rate_Payoff.wrte">#REF!,#REF!</definedName>
    <definedName name="JV_Tier_10_Partner_4_Cost_Overruns.wrte">#REF!,#REF!</definedName>
    <definedName name="JV_Tier_10_Partner_4_Guarantee_Pref_Amount.wrte">#REF!,#REF!</definedName>
    <definedName name="JV_Tier_10_Partner_4_Guarantee_Pref_Rate_Payoff.wrte">#REF!,#REF!</definedName>
    <definedName name="JV_Tier_10_Partner_5_Cost_Overruns.wrte">#REF!,#REF!</definedName>
    <definedName name="JV_Tier_10_Partner_5_Guarantee_Pref_Amount.wrte">#REF!,#REF!</definedName>
    <definedName name="JV_Tier_10_Partner_5_Guarantee_Pref_Rate_Payoff.wrte">#REF!,#REF!</definedName>
    <definedName name="JV_Tier_10_Type.wrte">#REF!,#REF!</definedName>
    <definedName name="JV_Tier_11_Carlyle_Cost_Overruns.wrte">#REF!,#REF!</definedName>
    <definedName name="JV_Tier_11_Carlyle_Guarantee_Pref_Amount.wrte">#REF!,#REF!</definedName>
    <definedName name="JV_Tier_11_Carlyle_Guarantee_Pref_Rate_Payoff.wrte">#REF!,#REF!</definedName>
    <definedName name="JV_Tier_11_Cost_Overruns_Compounding.wrte">#REF!,#REF!</definedName>
    <definedName name="JV_Tier_11_Cost_Overruns_IRR.wrte">#REF!,#REF!</definedName>
    <definedName name="JV_Tier_11_Description.wrte">#REF!,#REF!</definedName>
    <definedName name="JV_Tier_11_Guarantee_Pref_IRR.wrte">#REF!,#REF!</definedName>
    <definedName name="JV_Tier_11_Member_IRR.wrte">#REF!,#REF!</definedName>
    <definedName name="JV_Tier_11_Member_Payment.wrte">#REF!,#REF!</definedName>
    <definedName name="JV_Tier_11_Member_Sharing.wrte">#REF!,#REF!</definedName>
    <definedName name="JV_Tier_11_Mezzanine_Amount_Rate.wrte">#REF!,#REF!</definedName>
    <definedName name="JV_Tier_11_Mezzanine_Payoff.wrte">#REF!,#REF!</definedName>
    <definedName name="JV_Tier_11_PageHeader_2.hdr">#REF!,#REF!</definedName>
    <definedName name="JV_Tier_11_Partner_1_Cost_Overruns.wrte">#REF!,#REF!</definedName>
    <definedName name="JV_Tier_11_Partner_1_Guarantee_Pref_Amount.wrte">#REF!,#REF!</definedName>
    <definedName name="JV_Tier_11_Partner_1_Guarantee_Pref_Rate_Payoff.wrte">#REF!,#REF!</definedName>
    <definedName name="JV_Tier_11_Partner_2_Cost_Overruns.wrte">#REF!,#REF!</definedName>
    <definedName name="JV_Tier_11_Partner_2_Guarantee_Pref_Amount.wrte">#REF!,#REF!</definedName>
    <definedName name="JV_Tier_11_Partner_2_Guarantee_Pref_Rate_Payoff.wrte">#REF!,#REF!</definedName>
    <definedName name="JV_Tier_11_Partner_3_Cost_Overruns.wrte">#REF!,#REF!</definedName>
    <definedName name="JV_Tier_11_Partner_3_Guarantee_Pref_Amount.wrte">#REF!,#REF!</definedName>
    <definedName name="JV_Tier_11_Partner_3_Guarantee_Pref_Rate_Payoff.wrte">#REF!,#REF!</definedName>
    <definedName name="JV_Tier_11_Partner_4_Cost_Overruns.wrte">#REF!,#REF!</definedName>
    <definedName name="JV_Tier_11_Partner_4_Guarantee_Pref_Amount.wrte">#REF!,#REF!</definedName>
    <definedName name="JV_Tier_11_Partner_4_Guarantee_Pref_Rate_Payoff.wrte">#REF!,#REF!</definedName>
    <definedName name="JV_Tier_11_Partner_5_Cost_Overruns.wrte">#REF!,#REF!</definedName>
    <definedName name="JV_Tier_11_Partner_5_Guarantee_Pref_Amount.wrte">#REF!,#REF!</definedName>
    <definedName name="JV_Tier_11_Partner_5_Guarantee_Pref_Rate_Payoff.wrte">#REF!,#REF!</definedName>
    <definedName name="JV_Tier_11_Type.wrte">#REF!,#REF!</definedName>
    <definedName name="JV_Tier_12_Carlyle_Cost_Overruns.wrte">#REF!,#REF!</definedName>
    <definedName name="JV_Tier_12_Carlyle_Guarantee_Pref_Amount.wrte">#REF!,#REF!</definedName>
    <definedName name="JV_Tier_12_Carlyle_Guarantee_Pref_Rate_Payoff.wrte">#REF!,#REF!</definedName>
    <definedName name="JV_Tier_12_Cost_Overruns_Compounding.wrte">#REF!,#REF!</definedName>
    <definedName name="JV_Tier_12_Cost_Overruns_IRR.wrte">#REF!,#REF!</definedName>
    <definedName name="JV_Tier_12_Description.wrte">#REF!,#REF!</definedName>
    <definedName name="JV_Tier_12_Guarantee_Pref_IRR.wrte">#REF!,#REF!</definedName>
    <definedName name="JV_Tier_12_Member_IRR.wrte">#REF!,#REF!</definedName>
    <definedName name="JV_Tier_12_Member_Payment.wrte">#REF!,#REF!</definedName>
    <definedName name="JV_Tier_12_Member_Sharing.wrte">#REF!,#REF!</definedName>
    <definedName name="JV_Tier_12_Mezzanine_Amount_Rate.wrte">#REF!,#REF!</definedName>
    <definedName name="JV_Tier_12_Mezzanine_Payoff.wrte">#REF!,#REF!</definedName>
    <definedName name="JV_Tier_12_PageHeader_2.hdr">#REF!,#REF!</definedName>
    <definedName name="JV_Tier_12_Partner_1_Cost_Overruns.wrte">#REF!,#REF!</definedName>
    <definedName name="JV_Tier_12_Partner_1_Guarantee_Pref_Amount.wrte">#REF!,#REF!</definedName>
    <definedName name="JV_Tier_12_Partner_1_Guarantee_Pref_Rate_Payoff.wrte">#REF!,#REF!</definedName>
    <definedName name="JV_Tier_12_Partner_2_Cost_Overruns.wrte">#REF!,#REF!</definedName>
    <definedName name="JV_Tier_12_Partner_2_Guarantee_Pref_Amount.wrte">#REF!,#REF!</definedName>
    <definedName name="JV_Tier_12_Partner_2_Guarantee_Pref_Rate_Payoff.wrte">#REF!,#REF!</definedName>
    <definedName name="JV_Tier_12_Partner_3_Cost_Overruns.wrte">#REF!,#REF!</definedName>
    <definedName name="JV_Tier_12_Partner_3_Guarantee_Pref_Amount.wrte">#REF!,#REF!</definedName>
    <definedName name="JV_Tier_12_Partner_3_Guarantee_Pref_Rate_Payoff.wrte">#REF!,#REF!</definedName>
    <definedName name="JV_Tier_12_Partner_4_Cost_Overruns.wrte">#REF!,#REF!</definedName>
    <definedName name="JV_Tier_12_Partner_4_Guarantee_Pref_Amount.wrte">#REF!,#REF!</definedName>
    <definedName name="JV_Tier_12_Partner_4_Guarantee_Pref_Rate_Payoff.wrte">#REF!,#REF!</definedName>
    <definedName name="JV_Tier_12_Partner_5_Cost_Overruns.wrte">#REF!,#REF!</definedName>
    <definedName name="JV_Tier_12_Partner_5_Guarantee_Pref_Amount.wrte">#REF!,#REF!</definedName>
    <definedName name="JV_Tier_12_Partner_5_Guarantee_Pref_Rate_Payoff.wrte">#REF!,#REF!</definedName>
    <definedName name="JV_Tier_12_Type.wrte">#REF!,#REF!</definedName>
    <definedName name="JV_Tier_13_Carlyle_Cost_Overruns.wrte">#REF!,#REF!</definedName>
    <definedName name="JV_Tier_13_Carlyle_Guarantee_Pref_Amount.wrte">#REF!,#REF!</definedName>
    <definedName name="JV_Tier_13_Carlyle_Guarantee_Pref_Rate_Payoff.wrte">#REF!,#REF!</definedName>
    <definedName name="JV_Tier_13_Cost_Overruns_Compounding.wrte">#REF!,#REF!</definedName>
    <definedName name="JV_Tier_13_Cost_Overruns_IRR.wrte">#REF!,#REF!</definedName>
    <definedName name="JV_Tier_13_Description.wrte">#REF!,#REF!</definedName>
    <definedName name="JV_Tier_13_Guarantee_Pref_IRR.wrte">#REF!,#REF!</definedName>
    <definedName name="JV_Tier_13_Member_IRR.wrte">#REF!,#REF!</definedName>
    <definedName name="JV_Tier_13_Member_Payment.wrte">#REF!,#REF!</definedName>
    <definedName name="JV_Tier_13_Member_Sharing.wrte">#REF!,#REF!</definedName>
    <definedName name="JV_Tier_13_Mezzanine_Amount_Rate.wrte">#REF!,#REF!</definedName>
    <definedName name="JV_Tier_13_Mezzanine_Payoff.wrte">#REF!,#REF!</definedName>
    <definedName name="JV_Tier_13_PageHeader_2.hdr">#REF!,#REF!</definedName>
    <definedName name="JV_Tier_13_Partner_1_Cost_Overruns.wrte">#REF!,#REF!</definedName>
    <definedName name="JV_Tier_13_Partner_1_Guarantee_Pref_Amount.wrte">#REF!,#REF!</definedName>
    <definedName name="JV_Tier_13_Partner_1_Guarantee_Pref_Rate_Payoff.wrte">#REF!,#REF!</definedName>
    <definedName name="JV_Tier_13_Partner_2_Cost_Overruns.wrte">#REF!,#REF!</definedName>
    <definedName name="JV_Tier_13_Partner_2_Guarantee_Pref_Amount.wrte">#REF!,#REF!</definedName>
    <definedName name="JV_Tier_13_Partner_2_Guarantee_Pref_Rate_Payoff.wrte">#REF!,#REF!</definedName>
    <definedName name="JV_Tier_13_Partner_3_Cost_Overruns.wrte">#REF!,#REF!</definedName>
    <definedName name="JV_Tier_13_Partner_3_Guarantee_Pref_Amount.wrte">#REF!,#REF!</definedName>
    <definedName name="JV_Tier_13_Partner_3_Guarantee_Pref_Rate_Payoff.wrte">#REF!,#REF!</definedName>
    <definedName name="JV_Tier_13_Partner_4_Cost_Overruns.wrte">#REF!,#REF!</definedName>
    <definedName name="JV_Tier_13_Partner_4_Guarantee_Pref_Amount.wrte">#REF!,#REF!</definedName>
    <definedName name="JV_Tier_13_Partner_4_Guarantee_Pref_Rate_Payoff.wrte">#REF!,#REF!</definedName>
    <definedName name="JV_Tier_13_Partner_5_Cost_Overruns.wrte">#REF!,#REF!</definedName>
    <definedName name="JV_Tier_13_Partner_5_Guarantee_Pref_Amount.wrte">#REF!,#REF!</definedName>
    <definedName name="JV_Tier_13_Partner_5_Guarantee_Pref_Rate_Payoff.wrte">#REF!,#REF!</definedName>
    <definedName name="JV_Tier_13_Type.wrte">#REF!,#REF!</definedName>
    <definedName name="JV_Tier_14_Carlyle_Cost_Overruns.wrte">#REF!,#REF!</definedName>
    <definedName name="JV_Tier_14_Carlyle_Guarantee_Pref_Amount.wrte">#REF!,#REF!</definedName>
    <definedName name="JV_Tier_14_Carlyle_Guarantee_Pref_Rate_Payoff.wrte">#REF!,#REF!</definedName>
    <definedName name="JV_Tier_14_Cost_Overruns_Compounding.wrte">#REF!,#REF!</definedName>
    <definedName name="JV_Tier_14_Cost_Overruns_IRR.wrte">#REF!,#REF!</definedName>
    <definedName name="JV_Tier_14_Description.wrte">#REF!,#REF!</definedName>
    <definedName name="JV_Tier_14_Guarantee_Pref_IRR.wrte">#REF!,#REF!</definedName>
    <definedName name="JV_Tier_14_Member_IRR.wrte">#REF!,#REF!</definedName>
    <definedName name="JV_Tier_14_Member_Payment.wrte">#REF!,#REF!</definedName>
    <definedName name="JV_Tier_14_Member_Sharing.wrte">#REF!,#REF!</definedName>
    <definedName name="JV_Tier_14_Mezzanine_Amount_Rate.wrte">#REF!,#REF!</definedName>
    <definedName name="JV_Tier_14_Mezzanine_Payoff.wrte">#REF!,#REF!</definedName>
    <definedName name="JV_Tier_14_PageHeader_2.hdr">#REF!,#REF!</definedName>
    <definedName name="JV_Tier_14_Partner_1_Cost_Overruns.wrte">#REF!,#REF!</definedName>
    <definedName name="JV_Tier_14_Partner_1_Guarantee_Pref_Amount.wrte">#REF!,#REF!</definedName>
    <definedName name="JV_Tier_14_Partner_1_Guarantee_Pref_Rate_Payoff.wrte">#REF!,#REF!</definedName>
    <definedName name="JV_Tier_14_Partner_2_Cost_Overruns.wrte">#REF!,#REF!</definedName>
    <definedName name="JV_Tier_14_Partner_2_Guarantee_Pref_Amount.wrte">#REF!,#REF!</definedName>
    <definedName name="JV_Tier_14_Partner_2_Guarantee_Pref_Rate_Payoff.wrte">#REF!,#REF!</definedName>
    <definedName name="JV_Tier_14_Partner_3_Cost_Overruns.wrte">#REF!,#REF!</definedName>
    <definedName name="JV_Tier_14_Partner_3_Guarantee_Pref_Amount.wrte">#REF!,#REF!</definedName>
    <definedName name="JV_Tier_14_Partner_3_Guarantee_Pref_Rate_Payoff.wrte">#REF!,#REF!</definedName>
    <definedName name="JV_Tier_14_Partner_4_Cost_Overruns.wrte">#REF!,#REF!</definedName>
    <definedName name="JV_Tier_14_Partner_4_Guarantee_Pref_Amount.wrte">#REF!,#REF!</definedName>
    <definedName name="JV_Tier_14_Partner_4_Guarantee_Pref_Rate_Payoff.wrte">#REF!,#REF!</definedName>
    <definedName name="JV_Tier_14_Partner_5_Cost_Overruns.wrte">#REF!,#REF!</definedName>
    <definedName name="JV_Tier_14_Partner_5_Guarantee_Pref_Amount.wrte">#REF!,#REF!</definedName>
    <definedName name="JV_Tier_14_Partner_5_Guarantee_Pref_Rate_Payoff.wrte">#REF!,#REF!</definedName>
    <definedName name="JV_Tier_14_Type.wrte">#REF!,#REF!</definedName>
    <definedName name="JV_Tier_15_Carlyle_Cost_Overruns.wrte">#REF!,#REF!</definedName>
    <definedName name="JV_Tier_15_Carlyle_Guarantee_Pref_Amount.wrte">#REF!,#REF!</definedName>
    <definedName name="JV_Tier_15_Carlyle_Guarantee_Pref_Rate_Payoff.wrte">#REF!,#REF!</definedName>
    <definedName name="JV_Tier_15_Cost_Overruns_Compounding.wrte">#REF!,#REF!</definedName>
    <definedName name="JV_Tier_15_Cost_Overruns_IRR.wrte">#REF!,#REF!</definedName>
    <definedName name="JV_Tier_15_Description.wrte">#REF!,#REF!</definedName>
    <definedName name="JV_Tier_15_Guarantee_Pref_IRR.wrte">#REF!,#REF!</definedName>
    <definedName name="JV_Tier_15_Member_IRR.wrte">#REF!,#REF!</definedName>
    <definedName name="JV_Tier_15_Member_Payment.wrte">#REF!,#REF!</definedName>
    <definedName name="JV_Tier_15_Member_Sharing.wrte">#REF!,#REF!</definedName>
    <definedName name="JV_Tier_15_Mezzanine_Amount_Rate.wrte">#REF!,#REF!</definedName>
    <definedName name="JV_Tier_15_Mezzanine_Payoff.wrte">#REF!,#REF!</definedName>
    <definedName name="JV_Tier_15_PageHeader_2.hdr">#REF!,#REF!</definedName>
    <definedName name="JV_Tier_15_Partner_1_Cost_Overruns.wrte">#REF!,#REF!</definedName>
    <definedName name="JV_Tier_15_Partner_1_Guarantee_Pref_Amount.wrte">#REF!,#REF!</definedName>
    <definedName name="JV_Tier_15_Partner_1_Guarantee_Pref_Rate_Payoff.wrte">#REF!,#REF!</definedName>
    <definedName name="JV_Tier_15_Partner_2_Cost_Overruns.wrte">#REF!,#REF!</definedName>
    <definedName name="JV_Tier_15_Partner_2_Guarantee_Pref_Amount.wrte">#REF!,#REF!</definedName>
    <definedName name="JV_Tier_15_Partner_2_Guarantee_Pref_Rate_Payoff.wrte">#REF!,#REF!</definedName>
    <definedName name="JV_Tier_15_Partner_3_Cost_Overruns.wrte">#REF!,#REF!</definedName>
    <definedName name="JV_Tier_15_Partner_3_Guarantee_Pref_Amount.wrte">#REF!,#REF!</definedName>
    <definedName name="JV_Tier_15_Partner_3_Guarantee_Pref_Rate_Payoff.wrte">#REF!,#REF!</definedName>
    <definedName name="JV_Tier_15_Partner_4_Cost_Overruns.wrte">#REF!,#REF!</definedName>
    <definedName name="JV_Tier_15_Partner_4_Guarantee_Pref_Amount.wrte">#REF!,#REF!</definedName>
    <definedName name="JV_Tier_15_Partner_4_Guarantee_Pref_Rate_Payoff.wrte">#REF!,#REF!</definedName>
    <definedName name="JV_Tier_15_Partner_5_Cost_Overruns.wrte">#REF!,#REF!</definedName>
    <definedName name="JV_Tier_15_Partner_5_Guarantee_Pref_Amount.wrte">#REF!,#REF!</definedName>
    <definedName name="JV_Tier_15_Partner_5_Guarantee_Pref_Rate_Payoff.wrte">#REF!,#REF!</definedName>
    <definedName name="JV_Tier_15_Type.wrte">#REF!,#REF!</definedName>
    <definedName name="JV_Tier_16_Carlyle_Cost_Overruns.wrte">#REF!,#REF!</definedName>
    <definedName name="JV_Tier_16_Carlyle_Guarantee_Pref_Amount.wrte">#REF!,#REF!</definedName>
    <definedName name="JV_Tier_16_Carlyle_Guarantee_Pref_Rate_Payoff.wrte">#REF!,#REF!</definedName>
    <definedName name="JV_Tier_16_Cost_Overruns_Compounding.wrte">#REF!,#REF!</definedName>
    <definedName name="JV_Tier_16_Cost_Overruns_IRR.wrte">#REF!,#REF!</definedName>
    <definedName name="JV_Tier_16_Description.wrte">#REF!,#REF!</definedName>
    <definedName name="JV_Tier_16_Guarantee_Pref_IRR.wrte">#REF!,#REF!</definedName>
    <definedName name="JV_Tier_16_Member_IRR.wrte">#REF!,#REF!</definedName>
    <definedName name="JV_Tier_16_Member_Payment.wrte">#REF!,#REF!</definedName>
    <definedName name="JV_Tier_16_Member_Sharing.wrte">#REF!,#REF!</definedName>
    <definedName name="JV_Tier_16_Mezzanine_Amount_Rate.wrte">#REF!,#REF!</definedName>
    <definedName name="JV_Tier_16_Mezzanine_Payoff.wrte">#REF!,#REF!</definedName>
    <definedName name="JV_Tier_16_PageHeader_2.hdr">#REF!,#REF!</definedName>
    <definedName name="JV_Tier_16_Partner_1_Cost_Overruns.wrte">#REF!,#REF!</definedName>
    <definedName name="JV_Tier_16_Partner_1_Guarantee_Pref_Amount.wrte">#REF!,#REF!</definedName>
    <definedName name="JV_Tier_16_Partner_1_Guarantee_Pref_Rate_Payoff.wrte">#REF!,#REF!</definedName>
    <definedName name="JV_Tier_16_Partner_2_Cost_Overruns.wrte">#REF!,#REF!</definedName>
    <definedName name="JV_Tier_16_Partner_2_Guarantee_Pref_Amount.wrte">#REF!,#REF!</definedName>
    <definedName name="JV_Tier_16_Partner_2_Guarantee_Pref_Rate_Payoff.wrte">#REF!,#REF!</definedName>
    <definedName name="JV_Tier_16_Partner_3_Cost_Overruns.wrte">#REF!,#REF!</definedName>
    <definedName name="JV_Tier_16_Partner_3_Guarantee_Pref_Amount.wrte">#REF!,#REF!</definedName>
    <definedName name="JV_Tier_16_Partner_3_Guarantee_Pref_Rate_Payoff.wrte">#REF!,#REF!</definedName>
    <definedName name="JV_Tier_16_Partner_4_Cost_Overruns.wrte">#REF!,#REF!</definedName>
    <definedName name="JV_Tier_16_Partner_4_Guarantee_Pref_Amount.wrte">#REF!,#REF!</definedName>
    <definedName name="JV_Tier_16_Partner_4_Guarantee_Pref_Rate_Payoff.wrte">#REF!,#REF!</definedName>
    <definedName name="JV_Tier_16_Partner_5_Cost_Overruns.wrte">#REF!,#REF!</definedName>
    <definedName name="JV_Tier_16_Partner_5_Guarantee_Pref_Amount.wrte">#REF!,#REF!</definedName>
    <definedName name="JV_Tier_16_Partner_5_Guarantee_Pref_Rate_Payoff.wrte">#REF!,#REF!</definedName>
    <definedName name="JV_Tier_16_Type.wrte">#REF!,#REF!</definedName>
    <definedName name="JV_Tier_17_Carlyle_Cost_Overruns.wrte">#REF!,#REF!</definedName>
    <definedName name="JV_Tier_17_Carlyle_Guarantee_Pref_Amount.wrte">#REF!,#REF!</definedName>
    <definedName name="JV_Tier_17_Carlyle_Guarantee_Pref_Rate_Payoff.wrte">#REF!,#REF!</definedName>
    <definedName name="JV_Tier_17_Cost_Overruns_Compounding.wrte">#REF!,#REF!</definedName>
    <definedName name="JV_Tier_17_Cost_Overruns_IRR.wrte">#REF!,#REF!</definedName>
    <definedName name="JV_Tier_17_Description.wrte">#REF!,#REF!</definedName>
    <definedName name="JV_Tier_17_Guarantee_Pref_IRR.wrte">#REF!,#REF!</definedName>
    <definedName name="JV_Tier_17_Member_IRR.wrte">#REF!,#REF!</definedName>
    <definedName name="JV_Tier_17_Member_Payment.wrte">#REF!,#REF!</definedName>
    <definedName name="JV_Tier_17_Member_Sharing.wrte">#REF!,#REF!</definedName>
    <definedName name="JV_Tier_17_Mezzanine_Amount_Rate.wrte">#REF!,#REF!</definedName>
    <definedName name="JV_Tier_17_Mezzanine_Payoff.wrte">#REF!,#REF!</definedName>
    <definedName name="JV_Tier_17_PageHeader_2.hdr">#REF!,#REF!</definedName>
    <definedName name="JV_Tier_17_Partner_1_Cost_Overruns.wrte">#REF!,#REF!</definedName>
    <definedName name="JV_Tier_17_Partner_1_Guarantee_Pref_Amount.wrte">#REF!,#REF!</definedName>
    <definedName name="JV_Tier_17_Partner_1_Guarantee_Pref_Rate_Payoff.wrte">#REF!,#REF!</definedName>
    <definedName name="JV_Tier_17_Partner_2_Cost_Overruns.wrte">#REF!,#REF!</definedName>
    <definedName name="JV_Tier_17_Partner_2_Guarantee_Pref_Amount.wrte">#REF!,#REF!</definedName>
    <definedName name="JV_Tier_17_Partner_2_Guarantee_Pref_Rate_Payoff.wrte">#REF!,#REF!</definedName>
    <definedName name="JV_Tier_17_Partner_3_Cost_Overruns.wrte">#REF!,#REF!</definedName>
    <definedName name="JV_Tier_17_Partner_3_Guarantee_Pref_Amount.wrte">#REF!,#REF!</definedName>
    <definedName name="JV_Tier_17_Partner_3_Guarantee_Pref_Rate_Payoff.wrte">#REF!,#REF!</definedName>
    <definedName name="JV_Tier_17_Partner_4_Cost_Overruns.wrte">#REF!,#REF!</definedName>
    <definedName name="JV_Tier_17_Partner_4_Guarantee_Pref_Amount.wrte">#REF!,#REF!</definedName>
    <definedName name="JV_Tier_17_Partner_4_Guarantee_Pref_Rate_Payoff.wrte">#REF!,#REF!</definedName>
    <definedName name="JV_Tier_17_Partner_5_Cost_Overruns.wrte">#REF!,#REF!</definedName>
    <definedName name="JV_Tier_17_Partner_5_Guarantee_Pref_Amount.wrte">#REF!,#REF!</definedName>
    <definedName name="JV_Tier_17_Partner_5_Guarantee_Pref_Rate_Payoff.wrte">#REF!,#REF!</definedName>
    <definedName name="JV_Tier_17_Type.wrte">#REF!,#REF!</definedName>
    <definedName name="JV_Tier_18_Carlyle_Cost_Overruns.wrte">#REF!,#REF!</definedName>
    <definedName name="JV_Tier_18_Carlyle_Guarantee_Pref_Amount.wrte">#REF!,#REF!</definedName>
    <definedName name="JV_Tier_18_Carlyle_Guarantee_Pref_Rate_Payoff.wrte">#REF!,#REF!</definedName>
    <definedName name="JV_Tier_18_Cost_Overruns_Compounding.wrte">#REF!,#REF!</definedName>
    <definedName name="JV_Tier_18_Cost_Overruns_IRR.wrte">#REF!,#REF!</definedName>
    <definedName name="JV_Tier_18_Description.wrte">#REF!,#REF!</definedName>
    <definedName name="JV_Tier_18_Guarantee_Pref_IRR.wrte">#REF!,#REF!</definedName>
    <definedName name="JV_Tier_18_Member_IRR.wrte">#REF!,#REF!</definedName>
    <definedName name="JV_Tier_18_Member_Payment.wrte">#REF!,#REF!</definedName>
    <definedName name="JV_Tier_18_Member_Sharing.wrte">#REF!,#REF!</definedName>
    <definedName name="JV_Tier_18_Mezzanine_Amount_Rate.wrte">#REF!,#REF!</definedName>
    <definedName name="JV_Tier_18_Mezzanine_Payoff.wrte">#REF!,#REF!</definedName>
    <definedName name="JV_Tier_18_PageHeader_2.hdr">#REF!,#REF!</definedName>
    <definedName name="JV_Tier_18_Partner_1_Cost_Overruns.wrte">#REF!,#REF!</definedName>
    <definedName name="JV_Tier_18_Partner_1_Guarantee_Pref_Amount.wrte">#REF!,#REF!</definedName>
    <definedName name="JV_Tier_18_Partner_1_Guarantee_Pref_Rate_Payoff.wrte">#REF!,#REF!</definedName>
    <definedName name="JV_Tier_18_Partner_2_Cost_Overruns.wrte">#REF!,#REF!</definedName>
    <definedName name="JV_Tier_18_Partner_2_Guarantee_Pref_Amount.wrte">#REF!,#REF!</definedName>
    <definedName name="JV_Tier_18_Partner_2_Guarantee_Pref_Rate_Payoff.wrte">#REF!,#REF!</definedName>
    <definedName name="JV_Tier_18_Partner_3_Cost_Overruns.wrte">#REF!,#REF!</definedName>
    <definedName name="JV_Tier_18_Partner_3_Guarantee_Pref_Amount.wrte">#REF!,#REF!</definedName>
    <definedName name="JV_Tier_18_Partner_3_Guarantee_Pref_Rate_Payoff.wrte">#REF!,#REF!</definedName>
    <definedName name="JV_Tier_18_Partner_4_Cost_Overruns.wrte">#REF!,#REF!</definedName>
    <definedName name="JV_Tier_18_Partner_4_Guarantee_Pref_Amount.wrte">#REF!,#REF!</definedName>
    <definedName name="JV_Tier_18_Partner_4_Guarantee_Pref_Rate_Payoff.wrte">#REF!,#REF!</definedName>
    <definedName name="JV_Tier_18_Partner_5_Cost_Overruns.wrte">#REF!,#REF!</definedName>
    <definedName name="JV_Tier_18_Partner_5_Guarantee_Pref_Amount.wrte">#REF!,#REF!</definedName>
    <definedName name="JV_Tier_18_Partner_5_Guarantee_Pref_Rate_Payoff.wrte">#REF!,#REF!</definedName>
    <definedName name="JV_Tier_18_Type.wrte">#REF!,#REF!</definedName>
    <definedName name="JV_Tier_19_Carlyle_Cost_Overruns.wrte">#REF!,#REF!</definedName>
    <definedName name="JV_Tier_19_Carlyle_Guarantee_Pref_Amount.wrte">#REF!,#REF!</definedName>
    <definedName name="JV_Tier_19_Carlyle_Guarantee_Pref_Rate_Payoff.wrte">#REF!,#REF!</definedName>
    <definedName name="JV_Tier_19_Cost_Overruns_Compounding.wrte">#REF!,#REF!</definedName>
    <definedName name="JV_Tier_19_Cost_Overruns_IRR.wrte">#REF!,#REF!</definedName>
    <definedName name="JV_Tier_19_Description.wrte">#REF!,#REF!</definedName>
    <definedName name="JV_Tier_19_Guarantee_Pref_IRR.wrte">#REF!,#REF!</definedName>
    <definedName name="JV_Tier_19_Member_IRR.wrte">#REF!,#REF!</definedName>
    <definedName name="JV_Tier_19_Member_Payment.wrte">#REF!,#REF!</definedName>
    <definedName name="JV_Tier_19_Member_Sharing.wrte">#REF!,#REF!</definedName>
    <definedName name="JV_Tier_19_Mezzanine_Amount_Rate.wrte">#REF!,#REF!</definedName>
    <definedName name="JV_Tier_19_Mezzanine_Payoff.wrte">#REF!,#REF!</definedName>
    <definedName name="JV_Tier_19_PageHeader_2.hdr">#REF!,#REF!</definedName>
    <definedName name="JV_Tier_19_Partner_1_Cost_Overruns.wrte">#REF!,#REF!</definedName>
    <definedName name="JV_Tier_19_Partner_1_Guarantee_Pref_Amount.wrte">#REF!,#REF!</definedName>
    <definedName name="JV_Tier_19_Partner_1_Guarantee_Pref_Rate_Payoff.wrte">#REF!,#REF!</definedName>
    <definedName name="JV_Tier_19_Partner_2_Cost_Overruns.wrte">#REF!,#REF!</definedName>
    <definedName name="JV_Tier_19_Partner_2_Guarantee_Pref_Amount.wrte">#REF!,#REF!</definedName>
    <definedName name="JV_Tier_19_Partner_2_Guarantee_Pref_Rate_Payoff.wrte">#REF!,#REF!</definedName>
    <definedName name="JV_Tier_19_Partner_3_Cost_Overruns.wrte">#REF!,#REF!</definedName>
    <definedName name="JV_Tier_19_Partner_3_Guarantee_Pref_Amount.wrte">#REF!,#REF!</definedName>
    <definedName name="JV_Tier_19_Partner_3_Guarantee_Pref_Rate_Payoff.wrte">#REF!,#REF!</definedName>
    <definedName name="JV_Tier_19_Partner_4_Cost_Overruns.wrte">#REF!,#REF!</definedName>
    <definedName name="JV_Tier_19_Partner_4_Guarantee_Pref_Amount.wrte">#REF!,#REF!</definedName>
    <definedName name="JV_Tier_19_Partner_4_Guarantee_Pref_Rate_Payoff.wrte">#REF!,#REF!</definedName>
    <definedName name="JV_Tier_19_Partner_5_Cost_Overruns.wrte">#REF!,#REF!</definedName>
    <definedName name="JV_Tier_19_Partner_5_Guarantee_Pref_Amount.wrte">#REF!,#REF!</definedName>
    <definedName name="JV_Tier_19_Partner_5_Guarantee_Pref_Rate_Payoff.wrte">#REF!,#REF!</definedName>
    <definedName name="JV_Tier_19_Type.wrte">#REF!,#REF!</definedName>
    <definedName name="JV_Tier_2_Carlyle_Cost_Overruns.wrte">#REF!,#REF!</definedName>
    <definedName name="JV_Tier_2_Carlyle_Guarantee_Pref_Amount.wrte">#REF!,#REF!</definedName>
    <definedName name="JV_Tier_2_Carlyle_Guarantee_Pref_Rate_Payoff.wrte">#REF!,#REF!</definedName>
    <definedName name="JV_Tier_2_Cost_Overrun_Compounding.wrte">#REF!,#REF!</definedName>
    <definedName name="JV_Tier_2_Cost_Overruns_Compounding.wrte">#REF!,#REF!</definedName>
    <definedName name="JV_Tier_2_Cost_Overruns_IRR.wrte">#REF!,#REF!</definedName>
    <definedName name="JV_Tier_2_Description.wrte">#REF!,#REF!</definedName>
    <definedName name="JV_Tier_2_Guarantee_Pref_IRR.wrte">#REF!,#REF!</definedName>
    <definedName name="JV_Tier_2_Member_IRR.wrte">#REF!,#REF!</definedName>
    <definedName name="JV_Tier_2_Member_Payment.wrte">#REF!,#REF!</definedName>
    <definedName name="JV_Tier_2_Member_Sharing.wrte">#REF!,#REF!</definedName>
    <definedName name="JV_Tier_2_Mezzanine_Amount_Rate.wrte">#REF!,#REF!</definedName>
    <definedName name="JV_Tier_2_Mezzanine_Payoff.wrte">#REF!,#REF!</definedName>
    <definedName name="JV_Tier_2_PageHeader_2.hdr">#REF!,#REF!</definedName>
    <definedName name="JV_Tier_2_Partner_1_Cost_Overruns.wrte">#REF!,#REF!</definedName>
    <definedName name="JV_Tier_2_Partner_1_Guarantee_Pref_Amount.wrte">#REF!,#REF!</definedName>
    <definedName name="JV_Tier_2_Partner_1_Guarantee_Pref_Rate_Payoff.wrte">#REF!,#REF!</definedName>
    <definedName name="JV_Tier_2_Partner_2_Cost_Overruns.wrte">#REF!,#REF!</definedName>
    <definedName name="JV_Tier_2_Partner_2_Guarantee_Pref_Amount.wrte">#REF!,#REF!</definedName>
    <definedName name="JV_Tier_2_Partner_2_Guarantee_Pref_Rate_Payoff.wrte">#REF!,#REF!</definedName>
    <definedName name="JV_Tier_2_Partner_3_Cost_Overruns.wrte">#REF!,#REF!</definedName>
    <definedName name="JV_Tier_2_Partner_3_Guarantee_Pref_Amount.wrte">#REF!,#REF!</definedName>
    <definedName name="JV_Tier_2_Partner_3_Guarantee_Pref_Rate_Payoff.wrte">#REF!,#REF!</definedName>
    <definedName name="JV_Tier_2_Partner_4_Cost_Overruns.wrte">#REF!,#REF!</definedName>
    <definedName name="JV_Tier_2_Partner_4_Guarantee_Pref_Amount.wrte">#REF!,#REF!</definedName>
    <definedName name="JV_Tier_2_Partner_4_Guarantee_Pref_Rate_Payoff.wrte">#REF!,#REF!</definedName>
    <definedName name="JV_Tier_2_Partner_5_Cost_Overruns.wrte">#REF!,#REF!</definedName>
    <definedName name="JV_Tier_2_Partner_5_Guarantee_Pref_Amount.wrte">#REF!,#REF!</definedName>
    <definedName name="JV_Tier_2_Partner_5_Guarantee_Pref_Rate_Payoff.wrte">#REF!,#REF!</definedName>
    <definedName name="JV_Tier_2_Type.wrte">#REF!,#REF!</definedName>
    <definedName name="JV_Tier_2_Waterfall_Level_Information.wrte">#REF!,#REF!</definedName>
    <definedName name="JV_Tier_20_Carlyle_Cost_Overruns.wrte">#REF!,#REF!</definedName>
    <definedName name="JV_Tier_20_Carlyle_Guarantee_Pref_Amount.wrte">#REF!,#REF!</definedName>
    <definedName name="JV_Tier_20_Carlyle_Guarantee_Pref_Rate_Payoff.wrte">#REF!,#REF!</definedName>
    <definedName name="JV_Tier_20_Cost_Overruns_Compounding.wrte">#REF!,#REF!</definedName>
    <definedName name="JV_Tier_20_Cost_Overruns_IRR.wrte">#REF!,#REF!</definedName>
    <definedName name="JV_Tier_20_Description.wrte">#REF!,#REF!</definedName>
    <definedName name="JV_Tier_20_Guarantee_Pref_IRR.wrte">#REF!,#REF!</definedName>
    <definedName name="JV_Tier_20_Member_IRR.wrte">#REF!,#REF!</definedName>
    <definedName name="JV_Tier_20_Member_Payment.wrte">#REF!,#REF!</definedName>
    <definedName name="JV_Tier_20_Member_Sharing.wrte">#REF!,#REF!</definedName>
    <definedName name="JV_Tier_20_Mezzanine_Amount_Rate.wrte">#REF!,#REF!</definedName>
    <definedName name="JV_Tier_20_Mezzanine_Payoff.wrte">#REF!,#REF!</definedName>
    <definedName name="JV_Tier_20_PageHeader_2.hdr">#REF!,#REF!</definedName>
    <definedName name="JV_Tier_20_Partner_1_Cost_Overruns.wrte">#REF!,#REF!</definedName>
    <definedName name="JV_Tier_20_Partner_1_Guarantee_Pref_Amount.wrte">#REF!,#REF!</definedName>
    <definedName name="JV_Tier_20_Partner_1_Guarantee_Pref_Rate_Payoff.wrte">#REF!,#REF!</definedName>
    <definedName name="JV_Tier_20_Partner_2_Cost_Overruns.wrte">#REF!,#REF!</definedName>
    <definedName name="JV_Tier_20_Partner_2_Guarantee_Pref_Amount.wrte">#REF!,#REF!</definedName>
    <definedName name="JV_Tier_20_Partner_2_Guarantee_Pref_Rate_Payoff.wrte">#REF!,#REF!</definedName>
    <definedName name="JV_Tier_20_Partner_3_Cost_Overruns.wrte">#REF!,#REF!</definedName>
    <definedName name="JV_Tier_20_Partner_3_Guarantee_Pref_Amount.wrte">#REF!,#REF!</definedName>
    <definedName name="JV_Tier_20_Partner_3_Guarantee_Pref_Rate_Payoff.wrte">#REF!,#REF!</definedName>
    <definedName name="JV_Tier_20_Partner_4_Cost_Overruns.wrte">#REF!,#REF!</definedName>
    <definedName name="JV_Tier_20_Partner_4_Guarantee_Pref_Amount.wrte">#REF!,#REF!</definedName>
    <definedName name="JV_Tier_20_Partner_4_Guarantee_Pref_Rate_Payoff.wrte">#REF!,#REF!</definedName>
    <definedName name="JV_Tier_20_Partner_5_Cost_Overruns.wrte">#REF!,#REF!</definedName>
    <definedName name="JV_Tier_20_Partner_5_Guarantee_Pref_Amount.wrte">#REF!,#REF!</definedName>
    <definedName name="JV_Tier_20_Partner_5_Guarantee_Pref_Rate_Payoff.wrte">#REF!,#REF!</definedName>
    <definedName name="JV_Tier_20_Type.wrte">#REF!,#REF!</definedName>
    <definedName name="JV_Tier_3_Carlyle_Cost_Overruns.wrte">#REF!,#REF!</definedName>
    <definedName name="JV_Tier_3_Carlyle_Guarantee_Pref_Amount.wrte">#REF!,#REF!</definedName>
    <definedName name="JV_Tier_3_Carlyle_Guarantee_Pref_Rate_Payoff.wrte">#REF!,#REF!</definedName>
    <definedName name="JV_Tier_3_Cost_Overrun_Compounding.wrte">#REF!,#REF!</definedName>
    <definedName name="JV_Tier_3_Cost_Overruns_Compounding.wrte">#REF!,#REF!</definedName>
    <definedName name="JV_Tier_3_Cost_Overruns_IRR.wrte">#REF!,#REF!</definedName>
    <definedName name="JV_Tier_3_Description.wrte">#REF!,#REF!</definedName>
    <definedName name="JV_Tier_3_Guarantee_Pref_IRR.wrte">#REF!,#REF!</definedName>
    <definedName name="JV_Tier_3_Member_IRR.wrte">#REF!,#REF!</definedName>
    <definedName name="JV_Tier_3_Member_Payment.wrte">#REF!,#REF!</definedName>
    <definedName name="JV_Tier_3_Member_Sharing.wrte">#REF!,#REF!</definedName>
    <definedName name="JV_Tier_3_Mezzanine_Amount_Rate.wrte">#REF!,#REF!</definedName>
    <definedName name="JV_Tier_3_Mezzanine_Payoff.wrte">#REF!,#REF!</definedName>
    <definedName name="JV_Tier_3_PageHeader_2.hdr">#REF!,#REF!</definedName>
    <definedName name="JV_Tier_3_Partner_1_Cost_Overruns.wrte">#REF!,#REF!</definedName>
    <definedName name="JV_Tier_3_Partner_1_Guarantee_Pref_Amount.wrte">#REF!,#REF!</definedName>
    <definedName name="JV_Tier_3_Partner_1_Guarantee_Pref_Rate_Payoff.wrte">#REF!,#REF!</definedName>
    <definedName name="JV_Tier_3_Partner_2_Cost_Overruns.wrte">#REF!,#REF!</definedName>
    <definedName name="JV_Tier_3_Partner_2_Guarantee_Pref_Amount.wrte">#REF!,#REF!</definedName>
    <definedName name="JV_Tier_3_Partner_2_Guarantee_Pref_Rate_Payoff.wrte">#REF!,#REF!</definedName>
    <definedName name="JV_Tier_3_Partner_3_Cost_Overruns.wrte">#REF!,#REF!</definedName>
    <definedName name="JV_Tier_3_Partner_3_Guarantee_Pref_Amount.wrte">#REF!,#REF!</definedName>
    <definedName name="JV_Tier_3_Partner_3_Guarantee_Pref_Rate_Payoff.wrte">#REF!,#REF!</definedName>
    <definedName name="JV_Tier_3_Partner_4_Cost_Overruns.wrte">#REF!,#REF!</definedName>
    <definedName name="JV_Tier_3_Partner_4_Guarantee_Pref_Amount.wrte">#REF!,#REF!</definedName>
    <definedName name="JV_Tier_3_Partner_4_Guarantee_Pref_Rate_Payoff.wrte">#REF!,#REF!</definedName>
    <definedName name="JV_Tier_3_Partner_5_Cost_Overruns.wrte">#REF!,#REF!</definedName>
    <definedName name="JV_Tier_3_Partner_5_Guarantee_Pref_Amount.wrte">#REF!,#REF!</definedName>
    <definedName name="JV_Tier_3_Partner_5_Guarantee_Pref_Rate_Payoff.wrte">#REF!,#REF!</definedName>
    <definedName name="JV_Tier_3_Type.wrte">#REF!,#REF!</definedName>
    <definedName name="JV_Tier_3_Waterfall_Level_Information.wrte">#REF!,#REF!</definedName>
    <definedName name="JV_Tier_4_Carlyle_Cost_Overruns.wrte">#REF!,#REF!</definedName>
    <definedName name="JV_Tier_4_Carlyle_Guarantee_Pref_Amount.wrte">#REF!,#REF!</definedName>
    <definedName name="JV_Tier_4_Carlyle_Guarantee_Pref_Rate_Payoff.wrte">#REF!,#REF!</definedName>
    <definedName name="JV_Tier_4_Cost_Overruns_Compounding.wrte">#REF!,#REF!</definedName>
    <definedName name="JV_Tier_4_Cost_Overruns_IRR.wrte">#REF!,#REF!</definedName>
    <definedName name="JV_Tier_4_Description.wrte">#REF!,#REF!</definedName>
    <definedName name="JV_Tier_4_Guarantee_Pref_IRR.wrte">#REF!,#REF!</definedName>
    <definedName name="JV_Tier_4_Member_IRR.wrte">#REF!,#REF!</definedName>
    <definedName name="JV_Tier_4_Member_Payment.wrte">#REF!,#REF!</definedName>
    <definedName name="JV_Tier_4_Member_Sharing.wrte">#REF!,#REF!</definedName>
    <definedName name="JV_Tier_4_Mezzanine_Amount_Rate.wrte">#REF!,#REF!</definedName>
    <definedName name="JV_Tier_4_Mezzanine_Payoff.wrte">#REF!,#REF!</definedName>
    <definedName name="JV_Tier_4_PageHeader_2.hdr">#REF!,#REF!</definedName>
    <definedName name="JV_Tier_4_Partner_1_Cost_Overruns.wrte">#REF!,#REF!</definedName>
    <definedName name="JV_Tier_4_Partner_1_Guarantee_Pref_Amount.wrte">#REF!,#REF!</definedName>
    <definedName name="JV_Tier_4_Partner_1_Guarantee_Pref_Rate_Payoff.wrte">#REF!,#REF!</definedName>
    <definedName name="JV_Tier_4_Partner_2_Cost_Overruns.wrte">#REF!,#REF!</definedName>
    <definedName name="JV_Tier_4_Partner_2_Guarantee_Pref_Amount.wrte">#REF!,#REF!</definedName>
    <definedName name="JV_Tier_4_Partner_2_Guarantee_Pref_Rate_Payoff.wrte">#REF!,#REF!</definedName>
    <definedName name="JV_Tier_4_Partner_3_Cost_Overruns.wrte">#REF!,#REF!</definedName>
    <definedName name="JV_Tier_4_Partner_3_Guarantee_Pref_Amount.wrte">#REF!,#REF!</definedName>
    <definedName name="JV_Tier_4_Partner_3_Guarantee_Pref_Rate_Payoff.wrte">#REF!,#REF!</definedName>
    <definedName name="JV_Tier_4_Partner_4_Cost_Overruns.wrte">#REF!,#REF!</definedName>
    <definedName name="JV_Tier_4_Partner_4_Guarantee_Pref_Amount.wrte">#REF!,#REF!</definedName>
    <definedName name="JV_Tier_4_Partner_4_Guarantee_Pref_Rate_Payoff.wrte">#REF!,#REF!</definedName>
    <definedName name="JV_Tier_4_Partner_5_Cost_Overruns.wrte">#REF!,#REF!</definedName>
    <definedName name="JV_Tier_4_Partner_5_Guarantee_Pref_Amount.wrte">#REF!,#REF!</definedName>
    <definedName name="JV_Tier_4_Partner_5_Guarantee_Pref_Rate_Payoff.wrte">#REF!,#REF!</definedName>
    <definedName name="JV_Tier_4_Type.wrte">#REF!,#REF!</definedName>
    <definedName name="JV_Tier_5_Carlyle_Cost_Overruns.wrte">#REF!,#REF!</definedName>
    <definedName name="JV_Tier_5_Carlyle_Guarantee_Pref_Amount.wrte">#REF!,#REF!</definedName>
    <definedName name="JV_Tier_5_Carlyle_Guarantee_Pref_Rate_Payoff.wrte">#REF!,#REF!</definedName>
    <definedName name="JV_Tier_5_Cost_Overruns_Compounding.wrte">#REF!,#REF!</definedName>
    <definedName name="JV_Tier_5_Cost_Overruns_IRR.wrte">#REF!,#REF!</definedName>
    <definedName name="JV_Tier_5_Description.wrte">#REF!,#REF!</definedName>
    <definedName name="JV_Tier_5_Guarantee_Pref_IRR.wrte">#REF!,#REF!</definedName>
    <definedName name="JV_Tier_5_Member_IRR.wrte">#REF!,#REF!</definedName>
    <definedName name="JV_Tier_5_Member_Payment.wrte">#REF!,#REF!</definedName>
    <definedName name="JV_Tier_5_Member_Sharing.wrte">#REF!,#REF!</definedName>
    <definedName name="JV_Tier_5_Mezzanine_Amount_Rate.wrte">#REF!,#REF!</definedName>
    <definedName name="JV_Tier_5_Mezzanine_Payoff.wrte">#REF!,#REF!</definedName>
    <definedName name="JV_Tier_5_PageHeader_2.hdr">#REF!,#REF!</definedName>
    <definedName name="JV_Tier_5_Partner_1_Cost_Overruns.wrte">#REF!,#REF!</definedName>
    <definedName name="JV_Tier_5_Partner_1_Guarantee_Pref_Amount.wrte">#REF!,#REF!</definedName>
    <definedName name="JV_Tier_5_Partner_1_Guarantee_Pref_Rate_Payoff.wrte">#REF!,#REF!</definedName>
    <definedName name="JV_Tier_5_Partner_2_Cost_Overruns.wrte">#REF!,#REF!</definedName>
    <definedName name="JV_Tier_5_Partner_2_Guarantee_Pref_Amount.wrte">#REF!,#REF!</definedName>
    <definedName name="JV_Tier_5_Partner_2_Guarantee_Pref_Rate_Payoff.wrte">#REF!,#REF!</definedName>
    <definedName name="JV_Tier_5_Partner_3_Cost_Overruns.wrte">#REF!,#REF!</definedName>
    <definedName name="JV_Tier_5_Partner_3_Guarantee_Pref_Amount.wrte">#REF!,#REF!</definedName>
    <definedName name="JV_Tier_5_Partner_3_Guarantee_Pref_Rate_Payoff.wrte">#REF!,#REF!</definedName>
    <definedName name="JV_Tier_5_Partner_4_Cost_Overruns.wrte">#REF!,#REF!</definedName>
    <definedName name="JV_Tier_5_Partner_4_Guarantee_Pref_Amount.wrte">#REF!,#REF!</definedName>
    <definedName name="JV_Tier_5_Partner_4_Guarantee_Pref_Rate_Payoff.wrte">#REF!,#REF!</definedName>
    <definedName name="JV_Tier_5_Partner_5_Cost_Overruns.wrte">#REF!,#REF!</definedName>
    <definedName name="JV_Tier_5_Partner_5_Guarantee_Pref_Amount.wrte">#REF!,#REF!</definedName>
    <definedName name="JV_Tier_5_Partner_5_Guarantee_Pref_Rate_Payoff.wrte">#REF!,#REF!</definedName>
    <definedName name="JV_Tier_5_Type.wrte">#REF!,#REF!</definedName>
    <definedName name="JV_Tier_6_Carlyle_Cost_Overruns.wrte">#REF!,#REF!</definedName>
    <definedName name="JV_Tier_6_Carlyle_Guarantee_Pref_Amount.wrte">#REF!,#REF!</definedName>
    <definedName name="JV_Tier_6_Carlyle_Guarantee_Pref_Rate_Payoff.wrte">#REF!,#REF!</definedName>
    <definedName name="JV_Tier_6_Cost_Overruns_Compounding.wrte">#REF!,#REF!</definedName>
    <definedName name="JV_Tier_6_Cost_Overruns_IRR.wrte">#REF!,#REF!</definedName>
    <definedName name="JV_Tier_6_Description.wrte">#REF!,#REF!</definedName>
    <definedName name="JV_Tier_6_Guarantee_Pref_IRR.wrte">#REF!,#REF!</definedName>
    <definedName name="JV_Tier_6_Member_IRR.wrte">#REF!,#REF!</definedName>
    <definedName name="JV_Tier_6_Member_Payment.wrte">#REF!,#REF!</definedName>
    <definedName name="JV_Tier_6_Member_Sharing.wrte">#REF!,#REF!</definedName>
    <definedName name="JV_Tier_6_Mezzanine_Amount_Rate.wrte">#REF!,#REF!</definedName>
    <definedName name="JV_Tier_6_Mezzanine_Payoff.wrte">#REF!,#REF!</definedName>
    <definedName name="JV_Tier_6_PageHeader_2.hdr">#REF!,#REF!</definedName>
    <definedName name="JV_Tier_6_Partner_1_Cost_Overruns.wrte">#REF!,#REF!</definedName>
    <definedName name="JV_Tier_6_Partner_1_Guarantee_Pref_Amount.wrte">#REF!,#REF!</definedName>
    <definedName name="JV_Tier_6_Partner_1_Guarantee_Pref_Rate_Payoff.wrte">#REF!,#REF!</definedName>
    <definedName name="JV_Tier_6_Partner_2_Cost_Overruns.wrte">#REF!,#REF!</definedName>
    <definedName name="JV_Tier_6_Partner_2_Guarantee_Pref_Amount.wrte">#REF!,#REF!</definedName>
    <definedName name="JV_Tier_6_Partner_2_Guarantee_Pref_Rate_Payoff.wrte">#REF!,#REF!</definedName>
    <definedName name="JV_Tier_6_Partner_3_Cost_Overruns.wrte">#REF!,#REF!</definedName>
    <definedName name="JV_Tier_6_Partner_3_Guarantee_Pref_Amount.wrte">#REF!,#REF!</definedName>
    <definedName name="JV_Tier_6_Partner_3_Guarantee_Pref_Rate_Payoff.wrte">#REF!,#REF!</definedName>
    <definedName name="JV_Tier_6_Partner_4_Cost_Overruns.wrte">#REF!,#REF!</definedName>
    <definedName name="JV_Tier_6_Partner_4_Guarantee_Pref_Amount.wrte">#REF!,#REF!</definedName>
    <definedName name="JV_Tier_6_Partner_4_Guarantee_Pref_Rate_Payoff.wrte">#REF!,#REF!</definedName>
    <definedName name="JV_Tier_6_Partner_5_Cost_Overruns.wrte">#REF!,#REF!</definedName>
    <definedName name="JV_Tier_6_Partner_5_Guarantee_Pref_Amount.wrte">#REF!,#REF!</definedName>
    <definedName name="JV_Tier_6_Partner_5_Guarantee_Pref_Rate_Payoff.wrte">#REF!,#REF!</definedName>
    <definedName name="JV_Tier_6_Type.wrte">#REF!,#REF!</definedName>
    <definedName name="JV_Tier_7_Carlyle_Cost_Overruns.wrte">#REF!,#REF!</definedName>
    <definedName name="JV_Tier_7_Carlyle_Guarantee_Pref_Amount.wrte">#REF!,#REF!</definedName>
    <definedName name="JV_Tier_7_Carlyle_Guarantee_Pref_Rate_Payoff.wrte">#REF!,#REF!</definedName>
    <definedName name="JV_Tier_7_Cost_Overruns_Compounding.wrte">#REF!,#REF!</definedName>
    <definedName name="JV_Tier_7_Cost_Overruns_IRR.wrte">#REF!,#REF!</definedName>
    <definedName name="JV_Tier_7_Description.wrte">#REF!,#REF!</definedName>
    <definedName name="JV_Tier_7_Guarantee_Pref_IRR.wrte">#REF!,#REF!</definedName>
    <definedName name="JV_Tier_7_Member_IRR.wrte">#REF!,#REF!</definedName>
    <definedName name="JV_Tier_7_Member_Payment.wrte">#REF!,#REF!</definedName>
    <definedName name="JV_Tier_7_Member_Sharing.wrte">#REF!,#REF!</definedName>
    <definedName name="JV_Tier_7_Mezzanine_Amount_Rate.wrte">#REF!,#REF!</definedName>
    <definedName name="JV_Tier_7_Mezzanine_Payoff.wrte">#REF!,#REF!</definedName>
    <definedName name="JV_Tier_7_PageHeader_2.hdr">#REF!,#REF!</definedName>
    <definedName name="JV_Tier_7_Partner_1_Cost_Overruns.wrte">#REF!,#REF!</definedName>
    <definedName name="JV_Tier_7_Partner_1_Guarantee_Pref_Amount.wrte">#REF!,#REF!</definedName>
    <definedName name="JV_Tier_7_Partner_1_Guarantee_Pref_Rate_Payoff.wrte">#REF!,#REF!</definedName>
    <definedName name="JV_Tier_7_Partner_2_Cost_Overruns.wrte">#REF!,#REF!</definedName>
    <definedName name="JV_Tier_7_Partner_2_Guarantee_Pref_Amount.wrte">#REF!,#REF!</definedName>
    <definedName name="JV_Tier_7_Partner_2_Guarantee_Pref_Rate_Payoff.wrte">#REF!,#REF!</definedName>
    <definedName name="JV_Tier_7_Partner_3_Cost_Overruns.wrte">#REF!,#REF!</definedName>
    <definedName name="JV_Tier_7_Partner_3_Guarantee_Pref_Amount.wrte">#REF!,#REF!</definedName>
    <definedName name="JV_Tier_7_Partner_3_Guarantee_Pref_Rate_Payoff.wrte">#REF!,#REF!</definedName>
    <definedName name="JV_Tier_7_Partner_4_Cost_Overruns.wrte">#REF!,#REF!</definedName>
    <definedName name="JV_Tier_7_Partner_4_Guarantee_Pref_Amount.wrte">#REF!,#REF!</definedName>
    <definedName name="JV_Tier_7_Partner_4_Guarantee_Pref_Rate_Payoff.wrte">#REF!,#REF!</definedName>
    <definedName name="JV_Tier_7_Partner_5_Cost_Overruns.wrte">#REF!,#REF!</definedName>
    <definedName name="JV_Tier_7_Partner_5_Guarantee_Pref_Amount.wrte">#REF!,#REF!</definedName>
    <definedName name="JV_Tier_7_Partner_5_Guarantee_Pref_Rate_Payoff.wrte">#REF!,#REF!</definedName>
    <definedName name="JV_Tier_7_Type.wrte">#REF!,#REF!</definedName>
    <definedName name="JV_Tier_8_Carlyle_Cost_Overruns.wrte">#REF!,#REF!</definedName>
    <definedName name="JV_Tier_8_Carlyle_Guarantee_Pref_Amount.wrte">#REF!,#REF!</definedName>
    <definedName name="JV_Tier_8_Carlyle_Guarantee_Pref_Rate_Payoff.wrte">#REF!,#REF!</definedName>
    <definedName name="JV_Tier_8_Cost_Overruns_Compounding.wrte">#REF!,#REF!</definedName>
    <definedName name="JV_Tier_8_Cost_Overruns_IRR.wrte">#REF!,#REF!</definedName>
    <definedName name="JV_Tier_8_Description.wrte">#REF!,#REF!</definedName>
    <definedName name="JV_Tier_8_Guarantee_Pref_IRR.wrte">#REF!,#REF!</definedName>
    <definedName name="JV_Tier_8_Member_IRR.wrte">#REF!,#REF!</definedName>
    <definedName name="JV_Tier_8_Member_Payment.wrte">#REF!,#REF!</definedName>
    <definedName name="JV_Tier_8_Member_Sharing.wrte">#REF!,#REF!</definedName>
    <definedName name="JV_Tier_8_Mezzanine_Amount_Rate.wrte">#REF!,#REF!</definedName>
    <definedName name="JV_Tier_8_Mezzanine_Payoff.wrte">#REF!,#REF!</definedName>
    <definedName name="JV_Tier_8_PageHeader_2.hdr">#REF!,#REF!</definedName>
    <definedName name="JV_Tier_8_Partner_1_Cost_Overruns.wrte">#REF!,#REF!</definedName>
    <definedName name="JV_Tier_8_Partner_1_Guarantee_Pref_Amount.wrte">#REF!,#REF!</definedName>
    <definedName name="JV_Tier_8_Partner_1_Guarantee_Pref_Rate_Payoff.wrte">#REF!,#REF!</definedName>
    <definedName name="JV_Tier_8_Partner_2_Cost_Overruns.wrte">#REF!,#REF!</definedName>
    <definedName name="JV_Tier_8_Partner_2_Guarantee_Pref_Amount.wrte">#REF!,#REF!</definedName>
    <definedName name="JV_Tier_8_Partner_2_Guarantee_Pref_Rate_Payoff.wrte">#REF!,#REF!</definedName>
    <definedName name="JV_Tier_8_Partner_3_Cost_Overruns.wrte">#REF!,#REF!</definedName>
    <definedName name="JV_Tier_8_Partner_3_Guarantee_Pref_Amount.wrte">#REF!,#REF!</definedName>
    <definedName name="JV_Tier_8_Partner_3_Guarantee_Pref_Rate_Payoff.wrte">#REF!,#REF!</definedName>
    <definedName name="JV_Tier_8_Partner_4_Cost_Overruns.wrte">#REF!,#REF!</definedName>
    <definedName name="JV_Tier_8_Partner_4_Guarantee_Pref_Amount.wrte">#REF!,#REF!</definedName>
    <definedName name="JV_Tier_8_Partner_4_Guarantee_Pref_Rate_Payoff.wrte">#REF!,#REF!</definedName>
    <definedName name="JV_Tier_8_Partner_5_Cost_Overruns.wrte">#REF!,#REF!</definedName>
    <definedName name="JV_Tier_8_Partner_5_Guarantee_Pref_Amount.wrte">#REF!,#REF!</definedName>
    <definedName name="JV_Tier_8_Partner_5_Guarantee_Pref_Rate_Payoff.wrte">#REF!,#REF!</definedName>
    <definedName name="JV_Tier_8_Type.wrte">#REF!,#REF!</definedName>
    <definedName name="JV_Tier_9_Carlyle_Cost_Overruns.wrte">#REF!,#REF!</definedName>
    <definedName name="JV_Tier_9_Carlyle_Guarantee_Pref_Amount.wrte">#REF!,#REF!</definedName>
    <definedName name="JV_Tier_9_Carlyle_Guarantee_Pref_Rate_Payoff.wrte">#REF!,#REF!</definedName>
    <definedName name="JV_Tier_9_Cost_Overruns_Compounding.wrte">#REF!,#REF!</definedName>
    <definedName name="JV_Tier_9_Cost_Overruns_IRR.wrte">#REF!,#REF!</definedName>
    <definedName name="JV_Tier_9_Description.wrte">#REF!,#REF!</definedName>
    <definedName name="JV_Tier_9_Guarantee_Pref_IRR.wrte">#REF!,#REF!</definedName>
    <definedName name="JV_Tier_9_Member_IRR.wrte">#REF!,#REF!</definedName>
    <definedName name="JV_Tier_9_Member_Payment.wrte">#REF!,#REF!</definedName>
    <definedName name="JV_Tier_9_Member_Sharing.wrte">#REF!,#REF!</definedName>
    <definedName name="JV_Tier_9_Mezzanine_Amount_Rate.wrte">#REF!,#REF!</definedName>
    <definedName name="JV_Tier_9_Mezzanine_Payoff.wrte">#REF!,#REF!</definedName>
    <definedName name="JV_Tier_9_PageHeader_2.hdr">#REF!,#REF!</definedName>
    <definedName name="JV_Tier_9_Partner_1_Cost_Overruns.wrte">#REF!,#REF!</definedName>
    <definedName name="JV_Tier_9_Partner_1_Guarantee_Pref_Amount.wrte">#REF!,#REF!</definedName>
    <definedName name="JV_Tier_9_Partner_1_Guarantee_Pref_Rate_Payoff.wrte">#REF!,#REF!</definedName>
    <definedName name="JV_Tier_9_Partner_2_Cost_Overruns.wrte">#REF!,#REF!</definedName>
    <definedName name="JV_Tier_9_Partner_2_Guarantee_Pref_Amount.wrte">#REF!,#REF!</definedName>
    <definedName name="JV_Tier_9_Partner_2_Guarantee_Pref_Rate_Payoff.wrte">#REF!,#REF!</definedName>
    <definedName name="JV_Tier_9_Partner_3_Cost_Overruns.wrte">#REF!,#REF!</definedName>
    <definedName name="JV_Tier_9_Partner_3_Guarantee_Pref_Amount.wrte">#REF!,#REF!</definedName>
    <definedName name="JV_Tier_9_Partner_3_Guarantee_Pref_Rate_Payoff.wrte">#REF!,#REF!</definedName>
    <definedName name="JV_Tier_9_Partner_4_Cost_Overruns.wrte">#REF!,#REF!</definedName>
    <definedName name="JV_Tier_9_Partner_4_Guarantee_Pref_Amount.wrte">#REF!,#REF!</definedName>
    <definedName name="JV_Tier_9_Partner_4_Guarantee_Pref_Rate_Payoff.wrte">#REF!,#REF!</definedName>
    <definedName name="JV_Tier_9_Partner_5_Cost_Overruns.wrte">#REF!,#REF!</definedName>
    <definedName name="JV_Tier_9_Partner_5_Guarantee_Pref_Amount.wrte">#REF!,#REF!</definedName>
    <definedName name="JV_Tier_9_Partner_5_Guarantee_Pref_Rate_Payoff.wrte">#REF!,#REF!</definedName>
    <definedName name="JV_Tier_9_Type.wrte">#REF!,#REF!</definedName>
    <definedName name="JV_Waterfall_Results_Carlyle_Cash_Flows.read">#REF!,#REF!</definedName>
    <definedName name="JV_Waterfall_Results_PageHeader.hdr">#REF!,#REF!</definedName>
    <definedName name="k" localSheetId="7">{"sheet a",#N/A,FALSE,"A";"sheet b 1",#N/A,FALSE,"B";"sheet b 2",#N/A,FALSE,"B"}</definedName>
    <definedName name="k">{"sheet a",#N/A,FALSE,"A";"sheet b 1",#N/A,FALSE,"B";"sheet b 2",#N/A,FALSE,"B"}</definedName>
    <definedName name="KeyRate">#REF!</definedName>
    <definedName name="Keys">#REF!</definedName>
    <definedName name="KingsHighway">#REF!</definedName>
    <definedName name="kjjjjkjhk" localSheetId="7" hidden="1">{"sheet a",#N/A,FALSE,"A";"sheet b 1",#N/A,FALSE,"B";"sheet b 2",#N/A,FALSE,"B"}</definedName>
    <definedName name="kjjjjkjhk" hidden="1">{"sheet a",#N/A,FALSE,"A";"sheet b 1",#N/A,FALSE,"B";"sheet b 2",#N/A,FALSE,"B"}</definedName>
    <definedName name="kkkk" hidden="1">#REF!</definedName>
    <definedName name="Knickclose">#REF!</definedName>
    <definedName name="knickhotelexit">#REF!</definedName>
    <definedName name="knickkeys">#REF!</definedName>
    <definedName name="kyd.ChngCell.01." hidden="1">#REF!</definedName>
    <definedName name="kyd.CounterLimitCell.01." hidden="1">"x"</definedName>
    <definedName name="kyd.Dim.01." hidden="1">"tm1serv:company"</definedName>
    <definedName name="kyd.ElementList.01." hidden="1">#REF!</definedName>
    <definedName name="kyd.ElementType.01." hidden="1">1</definedName>
    <definedName name="kyd.FileSaveDir.">""</definedName>
    <definedName name="kyd.ItemType.01." hidden="1">2</definedName>
    <definedName name="kyd.KillLinks.">-4146</definedName>
    <definedName name="kyd.MacroAtEnd." hidden="1">""</definedName>
    <definedName name="kyd.MacroEachCycle." hidden="1">""</definedName>
    <definedName name="kyd.MacroEndOfEachCycle." hidden="1">""</definedName>
    <definedName name="kyd.MemoSortHide.">FALSE</definedName>
    <definedName name="kyd.NumLevels.01." hidden="1">999</definedName>
    <definedName name="kyd.PanicStop." hidden="1">FALSE</definedName>
    <definedName name="kyd.ParentName.01." hidden="1">""</definedName>
    <definedName name="kyd.Password.">""</definedName>
    <definedName name="kyd.PreScreenData." hidden="1">FALSE</definedName>
    <definedName name="kyd.PrintMemo.">FALSE</definedName>
    <definedName name="kyd.PrintParent.01." hidden="1">TRUE</definedName>
    <definedName name="kyd.PrintStdWhen." hidden="1">1</definedName>
    <definedName name="kyd.ProtWbkStruct.">-4146</definedName>
    <definedName name="kyd.ProtWbkWin.">-4146</definedName>
    <definedName name="kyd.ReplaceFile.">-4146</definedName>
    <definedName name="kyd.SaveAsFile." hidden="1">FALSE</definedName>
    <definedName name="kyd.SaveCopy.">3</definedName>
    <definedName name="kyd.SaveMemo.">FALSE</definedName>
    <definedName name="kyd.SelectString.01." hidden="1">"*"</definedName>
    <definedName name="kyd.StdSortHide." hidden="1">FALSE</definedName>
    <definedName name="kyd.StopRow.">65536</definedName>
    <definedName name="kyd.WriteMemWhenOptn.">3</definedName>
    <definedName name="l" localSheetId="7" hidden="1">{"sheet a",#N/A,FALSE,"A";"2 9 casflow",#N/A,FALSE,"B"}</definedName>
    <definedName name="l" hidden="1">{"sheet a",#N/A,FALSE,"A";"2 9 casflow",#N/A,FALSE,"B"}</definedName>
    <definedName name="LA_Props1">#REF!</definedName>
    <definedName name="land">#REF!</definedName>
    <definedName name="Last_Row" localSheetId="7">IF(Values_Entered,Header_Row+Number_of_Payments,Header_Row)</definedName>
    <definedName name="Last_Row">IF(Values_Entered,Header_Row+Number_of_Payments,Header_Row)</definedName>
    <definedName name="LastLineItem">#REF!</definedName>
    <definedName name="Law_Account" hidden="1">#REF!</definedName>
    <definedName name="Law_Account_Subaccount" hidden="1">#REF!</definedName>
    <definedName name="Law_Accounting_Unit" hidden="1">#REF!</definedName>
    <definedName name="Law_Company" hidden="1">#REF!</definedName>
    <definedName name="LC">#REF!</definedName>
    <definedName name="LeaseType">#REF!</definedName>
    <definedName name="leek" hidden="1">#REF!</definedName>
    <definedName name="Leg1AccruedInterest">#REF!</definedName>
    <definedName name="Leg1CF">#REF!</definedName>
    <definedName name="Leg1CleanPrice">#REF!</definedName>
    <definedName name="Leg1CouponPV">#REF!</definedName>
    <definedName name="Leg1CouponValue">#REF!</definedName>
    <definedName name="Leg1DiscountFactor">#REF!</definedName>
    <definedName name="Leg1Duration">#REF!</definedName>
    <definedName name="Leg1DV01">#REF!</definedName>
    <definedName name="Leg1EndDate">#REF!</definedName>
    <definedName name="Leg1FixingDate">#REF!</definedName>
    <definedName name="Leg1Notional">#REF!</definedName>
    <definedName name="Leg1PaymentDate">#REF!</definedName>
    <definedName name="Leg1PrincipalPayment">#REF!</definedName>
    <definedName name="Leg1PV01">#REF!</definedName>
    <definedName name="Leg1Rate">#REF!</definedName>
    <definedName name="Leg1Spot">#REF!</definedName>
    <definedName name="Leg1StartDate">#REF!</definedName>
    <definedName name="Leg1TotalValue">#REF!</definedName>
    <definedName name="Leg1Values">#REF!</definedName>
    <definedName name="Leg2AccruedInterest">#REF!</definedName>
    <definedName name="Leg2CF">#REF!</definedName>
    <definedName name="Leg2CleanPrice">#REF!</definedName>
    <definedName name="Leg2CouponPV">#REF!</definedName>
    <definedName name="Leg2CouponValue">#REF!</definedName>
    <definedName name="Leg2DiscountFactor">#REF!</definedName>
    <definedName name="Leg2Duration">#REF!</definedName>
    <definedName name="Leg2DV01">#REF!</definedName>
    <definedName name="Leg2EndDate">#REF!</definedName>
    <definedName name="Leg2FixingDate">#REF!</definedName>
    <definedName name="Leg2Notional">#REF!</definedName>
    <definedName name="Leg2PaymentDate">#REF!</definedName>
    <definedName name="Leg2PrincipalPayment">#REF!</definedName>
    <definedName name="Leg2PV01">#REF!</definedName>
    <definedName name="Leg2Rate">#REF!</definedName>
    <definedName name="Leg2Spot">#REF!</definedName>
    <definedName name="Leg2StartDate">#REF!</definedName>
    <definedName name="Leg2TotalValue">#REF!</definedName>
    <definedName name="Leg2Values">#REF!</definedName>
    <definedName name="legal">#REF!</definedName>
    <definedName name="Legal_JV">#REF!</definedName>
    <definedName name="Lehman_Pref">#REF!</definedName>
    <definedName name="Lehman_Split">#REF!</definedName>
    <definedName name="LifeManagement">#REF!</definedName>
    <definedName name="limcount" hidden="1">1</definedName>
    <definedName name="lisa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lisa2" hidden="1">{"View1",#N/A,FALSE,"Sheet1";"View2",#N/A,FALSE,"Sheet1"}</definedName>
    <definedName name="lisa3" hidden="1">{"View1",#N/A,FALSE,"Sheet1";"View2",#N/A,FALSE,"Sheet1"}</definedName>
    <definedName name="ll" hidden="1">{#N/A,#N/A,FALSE,"Summary";#N/A,#N/A,FALSE,"Project Summary";#N/A,#N/A,FALSE,"Master Developer Cash Flow";#N/A,#N/A,FALSE,"Development Cost Allocation";#N/A,#N/A,FALSE,"Costs";#N/A,#N/A,FALSE,"Pad Fees";#N/A,#N/A,FALSE,"Parking Budget";#N/A,#N/A,FALSE,"Podium Monthly Development #1";#N/A,#N/A,FALSE,"Podium Monthly Development #2";#N/A,#N/A,FALSE,"Podium Quarterly Development Bu";#N/A,#N/A,FALSE,"Parking Cash Flow";#N/A,#N/A,FALSE,"Parking Assumptions";#N/A,#N/A,FALSE,"Bond Debt Service";#N/A,#N/A,FALSE,"Bond Shortfall";#N/A,#N/A,FALSE,"Retail Development Budget";#N/A,#N/A,FALSE,"Retail Monthly Development Budg";#N/A,#N/A,FALSE,"Retail Quarterly Development Bu";#N/A,#N/A,FALSE,"Retail Cash Flow";#N/A,#N/A,FALSE,"Retail Cash Flow";#N/A,#N/A,FALSE,"Retail Assumptions";#N/A,#N/A,FALSE,"Retail Debt Service";#N/A,#N/A,FALSE,"Office Development Budget";#N/A,#N/A,FALSE,"Office Monthly Development Budg";#N/A,#N/A,FALSE,"Office Quarterly Development Bu";#N/A,#N/A,FALSE,"Office Cash Flow";#N/A,#N/A,FALSE,"Office Assumptions";#N/A,#N/A,FALSE,"Office Debt Service";#N/A,#N/A,FALSE,"Hotel Development Budget";#N/A,#N/A,FALSE,"Hotel Monthly Development Budge";#N/A,#N/A,FALSE,"Hotel Quarterly Development Bud";#N/A,#N/A,FALSE,"Hotel Cash Flow";#N/A,#N/A,FALSE,"Hotel Assumptions";#N/A,#N/A,FALSE,"Hotel Debt Service";#N/A,#N/A,FALSE,"Demographics-Hotel";#N/A,#N/A,FALSE,"Land Lease NPV"}</definedName>
    <definedName name="lll" localSheetId="7" hidden="1">{"Outflow 1",#N/A,FALSE,"Outflows-Inflows";"Outflow 2",#N/A,FALSE,"Outflows-Inflows";"Inflow 1",#N/A,FALSE,"Outflows-Inflows";"Inflow 2",#N/A,FALSE,"Outflows-Inflows"}</definedName>
    <definedName name="lll" hidden="1">{"Outflow 1",#N/A,FALSE,"Outflows-Inflows";"Outflow 2",#N/A,FALSE,"Outflows-Inflows";"Inflow 1",#N/A,FALSE,"Outflows-Inflows";"Inflow 2",#N/A,FALSE,"Outflows-Inflows"}</definedName>
    <definedName name="lllll" localSheetId="7" hidden="1">{"sheet a",#N/A,FALSE,"A";"sheet b 1",#N/A,FALSE,"B";"sheet b 2",#N/A,FALSE,"B"}</definedName>
    <definedName name="lllll" hidden="1">{"sheet a",#N/A,FALSE,"A";"sheet b 1",#N/A,FALSE,"B";"sheet b 2",#N/A,FALSE,"B"}</definedName>
    <definedName name="Loan">#REF!</definedName>
    <definedName name="Loan_Amount">#REF!</definedName>
    <definedName name="Loan_Not_Paid">#N/A</definedName>
    <definedName name="LoanId">#REF!</definedName>
    <definedName name="LoanName">#REF!</definedName>
    <definedName name="loc">#REF!</definedName>
    <definedName name="Local">#REF!</definedName>
    <definedName name="location">#REF!</definedName>
    <definedName name="Lockbox">#REF!</definedName>
    <definedName name="LowModUnits">#REF!</definedName>
    <definedName name="lp_pref">#REF!</definedName>
    <definedName name="LTC">#REF!</definedName>
    <definedName name="LTV">#REF!</definedName>
    <definedName name="Lws_FormVersion_6.1" hidden="1">#REF!</definedName>
    <definedName name="Lws_SSType_Columns" hidden="1">#REF!</definedName>
    <definedName name="Maine">#REF!</definedName>
    <definedName name="MALLS">#REF!</definedName>
    <definedName name="Market_Rate_Units">#REF!</definedName>
    <definedName name="MARKETING">#REF!</definedName>
    <definedName name="Martinique">#REF!</definedName>
    <definedName name="matrix" localSheetId="7" hidden="1">{#N/A,#N/A,FALSE,"1Summary";#N/A,#N/A,FALSE,"2Assumptions";#N/A,#N/A,FALSE,"3Cash Flow";#N/A,#N/A,FALSE,"4Return of Investment Chart";#N/A,#N/A,FALSE,"5Year 1 Reconciliation";#N/A,#N/A,FALSE,"6Residual";#N/A,#N/A,FALSE,"7Pricing Matrix";#N/A,#N/A,FALSE,"8Vacancy Matrix";#N/A,#N/A,FALSE,"9Vacancy Chart";#N/A,#N/A,FALSE,"AExpiration Schedule";#N/A,#N/A,FALSE,"BExpiration Chart";#N/A,#N/A,FALSE,"CLease-up Schedule";#N/A,#N/A,FALSE,"DWeighted Average Calculation"}</definedName>
    <definedName name="matrix" hidden="1">{#N/A,#N/A,FALSE,"1Summary";#N/A,#N/A,FALSE,"2Assumptions";#N/A,#N/A,FALSE,"3Cash Flow";#N/A,#N/A,FALSE,"4Return of Investment Chart";#N/A,#N/A,FALSE,"5Year 1 Reconciliation";#N/A,#N/A,FALSE,"6Residual";#N/A,#N/A,FALSE,"7Pricing Matrix";#N/A,#N/A,FALSE,"8Vacancy Matrix";#N/A,#N/A,FALSE,"9Vacancy Chart";#N/A,#N/A,FALSE,"AExpiration Schedule";#N/A,#N/A,FALSE,"BExpiration Chart";#N/A,#N/A,FALSE,"CLease-up Schedule";#N/A,#N/A,FALSE,"DWeighted Average Calculation"}</definedName>
    <definedName name="max_equity">#REF!</definedName>
    <definedName name="Mcirc">#REF!</definedName>
    <definedName name="MCUwork1" localSheetId="7" hidden="1">{#N/A,#N/A,TRUE,"Summary";#N/A,#N/A,TRUE,"Program Scheme";#N/A,#N/A,TRUE,"Assumptions";#N/A,#N/A,TRUE,"Development Budget &amp; Timing";#N/A,#N/A,TRUE,"Cash Flow";#N/A,#N/A,TRUE,"Cash Flow to Debt &amp; Equity"}</definedName>
    <definedName name="MCUwork1" hidden="1">{#N/A,#N/A,TRUE,"Summary";#N/A,#N/A,TRUE,"Program Scheme";#N/A,#N/A,TRUE,"Assumptions";#N/A,#N/A,TRUE,"Development Budget &amp; Timing";#N/A,#N/A,TRUE,"Cash Flow";#N/A,#N/A,TRUE,"Cash Flow to Debt &amp; Equity"}</definedName>
    <definedName name="MENU">#REF!</definedName>
    <definedName name="mezz">#REF!</definedName>
    <definedName name="mezz_amort">#REF!</definedName>
    <definedName name="mezz_interest_rate">#REF!</definedName>
    <definedName name="mezz_maturity_date">#REF!</definedName>
    <definedName name="mezz_origination_date">#REF!</definedName>
    <definedName name="mezz_points_in">#REF!</definedName>
    <definedName name="mezz_points_out">#REF!</definedName>
    <definedName name="mezz_principal_balance">#REF!</definedName>
    <definedName name="mezzconst">#REF!</definedName>
    <definedName name="MgmtFeeReimbursedUI">#REF!</definedName>
    <definedName name="mgt_fee_1">#REF!</definedName>
    <definedName name="mgt_fee_2">#REF!</definedName>
    <definedName name="Mgtfee">#REF!</definedName>
    <definedName name="MILES">#REF!</definedName>
    <definedName name="Mill_Rate">#REF!</definedName>
    <definedName name="Minnesota">#REF!</definedName>
    <definedName name="mmmmm" hidden="1">#REF!</definedName>
    <definedName name="monday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Monday1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mondayjvcopy" hidden="1">{"View1",#N/A,FALSE,"Sheet1";"View2",#N/A,FALSE,"Sheet1"}</definedName>
    <definedName name="mondaypark" hidden="1">{"View1",#N/A,FALSE,"Sheet1";"View2",#N/A,FALSE,"Sheet1"}</definedName>
    <definedName name="mondaytest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MonteCarlo">#REF!</definedName>
    <definedName name="Monthly_Cutoff">#REF!</definedName>
    <definedName name="Monthly_Payment">#N/A</definedName>
    <definedName name="months">#REF!</definedName>
    <definedName name="mortconst">#REF!</definedName>
    <definedName name="Mortgage_Tax">#REF!</definedName>
    <definedName name="MTD">#REF!</definedName>
    <definedName name="na">#REF!</definedName>
    <definedName name="NAME1">#REF!</definedName>
    <definedName name="NAME2">#REF!</definedName>
    <definedName name="nb" hidden="1">#REF!</definedName>
    <definedName name="nCostCodes">#REF!</definedName>
    <definedName name="nCosts">#REF!</definedName>
    <definedName name="net_rentable_residential">#REF!</definedName>
    <definedName name="NEW" hidden="1">#REF!</definedName>
    <definedName name="newdebt">#REF!</definedName>
    <definedName name="newequity">#REF!</definedName>
    <definedName name="next">#REF!</definedName>
    <definedName name="NOINCFLabel">#REF!</definedName>
    <definedName name="NormalUnits">#REF!</definedName>
    <definedName name="NorthCarolina">#REF!</definedName>
    <definedName name="NorthWestern">#REF!</definedName>
    <definedName name="Note_b">#REF!</definedName>
    <definedName name="Now" localSheetId="7" hidden="1">{"Assumptions",#N/A,TRUE,"Returns";"Tables",#N/A,TRUE,"Returns"}</definedName>
    <definedName name="Now" hidden="1">{"Assumptions",#N/A,TRUE,"Returns";"Tables",#N/A,TRUE,"Returns"}</definedName>
    <definedName name="NPV_5.5_percent">#REF!</definedName>
    <definedName name="NRA">#REF!</definedName>
    <definedName name="nrsf">#REF!</definedName>
    <definedName name="nrst">#REF!</definedName>
    <definedName name="Number">#REF!</definedName>
    <definedName name="Number_of_Units">#REF!</definedName>
    <definedName name="NumberofRooms">#REF!</definedName>
    <definedName name="NvsASD">"V2004-04-23"</definedName>
    <definedName name="NvsAutoDrillOk">"VN"</definedName>
    <definedName name="NvsElapsedTime">0.00513124999997672</definedName>
    <definedName name="NvsEndTime">38282.5665625</definedName>
    <definedName name="NvsInstSpec">"%,FPRODUCT,TSERG_REP_REQUESTS,NSE_GRAND_W_GOLF"</definedName>
    <definedName name="NvsLayoutType">"M3"</definedName>
    <definedName name="NvsNplSpec">"%,X,RZF..,CZF.."</definedName>
    <definedName name="NvsPanelEffdt">"V2050-12-31"</definedName>
    <definedName name="NvsPanelSetid">"VMIDIV"</definedName>
    <definedName name="NvsReqBU">"V33"</definedName>
    <definedName name="NvsReqBUOnly">"VN"</definedName>
    <definedName name="NvsTransLed">"VN"</definedName>
    <definedName name="NvsTreeASD">"V2004-01-30"</definedName>
    <definedName name="NvsValTbl.ACCOUNT">"GL_ACCOUNT_TBL"</definedName>
    <definedName name="NvsValTbl.DEPTID">"DEPARTMENT_TBL"</definedName>
    <definedName name="NW" hidden="1">#REF!</definedName>
    <definedName name="NYCSales1">#REF!</definedName>
    <definedName name="NYCSales2">#REF!</definedName>
    <definedName name="NYCSales3">#REF!</definedName>
    <definedName name="o" localSheetId="7" hidden="1">{"sheet a",#N/A,FALSE,"A";"2 9 casflow",#N/A,FALSE,"B"}</definedName>
    <definedName name="o" hidden="1">{"sheet a",#N/A,FALSE,"A";"2 9 casflow",#N/A,FALSE,"B"}</definedName>
    <definedName name="OA_Asset_Management_Fees.rdwr">#REF!,#REF!</definedName>
    <definedName name="OA_Departmental_Expense_Growth_Rates.rdwr">#REF!,#REF!</definedName>
    <definedName name="OA_Fixed_Expense_Growth_Rates.rdwr">#REF!,#REF!</definedName>
    <definedName name="OA_Growth_Rates.read">#REF!,#REF!</definedName>
    <definedName name="OA_Occupancy.rdwr">#REF!,#REF!</definedName>
    <definedName name="OA_Occupancy_Percentage_per_Quarter.read">#REF!,#REF!</definedName>
    <definedName name="OA_Percent_Expenses.rdwr">#REF!,#REF!</definedName>
    <definedName name="OA_Revenue_Growth_Rates.rdwr">#REF!,#REF!</definedName>
    <definedName name="OA_Undistributed_Expense_Growth_Rates.rdwr">#REF!,#REF!</definedName>
    <definedName name="occ">#REF!</definedName>
    <definedName name="occ_table">#REF!</definedName>
    <definedName name="occsf">#REF!</definedName>
    <definedName name="Occupancy_Rate">#REF!</definedName>
    <definedName name="Ocean">#REF!</definedName>
    <definedName name="OCF">#REF!</definedName>
    <definedName name="oeprint">#REF!</definedName>
    <definedName name="OFB">#REF!</definedName>
    <definedName name="OFC">#REF!</definedName>
    <definedName name="oi">#REF!</definedName>
    <definedName name="oiprint">#REF!</definedName>
    <definedName name="OK" hidden="1">#REF!</definedName>
    <definedName name="OKAY" hidden="1">#REF!</definedName>
    <definedName name="ola" localSheetId="7" hidden="1">{#N/A,#N/A,TRUE,"Cap Budget";#N/A,#N/A,TRUE,"Sources &amp; Uses";#N/A,#N/A,TRUE,"All Closing Disbursements";#N/A,#N/A,TRUE,"Title Co Instructions";#N/A,#N/A,TRUE,"Title Co  - Tranche A";#N/A,#N/A,TRUE,"Title Co - Tranche B";#N/A,#N/A,TRUE,"Lender Summary";#N/A,#N/A,TRUE,"Lender Summary- Tranche A";#N/A,#N/A,TRUE,"Lender - Tranche B";#N/A,#N/A,TRUE,"Closing Prorations";#N/A,#N/A,TRUE,"JV &amp; PWREF Wire Transfers";#N/A,#N/A,TRUE,"Cost Aggregation";#N/A,#N/A,TRUE,"Escrow Accounts";#N/A,#N/A,TRUE,"Inputs"}</definedName>
    <definedName name="ola" hidden="1">{#N/A,#N/A,TRUE,"Cap Budget";#N/A,#N/A,TRUE,"Sources &amp; Uses";#N/A,#N/A,TRUE,"All Closing Disbursements";#N/A,#N/A,TRUE,"Title Co Instructions";#N/A,#N/A,TRUE,"Title Co  - Tranche A";#N/A,#N/A,TRUE,"Title Co - Tranche B";#N/A,#N/A,TRUE,"Lender Summary";#N/A,#N/A,TRUE,"Lender Summary- Tranche A";#N/A,#N/A,TRUE,"Lender - Tranche B";#N/A,#N/A,TRUE,"Closing Prorations";#N/A,#N/A,TRUE,"JV &amp; PWREF Wire Transfers";#N/A,#N/A,TRUE,"Cost Aggregation";#N/A,#N/A,TRUE,"Escrow Accounts";#N/A,#N/A,TRUE,"Inputs"}</definedName>
    <definedName name="olddebt">#REF!</definedName>
    <definedName name="oldfile2" hidden="1">{#N/A,#N/A,FALSE,"Summary";#N/A,#N/A,FALSE,"Buckets";#N/A,#N/A,FALSE,"Northstar";#N/A,#N/A,FALSE,"Comp"}</definedName>
    <definedName name="One" localSheetId="7" hidden="1">{#N/A,#N/A,FALSE,"Consol CF";#N/A,#N/A,FALSE,"matx B4 DS";#N/A,#N/A,FALSE,"Hacienda CF";#N/A,#N/A,FALSE,"matx B4 DS Hac";#N/A,#N/A,FALSE,"Chabot CF";#N/A,#N/A,FALSE,"matx B4 DS Chabot";#N/A,#N/A,FALSE,"Diablo CF";#N/A,#N/A,FALSE,"matx B4 DS Diablo";#N/A,#N/A,FALSE,"HAC2-CF";#N/A,#N/A,FALSE,"HAC3-CF";#N/A,#N/A,FALSE,"HAC4-CF";#N/A,#N/A,FALSE,"HAC5-CF";#N/A,#N/A,FALSE,"HAC6-CF";#N/A,#N/A,FALSE,"HAC7-CF";#N/A,#N/A,FALSE,"HAC8-CF";#N/A,#N/A,FALSE,"HAC9-CF";#N/A,#N/A,FALSE,"HA10-CF"}</definedName>
    <definedName name="One" hidden="1">{#N/A,#N/A,FALSE,"Consol CF";#N/A,#N/A,FALSE,"matx B4 DS";#N/A,#N/A,FALSE,"Hacienda CF";#N/A,#N/A,FALSE,"matx B4 DS Hac";#N/A,#N/A,FALSE,"Chabot CF";#N/A,#N/A,FALSE,"matx B4 DS Chabot";#N/A,#N/A,FALSE,"Diablo CF";#N/A,#N/A,FALSE,"matx B4 DS Diablo";#N/A,#N/A,FALSE,"HAC2-CF";#N/A,#N/A,FALSE,"HAC3-CF";#N/A,#N/A,FALSE,"HAC4-CF";#N/A,#N/A,FALSE,"HAC5-CF";#N/A,#N/A,FALSE,"HAC6-CF";#N/A,#N/A,FALSE,"HAC7-CF";#N/A,#N/A,FALSE,"HAC8-CF";#N/A,#N/A,FALSE,"HAC9-CF";#N/A,#N/A,FALSE,"HA10-CF"}</definedName>
    <definedName name="oo" hidden="1">#REF!</definedName>
    <definedName name="open">#REF!</definedName>
    <definedName name="origam">#REF!</definedName>
    <definedName name="other_closing_costs">#REF!</definedName>
    <definedName name="other_disp_expenses">#REF!</definedName>
    <definedName name="OtherIncomeLabel1">#REF!</definedName>
    <definedName name="OtherIncomeLabel2">#REF!</definedName>
    <definedName name="OtherIncomeLabel3">#REF!</definedName>
    <definedName name="override">#REF!</definedName>
    <definedName name="p1tsf">#REF!</definedName>
    <definedName name="p2tsf">#REF!</definedName>
    <definedName name="Page_1">#REF!</definedName>
    <definedName name="Page_2">#REF!</definedName>
    <definedName name="Page_3">#REF!</definedName>
    <definedName name="Page_4">#REF!</definedName>
    <definedName name="PAGE1">#REF!</definedName>
    <definedName name="PAGE2">#REF!</definedName>
    <definedName name="PAGE3">#REF!</definedName>
    <definedName name="pandlcash">#REF!</definedName>
    <definedName name="parkavecopy" hidden="1">{"View1",#N/A,FALSE,"Sheet1";"View2",#N/A,FALSE,"Sheet1"}</definedName>
    <definedName name="parkcopy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parkjvcopy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parktest" hidden="1">{"View1",#N/A,FALSE,"Sheet1";"View2",#N/A,FALSE,"Sheet1"}</definedName>
    <definedName name="parktestave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Partner">#REF!</definedName>
    <definedName name="paul">#REF!</definedName>
    <definedName name="Pay_Num">#REF!</definedName>
    <definedName name="Payment_Date">#N/A</definedName>
    <definedName name="Payment_Number" localSheetId="7">ROW()-Header_Row</definedName>
    <definedName name="Payment_Number">ROW()-Header_Row</definedName>
    <definedName name="pb_points_in">#REF!</definedName>
    <definedName name="pb_points_out">#REF!</definedName>
    <definedName name="Pcirc">#REF!</definedName>
    <definedName name="peprint">#REF!</definedName>
    <definedName name="Period0">#REF!</definedName>
    <definedName name="Period1">#REF!</definedName>
    <definedName name="Period2">#REF!</definedName>
    <definedName name="period3">#REF!</definedName>
    <definedName name="period4">#REF!</definedName>
    <definedName name="period5">#REF!</definedName>
    <definedName name="period6">#REF!</definedName>
    <definedName name="PerLabel">#REF!</definedName>
    <definedName name="PERMLOAN">#REF!</definedName>
    <definedName name="phila">#REF!</definedName>
    <definedName name="Physical_Inspection">#REF!</definedName>
    <definedName name="PI_Asset_Contacts.rdwr">#REF!,#REF!</definedName>
    <definedName name="PI_Asset_Contacts.wrte">#REF!,#REF!</definedName>
    <definedName name="PI_Carlyle_Contacts.rdwr">#REF!,#REF!</definedName>
    <definedName name="PI_Carlyle_Contacts.wrte">#REF!,#REF!</definedName>
    <definedName name="PI_General_Property.rdwr">#REF!,#REF!</definedName>
    <definedName name="PI_Lender_Contacts.rdwr">#REF!,#REF!</definedName>
    <definedName name="PI_Lender_Contacts.wrte">#REF!,#REF!</definedName>
    <definedName name="pii" hidden="1">#REF!</definedName>
    <definedName name="pio" hidden="1">#REF!</definedName>
    <definedName name="PIP">#REF!</definedName>
    <definedName name="piprint">#REF!</definedName>
    <definedName name="pizza">#REF!</definedName>
    <definedName name="pizza1">#REF!</definedName>
    <definedName name="PJDOWN">#REF!</definedName>
    <definedName name="pl" hidden="1">#REF!</definedName>
    <definedName name="Plaza_I___Total_sq.ft.">#REF!</definedName>
    <definedName name="Plaza_II___Total_sq.ft.">#REF!</definedName>
    <definedName name="please" localSheetId="7" hidden="1">{"Assumptions",#N/A,TRUE,"Returns";"Tables",#N/A,TRUE,"Returns"}</definedName>
    <definedName name="please" hidden="1">{"Assumptions",#N/A,TRUE,"Returns";"Tables",#N/A,TRUE,"Returns"}</definedName>
    <definedName name="plsum">#REF!</definedName>
    <definedName name="pname">#REF!</definedName>
    <definedName name="po">#REF!</definedName>
    <definedName name="pou" hidden="1">#REF!</definedName>
    <definedName name="PP">#REF!</definedName>
    <definedName name="pprice">#REF!</definedName>
    <definedName name="PreTaxCurrent">#REF!</definedName>
    <definedName name="PreTaxIRR10">#REF!</definedName>
    <definedName name="PreTaxIRR5">#REF!</definedName>
    <definedName name="PREVIOUS">#REF!</definedName>
    <definedName name="PreviousPeriodEndDate">#REF!</definedName>
    <definedName name="PRICE">#REF!</definedName>
    <definedName name="Price1">#REF!</definedName>
    <definedName name="Price2">#REF!</definedName>
    <definedName name="Prices">#REF!</definedName>
    <definedName name="primary_measurements">#REF!</definedName>
    <definedName name="Princeton">#REF!</definedName>
    <definedName name="Principal">#N/A</definedName>
    <definedName name="principal_balance">#REF!</definedName>
    <definedName name="PRINT">#REF!,#REF!,#REF!</definedName>
    <definedName name="_xlnm.Print_Area">#REF!</definedName>
    <definedName name="Print_Area_MI">#REF!</definedName>
    <definedName name="Print_Area_Reset" localSheetId="7">OFFSET(Full_Print,0,0,Questions!Last_Row)</definedName>
    <definedName name="Print_Area_Reset">OFFSET(Full_Print,0,0,[0]!Last_Row)</definedName>
    <definedName name="Print_Area2">#REF!</definedName>
    <definedName name="Print_Macro">#REF!</definedName>
    <definedName name="PRINT_REPORT">#REF!</definedName>
    <definedName name="_xlnm.Print_Titles">#REF!,#REF!</definedName>
    <definedName name="Print1">#REF!</definedName>
    <definedName name="PrintCF">#N/A</definedName>
    <definedName name="PrintSheet">#N/A</definedName>
    <definedName name="PrintStatus">#REF!</definedName>
    <definedName name="PrintValAll">#N/A</definedName>
    <definedName name="problem" hidden="1">{"View1",#N/A,FALSE,"Sheet1";"View2",#N/A,FALSE,"Sheet1"}</definedName>
    <definedName name="Profit" hidden="1">#REF!</definedName>
    <definedName name="PROFIT1">#REF!</definedName>
    <definedName name="Proforma">#REF!</definedName>
    <definedName name="ProformaLookup">#REF!</definedName>
    <definedName name="Proj_Ex">#REF!</definedName>
    <definedName name="Project">#REF!</definedName>
    <definedName name="project_budget">#REF!</definedName>
    <definedName name="projections_start_date">#REF!</definedName>
    <definedName name="ProjectName" localSheetId="7">{"Client Name or Project Name"}</definedName>
    <definedName name="ProjectName">{"Client Name or Project Name"}</definedName>
    <definedName name="ProjYear10SP">#REF!</definedName>
    <definedName name="ProjYear11SP">#REF!</definedName>
    <definedName name="ProjYear1SP">#REF!</definedName>
    <definedName name="ProjYear2SP">#REF!</definedName>
    <definedName name="ProjYear3SP">#REF!</definedName>
    <definedName name="ProjYear4SP">#REF!</definedName>
    <definedName name="ProjYear5SP">#REF!</definedName>
    <definedName name="ProjYear6SP">#REF!</definedName>
    <definedName name="ProjYear7SP">#REF!</definedName>
    <definedName name="ProjYear8SP">#REF!</definedName>
    <definedName name="ProjYear9SP">#REF!</definedName>
    <definedName name="propCode">#REF!</definedName>
    <definedName name="Property_Name">#REF!</definedName>
    <definedName name="Property_Number">#REF!</definedName>
    <definedName name="PropertyName">#REF!</definedName>
    <definedName name="PropertyNum">#REF!</definedName>
    <definedName name="PropertyRange">#REF!</definedName>
    <definedName name="PropStat">#REF!</definedName>
    <definedName name="PropTypeId">#REF!</definedName>
    <definedName name="Prospect341">#REF!</definedName>
    <definedName name="psf">#REF!</definedName>
    <definedName name="PTaxRate">#REF!</definedName>
    <definedName name="purchase_price">#REF!</definedName>
    <definedName name="PurchasePrice">#REF!</definedName>
    <definedName name="Purdue">#REF!</definedName>
    <definedName name="Purpose">#REF!</definedName>
    <definedName name="Q.4">#REF!</definedName>
    <definedName name="Q.5">#REF!</definedName>
    <definedName name="Q.6">#REF!</definedName>
    <definedName name="Q.7">#REF!</definedName>
    <definedName name="Q.8">#REF!</definedName>
    <definedName name="Q.9">#REF!</definedName>
    <definedName name="QTRLYCF">#REF!</definedName>
    <definedName name="QUARTERLY_CF">#REF!</definedName>
    <definedName name="Rackfell2047">#REF!</definedName>
    <definedName name="Rackfell2054">#REF!</definedName>
    <definedName name="Rackfell2064">#REF!</definedName>
    <definedName name="raj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rak" hidden="1">{#N/A,#N/A,FALSE,"BALLY COSTS";#N/A,#N/A,FALSE,"FF&amp;E";#N/A,#N/A,FALSE,"FEES";#N/A,#N/A,FALSE,"CONTINGENCY";#N/A,#N/A,FALSE,"SOFT COSTS";#N/A,#N/A,FALSE,"DETAIL";#N/A,#N/A,FALSE,"sum12-3"}</definedName>
    <definedName name="range">#REF!</definedName>
    <definedName name="range1">#REF!</definedName>
    <definedName name="range2">#REF!</definedName>
    <definedName name="range3">#REF!</definedName>
    <definedName name="range4">#REF!</definedName>
    <definedName name="range5">#REF!</definedName>
    <definedName name="rate">#REF!</definedName>
    <definedName name="re" hidden="1">#REF!</definedName>
    <definedName name="re_table">#REF!</definedName>
    <definedName name="rebuy_sale_date">#REF!</definedName>
    <definedName name="rebuy_terminal_cap_rate">#REF!</definedName>
    <definedName name="_xlnm.Recorder">#REF!</definedName>
    <definedName name="recov">#REF!</definedName>
    <definedName name="Ref">#REF!</definedName>
    <definedName name="refi">#REF!</definedName>
    <definedName name="refi_cap_rate">#REF!</definedName>
    <definedName name="refi_date">#REF!</definedName>
    <definedName name="refi_fee">#REF!</definedName>
    <definedName name="refi_interest_rate">#REF!</definedName>
    <definedName name="refi_loan_amount">#REF!</definedName>
    <definedName name="refi_ltv">#REF!</definedName>
    <definedName name="Refinance">#REF!</definedName>
    <definedName name="Regent">#REF!</definedName>
    <definedName name="Rehab">#REF!</definedName>
    <definedName name="ReleaseCalcAsOfDate">#REF!</definedName>
    <definedName name="ReleasedNOIBudget">#REF!</definedName>
    <definedName name="ReleasedNOITTM">#REF!</definedName>
    <definedName name="ReleasedNOIYear1">#REF!</definedName>
    <definedName name="ReleasedNOIYear2">#REF!</definedName>
    <definedName name="ReleasedNOIYear3">#REF!</definedName>
    <definedName name="ReleasedNOIYear4">#REF!</definedName>
    <definedName name="ReleasedNOIYear5">#REF!</definedName>
    <definedName name="remaining_amortization">#REF!</definedName>
    <definedName name="remeasure">#REF!</definedName>
    <definedName name="Renovations">#REF!</definedName>
    <definedName name="Rent_Roll_Lookup">#REF!</definedName>
    <definedName name="RENT601" hidden="1">#REF!</definedName>
    <definedName name="rentA">#REF!</definedName>
    <definedName name="rentals">#REF!</definedName>
    <definedName name="rentC">#REF!</definedName>
    <definedName name="rentD">#REF!</definedName>
    <definedName name="rentE">#REF!</definedName>
    <definedName name="RentRollGPR">#REF!</definedName>
    <definedName name="report" localSheetId="7" hidden="1">{#N/A,#N/A,FALSE,"Summary";#N/A,#N/A,FALSE,"Assumptions";#N/A,#N/A,FALSE,"Cash Flow";#N/A,#N/A,FALSE,"Residual Calculation";#N/A,#N/A,FALSE,"Pricing Matrix";#N/A,#N/A,FALSE,"Pricing Matrix II";#N/A,#N/A,FALSE,"Expiration Schedule"}</definedName>
    <definedName name="report" hidden="1">{#N/A,#N/A,FALSE,"Summary";#N/A,#N/A,FALSE,"Assumptions";#N/A,#N/A,FALSE,"Cash Flow";#N/A,#N/A,FALSE,"Residual Calculation";#N/A,#N/A,FALSE,"Pricing Matrix";#N/A,#N/A,FALSE,"Pricing Matrix II";#N/A,#N/A,FALSE,"Expiration Schedule"}</definedName>
    <definedName name="Report_Date">#REF!</definedName>
    <definedName name="report1" localSheetId="7" hidden="1">{#N/A,#N/A,FALSE,"Summary";#N/A,#N/A,FALSE,"Assumptions";#N/A,#N/A,FALSE,"Cash Flow";#N/A,#N/A,FALSE,"Residual Calculation";#N/A,#N/A,FALSE,"Pricing Matrix";#N/A,#N/A,FALSE,"Pricing Matrix II";#N/A,#N/A,FALSE,"Expiration Schedule"}</definedName>
    <definedName name="report1" hidden="1">{#N/A,#N/A,FALSE,"Summary";#N/A,#N/A,FALSE,"Assumptions";#N/A,#N/A,FALSE,"Cash Flow";#N/A,#N/A,FALSE,"Residual Calculation";#N/A,#N/A,FALSE,"Pricing Matrix";#N/A,#N/A,FALSE,"Pricing Matrix II";#N/A,#N/A,FALSE,"Expiration Schedule"}</definedName>
    <definedName name="report5" localSheetId="7" hidden="1">{#N/A,#N/A,FALSE,"Summary";#N/A,#N/A,FALSE,"Assumptions";#N/A,#N/A,FALSE,"Cash Flow";#N/A,#N/A,FALSE,"Residual Calculation";#N/A,#N/A,FALSE,"Pricing Matrix";#N/A,#N/A,FALSE,"Pricing Matrix II";#N/A,#N/A,FALSE,"Expiration Schedule"}</definedName>
    <definedName name="report5" hidden="1">{#N/A,#N/A,FALSE,"Summary";#N/A,#N/A,FALSE,"Assumptions";#N/A,#N/A,FALSE,"Cash Flow";#N/A,#N/A,FALSE,"Residual Calculation";#N/A,#N/A,FALSE,"Pricing Matrix";#N/A,#N/A,FALSE,"Pricing Matrix II";#N/A,#N/A,FALSE,"Expiration Schedule"}</definedName>
    <definedName name="reports">#REF!</definedName>
    <definedName name="Reserve1">#REF!</definedName>
    <definedName name="Reserve2">#REF!</definedName>
    <definedName name="Reserve3">#REF!</definedName>
    <definedName name="Reserve4">#REF!</definedName>
    <definedName name="Reserve5">#REF!</definedName>
    <definedName name="Residential_Expense_Growth_Rate">#REF!</definedName>
    <definedName name="Residential_Rent_Growth_Rate">#REF!</definedName>
    <definedName name="restricted_cash_balance">#REF!</definedName>
    <definedName name="restricted_cash_balance_date">#REF!</definedName>
    <definedName name="restricted_distribution_1">#REF!</definedName>
    <definedName name="restricted_distribution_2">#REF!</definedName>
    <definedName name="restricted_distribution_3">#REF!</definedName>
    <definedName name="restricted_distribution_4">#REF!</definedName>
    <definedName name="restricted_distribution_date_1">#REF!</definedName>
    <definedName name="restricted_distribution_date_2">#REF!</definedName>
    <definedName name="retailexit">#REF!</definedName>
    <definedName name="RetainageRow">MATCH("Retainage",#REF!,0)+1</definedName>
    <definedName name="RETAX500">#REF!</definedName>
    <definedName name="RETAX512">#REF!</definedName>
    <definedName name="RetPref">#REF!</definedName>
    <definedName name="RevenueGrowth">#REF!</definedName>
    <definedName name="REVENUES">#REF!</definedName>
    <definedName name="reversion">#REF!</definedName>
    <definedName name="rez" hidden="1">{#N/A,#N/A,FALSE,"Sheet39";#N/A,#N/A,FALSE,"Sheet40";#N/A,#N/A,FALSE,"Sheet38";#N/A,#N/A,FALSE,"Sheet37";#N/A,#N/A,FALSE,"Sheet31";#N/A,#N/A,FALSE,"Sheet36";#N/A,#N/A,FALSE,"Sheet35";#N/A,#N/A,FALSE,"Sheet34";#N/A,#N/A,FALSE,"Sheet33";#N/A,#N/A,FALSE,"Sheet32";#N/A,#N/A,FALSE,"Sheet31";#N/A,#N/A,FALSE,"Sheet29";#N/A,#N/A,FALSE,"Sheet30";#N/A,#N/A,FALSE,"Sheet28";#N/A,#N/A,FALSE,"Sheet27";#N/A,#N/A,FALSE,"Sheet26";#N/A,#N/A,FALSE,"Sheet25";#N/A,#N/A,FALSE,"Sheet20";#N/A,#N/A,FALSE,"Sheet19";#N/A,#N/A,FALSE,"Sheet18";#N/A,#N/A,FALSE,"Sheet17";#N/A,#N/A,FALSE,"Sheet16";#N/A,#N/A,FALSE,"Sheet15";#N/A,#N/A,FALSE,"Sheet14";#N/A,#N/A,FALSE,"Sheet13";#N/A,#N/A,FALSE,"Sheet12";#N/A,#N/A,FALSE,"Sheet11";#N/A,#N/A,FALSE,"Sheet8";#N/A,#N/A,FALSE,"Sheet7";#N/A,#N/A,FALSE,"Sheet6";#N/A,#N/A,FALSE,"Sheet5";#N/A,#N/A,FALSE,"Sheet4";#N/A,#N/A,FALSE,"Sheet3";#N/A,#N/A,FALSE,"Sheet2";#N/A,#N/A,FALSE,"Sheet1"}</definedName>
    <definedName name="reza" hidden="1">{#N/A,#N/A,FALSE,"BALLY COSTS";#N/A,#N/A,FALSE,"FF&amp;E";#N/A,#N/A,FALSE,"FEES";#N/A,#N/A,FALSE,"CONTINGENCY";#N/A,#N/A,FALSE,"SOFT COSTS";#N/A,#N/A,FALSE,"DETAIL";#N/A,#N/A,FALSE,"sum12-3"}</definedName>
    <definedName name="rezab" hidden="1">{#N/A,#N/A,FALSE,"NY,NY - BUILD UP";#N/A,#N/A,FALSE,"SPCE -CAS LEV";#N/A,#N/A,FALSE,"SPCE -COST LL";#N/A,#N/A,FALSE,"CHANGES CMSC";#N/A,#N/A,FALSE,"FF&amp; E ANALYSIS";#N/A,#N/A,FALSE,"ADD. SOFT COSTS - 3RD PRTY";#N/A,#N/A,FALSE,"NYNY COMP";#N/A,#N/A,FALSE,"BUDGET 11-17";#N/A,#N/A,FALSE,"CONTINGENCY";#N/A,#N/A,FALSE,"ESCALATE";#N/A,#N/A,FALSE,"adj 9-15 to 11-17";#N/A,#N/A,FALSE,"D&amp;CM 11-17";#N/A,#N/A,FALSE,"INTEREST"}</definedName>
    <definedName name="riprint">#REF!</definedName>
    <definedName name="Riveria">#REF!</definedName>
    <definedName name="ROLL">#REF!</definedName>
    <definedName name="roll_table">#REF!</definedName>
    <definedName name="Roman_Pulansky">#N/A</definedName>
    <definedName name="RoomRate">#REF!</definedName>
    <definedName name="Rooms">#REF!</definedName>
    <definedName name="ROOMVALUE">#REF!</definedName>
    <definedName name="RPA" localSheetId="7" hidden="1">{#N/A,#N/A,FALSE,"Cashflow Analysis";#N/A,#N/A,FALSE,"Sensitivity Analysis";#N/A,#N/A,FALSE,"PV";#N/A,#N/A,FALSE,"Pro Forma"}</definedName>
    <definedName name="RPA" hidden="1">{#N/A,#N/A,FALSE,"Cashflow Analysis";#N/A,#N/A,FALSE,"Sensitivity Analysis";#N/A,#N/A,FALSE,"PV";#N/A,#N/A,FALSE,"Pro Forma"}</definedName>
    <definedName name="RPA.2" localSheetId="7" hidden="1">{#N/A,#N/A,FALSE,"Cashflow Analysis";#N/A,#N/A,FALSE,"Sensitivity Analysis";#N/A,#N/A,FALSE,"PV";#N/A,#N/A,FALSE,"Pro Forma"}</definedName>
    <definedName name="RPA.2" hidden="1">{#N/A,#N/A,FALSE,"Cashflow Analysis";#N/A,#N/A,FALSE,"Sensitivity Analysis";#N/A,#N/A,FALSE,"PV";#N/A,#N/A,FALSE,"Pro Forma"}</definedName>
    <definedName name="rrrr">#REF!</definedName>
    <definedName name="RV_Next_Buyer_Purchase_Assumptions.read">#REF!,#REF!</definedName>
    <definedName name="RV_Reversion_Detail.read">#REF!,#REF!</definedName>
    <definedName name="Rwvu.Sommaire." hidden="1">#REF!,#REF!,#REF!,#REF!,#REF!</definedName>
    <definedName name="saa" localSheetId="7" hidden="1">{"rtn",#N/A,FALSE,"RTN";"tables",#N/A,FALSE,"RTN";"cf",#N/A,FALSE,"CF";"stats",#N/A,FALSE,"Stats";"prop",#N/A,FALSE,"Prop"}</definedName>
    <definedName name="saa" hidden="1">{"rtn",#N/A,FALSE,"RTN";"tables",#N/A,FALSE,"RTN";"cf",#N/A,FALSE,"CF";"stats",#N/A,FALSE,"Stats";"prop",#N/A,FALSE,"Prop"}</definedName>
    <definedName name="SALE">#REF!</definedName>
    <definedName name="Sales">#REF!</definedName>
    <definedName name="Sales_Commission">#REF!</definedName>
    <definedName name="Sales_Proceeds">#REF!</definedName>
    <definedName name="SalesCompTable">#REF!</definedName>
    <definedName name="SALETIT">#REF!</definedName>
    <definedName name="SALETIT2">#REF!</definedName>
    <definedName name="sas" localSheetId="7" hidden="1">{"Outflow 1",#N/A,FALSE,"Outflows-Inflows";"Outflow 2",#N/A,FALSE,"Outflows-Inflows";"Inflow 1",#N/A,FALSE,"Outflows-Inflows";"Inflow 2",#N/A,FALSE,"Outflows-Inflows"}</definedName>
    <definedName name="sas" hidden="1">{"Outflow 1",#N/A,FALSE,"Outflows-Inflows";"Outflow 2",#N/A,FALSE,"Outflows-Inflows";"Inflow 1",#N/A,FALSE,"Outflows-Inflows";"Inflow 2",#N/A,FALSE,"Outflows-Inflows"}</definedName>
    <definedName name="Scenario">#REF!</definedName>
    <definedName name="Schedule_360">#REF!</definedName>
    <definedName name="ScheduleTimeStamp">#REF!</definedName>
    <definedName name="ScheduleValueDate">#REF!</definedName>
    <definedName name="scott">#REF!</definedName>
    <definedName name="sdf" hidden="1">{#N/A,#N/A,FALSE,"BALLY COSTS";#N/A,#N/A,FALSE,"FF&amp;E";#N/A,#N/A,FALSE,"FEES";#N/A,#N/A,FALSE,"CONTINGENCY";#N/A,#N/A,FALSE,"SOFT COSTS";#N/A,#N/A,FALSE,"DETAIL";#N/A,#N/A,FALSE,"sum12-3"}</definedName>
    <definedName name="sdfass" localSheetId="7" hidden="1">{"Outflow 1",#N/A,FALSE,"Outflows-Inflows";"Outflow 2",#N/A,FALSE,"Outflows-Inflows";"Inflow 1",#N/A,FALSE,"Outflows-Inflows";"Inflow 2",#N/A,FALSE,"Outflows-Inflows"}</definedName>
    <definedName name="sdfass" hidden="1">{"Outflow 1",#N/A,FALSE,"Outflows-Inflows";"Outflow 2",#N/A,FALSE,"Outflows-Inflows";"Inflow 1",#N/A,FALSE,"Outflows-Inflows";"Inflow 2",#N/A,FALSE,"Outflows-Inflows"}</definedName>
    <definedName name="Season">#REF!</definedName>
    <definedName name="SecondPart">#REF!</definedName>
    <definedName name="segment">#REF!</definedName>
    <definedName name="SelectProjectBaseAndLegalRent_Work">#REF!</definedName>
    <definedName name="SellerFinAmort">#REF!</definedName>
    <definedName name="SellerFinRate">#REF!</definedName>
    <definedName name="sencount" hidden="1">2</definedName>
    <definedName name="SENIORRDEBTSER">#REF!</definedName>
    <definedName name="seriesb">#REF!</definedName>
    <definedName name="Servicer">#REF!</definedName>
    <definedName name="SETUP">#REF!</definedName>
    <definedName name="sf">#REF!</definedName>
    <definedName name="sfA">#REF!</definedName>
    <definedName name="sfC">#REF!</definedName>
    <definedName name="sfD">#REF!</definedName>
    <definedName name="sfE">#REF!</definedName>
    <definedName name="sfF">#REF!</definedName>
    <definedName name="ShtYrCF">#REF!</definedName>
    <definedName name="SideCalcMgmtFee">#REF!</definedName>
    <definedName name="Slayer">#N/A</definedName>
    <definedName name="solver_cvg" hidden="1">0.001</definedName>
    <definedName name="solver_drv" hidden="1">1</definedName>
    <definedName name="solver_est" hidden="1">1</definedName>
    <definedName name="solver_itr" hidden="1">100</definedName>
    <definedName name="solver_lin" hidden="1">2</definedName>
    <definedName name="solver_neg" hidden="1">2</definedName>
    <definedName name="solver_num" hidden="1">0</definedName>
    <definedName name="solver_nwt" hidden="1">1</definedName>
    <definedName name="solver_opt" hidden="1">#REF!</definedName>
    <definedName name="solver_pre" hidden="1">0.000001</definedName>
    <definedName name="solver_scl" hidden="1">2</definedName>
    <definedName name="solver_sho" hidden="1">2</definedName>
    <definedName name="solver_tim" hidden="1">100</definedName>
    <definedName name="solver_tol" hidden="1">0.05</definedName>
    <definedName name="solver_typ" hidden="1">1</definedName>
    <definedName name="solver_val" hidden="1">0</definedName>
    <definedName name="source">#REF!</definedName>
    <definedName name="spaces">#REF!</definedName>
    <definedName name="Split4">#REF!</definedName>
    <definedName name="SPM" localSheetId="7" hidden="1">{#N/A,#N/A,FALSE,"Cashflow Analysis";#N/A,#N/A,FALSE,"Sensitivity Analysis";#N/A,#N/A,FALSE,"PV";#N/A,#N/A,FALSE,"Pro Forma"}</definedName>
    <definedName name="SPM" hidden="1">{#N/A,#N/A,FALSE,"Cashflow Analysis";#N/A,#N/A,FALSE,"Sensitivity Analysis";#N/A,#N/A,FALSE,"PV";#N/A,#N/A,FALSE,"Pro Forma"}</definedName>
    <definedName name="SPM.2" localSheetId="7" hidden="1">{#N/A,#N/A,FALSE,"Cashflow Analysis";#N/A,#N/A,FALSE,"Sensitivity Analysis";#N/A,#N/A,FALSE,"PV";#N/A,#N/A,FALSE,"Pro Forma"}</definedName>
    <definedName name="SPM.2" hidden="1">{#N/A,#N/A,FALSE,"Cashflow Analysis";#N/A,#N/A,FALSE,"Sensitivity Analysis";#N/A,#N/A,FALSE,"PV";#N/A,#N/A,FALSE,"Pro Forma"}</definedName>
    <definedName name="spread">#REF!</definedName>
    <definedName name="SPWS_WBID">"2E7FB92D-57DB-4226-A130-A9AF39366024"</definedName>
    <definedName name="sqft">#REF!</definedName>
    <definedName name="Square_Footage">#REF!</definedName>
    <definedName name="ss" hidden="1">{#N/A,#N/A,FALSE,"Summary";#N/A,#N/A,FALSE,"Project Summary";#N/A,#N/A,FALSE,"Development Cost Summary";#N/A,#N/A,FALSE,"Development Cost Allocation";#N/A,#N/A,FALSE,"Pad Fees";#N/A,#N/A,FALSE,"Costs";#N/A,#N/A,FALSE,"Parking Budget";#N/A,#N/A,FALSE,"Retail Development Budget";#N/A,#N/A,FALSE,"Office Development Budget";#N/A,#N/A,FALSE,"Hotel Development Budget"}</definedName>
    <definedName name="Stabilized_Cap_at_5_percent">#REF!</definedName>
    <definedName name="StabOccupancy">#REF!</definedName>
    <definedName name="start">#REF!</definedName>
    <definedName name="stub_date">#REF!</definedName>
    <definedName name="SU_Cash_Reconcilation.read">#REF!,#REF!</definedName>
    <definedName name="SU_PageHeader.hdr">#REF!,#REF!</definedName>
    <definedName name="SU_PageHeader_1.hdr">#REF!,#REF!</definedName>
    <definedName name="SU_Sources.read">#REF!,#REF!</definedName>
    <definedName name="SU_Uses.read">#REF!,#REF!</definedName>
    <definedName name="SU_Working_Capital_Analysis.read">#REF!,#REF!</definedName>
    <definedName name="SubjectProperty">#REF!</definedName>
    <definedName name="SubjectRooms">#REF!</definedName>
    <definedName name="SUCKER">#REF!</definedName>
    <definedName name="sue">#REF!</definedName>
    <definedName name="Suf">#REF!</definedName>
    <definedName name="SUMMARY">#REF!</definedName>
    <definedName name="SUMTIT">#REF!</definedName>
    <definedName name="susan">#REF!</definedName>
    <definedName name="Swvu.Sommaire." hidden="1">#REF!,#REF!,#REF!,#REF!,#REF!,#REF!</definedName>
    <definedName name="Syracuse">#REF!</definedName>
    <definedName name="Table1">#REF!</definedName>
    <definedName name="TDprint">#REF!</definedName>
    <definedName name="Ted_Bundy">#N/A</definedName>
    <definedName name="TenantType">#REF!</definedName>
    <definedName name="Term">#REF!</definedName>
    <definedName name="test" localSheetId="7" hidden="1">{"Outflow 1",#N/A,FALSE,"Outflows-Inflows";"Outflow 2",#N/A,FALSE,"Outflows-Inflows";"Inflow 1",#N/A,FALSE,"Outflows-Inflows";"Inflow 2",#N/A,FALSE,"Outflows-Inflows"}</definedName>
    <definedName name="test" hidden="1">{"Outflow 1",#N/A,FALSE,"Outflows-Inflows";"Outflow 2",#N/A,FALSE,"Outflows-Inflows";"Inflow 1",#N/A,FALSE,"Outflows-Inflows";"Inflow 2",#N/A,FALSE,"Outflows-Inflows"}</definedName>
    <definedName name="test100" hidden="1">{"View1",#N/A,FALSE,"Sheet1";"View2",#N/A,FALSE,"Sheet1"}</definedName>
    <definedName name="test2" hidden="1">{"View1",#N/A,FALSE,"Sheet1";"View2",#N/A,FALSE,"Sheet1"}</definedName>
    <definedName name="testcopy3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Testing">#REF!</definedName>
    <definedName name="testing2" hidden="1">{"View1",#N/A,FALSE,"Sheet1";"View2",#N/A,FALSE,"Sheet1"}</definedName>
    <definedName name="testparkave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them">#REF!</definedName>
    <definedName name="TI">#REF!</definedName>
    <definedName name="Ticker">""</definedName>
    <definedName name="tiers">#REF!</definedName>
    <definedName name="TLA.004" hidden="1">#REF!</definedName>
    <definedName name="TODAY">#REF!</definedName>
    <definedName name="TopTenant">#REF!</definedName>
    <definedName name="TOTAL_DRAW">#REF!</definedName>
    <definedName name="Total_GSF">#REF!</definedName>
    <definedName name="Total_Payment" localSheetId="7">Scheduled_Payment+Extra_Payment</definedName>
    <definedName name="Total_Payment">Scheduled_Payment+Extra_Payment</definedName>
    <definedName name="TOTAL_REVENUES">#REF!</definedName>
    <definedName name="total_units">#REF!</definedName>
    <definedName name="TotalAcqAmt">#REF!</definedName>
    <definedName name="TotalGLA">#REF!</definedName>
    <definedName name="TotalHardCosts" hidden="1">#REF!</definedName>
    <definedName name="TotalProjectOHLot" hidden="1">#REF!</definedName>
    <definedName name="Totalsales">#REF!</definedName>
    <definedName name="TotalSalesPrice" hidden="1">#REF!</definedName>
    <definedName name="TotalValue">#REF!</definedName>
    <definedName name="townhomes">#REF!</definedName>
    <definedName name="transaction">#REF!</definedName>
    <definedName name="trial" localSheetId="7" hidden="1">{"Outflow 1",#N/A,FALSE,"Outflows-Inflows";"Outflow 2",#N/A,FALSE,"Outflows-Inflows";"Inflow 1",#N/A,FALSE,"Outflows-Inflows";"Inflow 2",#N/A,FALSE,"Outflows-Inflows"}</definedName>
    <definedName name="trial" hidden="1">{"Outflow 1",#N/A,FALSE,"Outflows-Inflows";"Outflow 2",#N/A,FALSE,"Outflows-Inflows";"Inflow 1",#N/A,FALSE,"Outflows-Inflows";"Inflow 2",#N/A,FALSE,"Outflows-Inflows"}</definedName>
    <definedName name="tsf">#REF!</definedName>
    <definedName name="TTMLabelRef">#REF!</definedName>
    <definedName name="ttt" localSheetId="7" hidden="1">{"Outflow 1",#N/A,FALSE,"Outflows-Inflows";"Outflow 2",#N/A,FALSE,"Outflows-Inflows";"Inflow 1",#N/A,FALSE,"Outflows-Inflows";"Inflow 2",#N/A,FALSE,"Outflows-Inflows"}</definedName>
    <definedName name="ttt" hidden="1">{"Outflow 1",#N/A,FALSE,"Outflows-Inflows";"Outflow 2",#N/A,FALSE,"Outflows-Inflows";"Inflow 1",#N/A,FALSE,"Outflows-Inflows";"Inflow 2",#N/A,FALSE,"Outflows-Inflows"}</definedName>
    <definedName name="TYPE">#REF!</definedName>
    <definedName name="Unit" localSheetId="7">Concrete Material</definedName>
    <definedName name="Unit">Concrete Material</definedName>
    <definedName name="Unit1" localSheetId="7">Concrete Material</definedName>
    <definedName name="Unit1">Concrete Material</definedName>
    <definedName name="Unit2" localSheetId="7">Concrete Material</definedName>
    <definedName name="Unit2">Concrete Material</definedName>
    <definedName name="Unitmix">#REF!</definedName>
    <definedName name="UnitNSF">#REF!</definedName>
    <definedName name="UnitNumber">#REF!</definedName>
    <definedName name="Units">#REF!</definedName>
    <definedName name="unlev1cf">#REF!</definedName>
    <definedName name="UnLev2CF">#REF!</definedName>
    <definedName name="Unleveraged10">#REF!</definedName>
    <definedName name="Unleveraged5">#REF!</definedName>
    <definedName name="UnLevHold1">#REF!</definedName>
    <definedName name="UnLevHold2">#REF!</definedName>
    <definedName name="unlevhold3">#REF!</definedName>
    <definedName name="UnLevHold4">#REF!</definedName>
    <definedName name="unrestricted_cash_balance">#REF!</definedName>
    <definedName name="unrestricted_cash_balance_date">#REF!</definedName>
    <definedName name="uses">#REF!</definedName>
    <definedName name="USTrate">#REF!</definedName>
    <definedName name="UW_External">#REF!</definedName>
    <definedName name="UW_Internal">#REF!</definedName>
    <definedName name="UW_TagIDs">#REF!</definedName>
    <definedName name="UWCurrentReportingPeriod">#REF!</definedName>
    <definedName name="UWPeriodEndDate">#REF!</definedName>
    <definedName name="UWPreviousReportingPeriod">#REF!</definedName>
    <definedName name="VAL">#REF!</definedName>
    <definedName name="Valid_Tenant_Status">#REF!</definedName>
    <definedName name="valuation">#REF!</definedName>
    <definedName name="ValuationCurrency">#REF!</definedName>
    <definedName name="Value" localSheetId="7" hidden="1">{#N/A,#N/A,FALSE,"Cashflow Analysis";#N/A,#N/A,FALSE,"Sensitivity Analysis";#N/A,#N/A,FALSE,"PV";#N/A,#N/A,FALSE,"Pro Forma"}</definedName>
    <definedName name="Value" hidden="1">{#N/A,#N/A,FALSE,"Cashflow Analysis";#N/A,#N/A,FALSE,"Sensitivity Analysis";#N/A,#N/A,FALSE,"PV";#N/A,#N/A,FALSE,"Pro Forma"}</definedName>
    <definedName name="Value.2" localSheetId="7" hidden="1">{#N/A,#N/A,FALSE,"Cashflow Analysis";#N/A,#N/A,FALSE,"Sensitivity Analysis";#N/A,#N/A,FALSE,"PV";#N/A,#N/A,FALSE,"Pro Forma"}</definedName>
    <definedName name="Value.2" hidden="1">{#N/A,#N/A,FALSE,"Cashflow Analysis";#N/A,#N/A,FALSE,"Sensitivity Analysis";#N/A,#N/A,FALSE,"PV";#N/A,#N/A,FALSE,"Pro Forma"}</definedName>
    <definedName name="value1" localSheetId="7" hidden="1">{#N/A,#N/A,FALSE,"Cashflow Analysis";#N/A,#N/A,FALSE,"Sensitivity Analysis";#N/A,#N/A,FALSE,"PV";#N/A,#N/A,FALSE,"Pro Forma"}</definedName>
    <definedName name="value1" hidden="1">{#N/A,#N/A,FALSE,"Cashflow Analysis";#N/A,#N/A,FALSE,"Sensitivity Analysis";#N/A,#N/A,FALSE,"PV";#N/A,#N/A,FALSE,"Pro Forma"}</definedName>
    <definedName name="value1.2" localSheetId="7" hidden="1">{#N/A,#N/A,FALSE,"Cashflow Analysis";#N/A,#N/A,FALSE,"Sensitivity Analysis";#N/A,#N/A,FALSE,"PV";#N/A,#N/A,FALSE,"Pro Forma"}</definedName>
    <definedName name="value1.2" hidden="1">{#N/A,#N/A,FALSE,"Cashflow Analysis";#N/A,#N/A,FALSE,"Sensitivity Analysis";#N/A,#N/A,FALSE,"PV";#N/A,#N/A,FALSE,"Pro Forma"}</definedName>
    <definedName name="ValuedSchedule">#REF!</definedName>
    <definedName name="Values_96">#REF!</definedName>
    <definedName name="Values_97">#REF!</definedName>
    <definedName name="Values_98">#REF!</definedName>
    <definedName name="Values_Entered">#N/A</definedName>
    <definedName name="Values_trailing">#REF!</definedName>
    <definedName name="VAR">#REF!</definedName>
    <definedName name="VARIABLES">#REF!</definedName>
    <definedName name="vc" hidden="1">#REF!</definedName>
    <definedName name="VentPerct">#REF!</definedName>
    <definedName name="Verizon_Accrl1">#REF!</definedName>
    <definedName name="Verizon_Accrl2">#REF!</definedName>
    <definedName name="Verizon_Income1">#REF!</definedName>
    <definedName name="Verizon_Income2">#REF!</definedName>
    <definedName name="VersionName">#REF!</definedName>
    <definedName name="viasat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VirginiaGardens">#REF!</definedName>
    <definedName name="vvvv" localSheetId="7" hidden="1">{#N/A,#N/A,FALSE,"Cashflow Analysis";#N/A,#N/A,FALSE,"Sensitivity Analysis";#N/A,#N/A,FALSE,"PV";#N/A,#N/A,FALSE,"Pro Forma"}</definedName>
    <definedName name="vvvv" hidden="1">{#N/A,#N/A,FALSE,"Cashflow Analysis";#N/A,#N/A,FALSE,"Sensitivity Analysis";#N/A,#N/A,FALSE,"PV";#N/A,#N/A,FALSE,"Pro Forma"}</definedName>
    <definedName name="VVVV.2" localSheetId="7" hidden="1">{#N/A,#N/A,FALSE,"Cashflow Analysis";#N/A,#N/A,FALSE,"Sensitivity Analysis";#N/A,#N/A,FALSE,"PV";#N/A,#N/A,FALSE,"Pro Forma"}</definedName>
    <definedName name="VVVV.2" hidden="1">{#N/A,#N/A,FALSE,"Cashflow Analysis";#N/A,#N/A,FALSE,"Sensitivity Analysis";#N/A,#N/A,FALSE,"PV";#N/A,#N/A,FALSE,"Pro Forma"}</definedName>
    <definedName name="WaterfallValuation">#REF!</definedName>
    <definedName name="WC">+#REF!+#REF!+#REF!</definedName>
    <definedName name="webHelp">#REF!</definedName>
    <definedName name="Westpoint">#REF!</definedName>
    <definedName name="WIRINC">#N/A</definedName>
    <definedName name="workcap">#REF!</definedName>
    <definedName name="working_capital">#REF!</definedName>
    <definedName name="wrn.10._.Year._.Analysis." hidden="1">{"Data Input",#N/A,TRUE,"Data Input";"10-Yr Cash Flow",#N/A,TRUE,"Cash Flow";"10-Yr Value",#N/A,TRUE,"Value "}</definedName>
    <definedName name="wrn.15._.Year._.Analysis." hidden="1">{"Data Input",#N/A,TRUE,"Data Input";"15-Yr Cash Flow",#N/A,TRUE,"Cash Flow";"15-Yr Value",#N/A,TRUE,"Value "}</definedName>
    <definedName name="wrn.1995._.Analysis." hidden="1">{#N/A,#N/A,FALSE,"1995 Rev &amp; Exp"}</definedName>
    <definedName name="wrn.20._.year._.alt" localSheetId="7" hidden="1">{"proj",#N/A,TRUE,"Proj";"landschflow 20",#N/A,TRUE,"LandCshFlw";"allcshflw 20",#N/A,TRUE,"AllCshFlw";"net unit 20",#N/A,TRUE,"NetUnit";"cum net 20",#N/A,TRUE,"CumNet";"net unit 20",#N/A,TRUE,"NetRes";"gross 20",#N/A,TRUE,"Gross";"infracost",#N/A,TRUE,"InfraCost";"bldg cost 20",#N/A,TRUE,"BldgCost";"parking 20",#N/A,TRUE,"Parking";"open sp 20",#N/A,TRUE,"OpenSp";"interim 20",#N/A,TRUE,"Interim";"landsale 20",#N/A,TRUE,"LandSale";"noi 20",#N/A,TRUE,"NOI";"bldg sale 20",#N/A,TRUE,"BldgSale";"aff hsg",#N/A,TRUE,"AffHsg";"taxinc 20",#N/A,TRUE,"TaxInc"}</definedName>
    <definedName name="wrn.20._.year._.alt" hidden="1">{"proj",#N/A,TRUE,"Proj";"landschflow 20",#N/A,TRUE,"LandCshFlw";"allcshflw 20",#N/A,TRUE,"AllCshFlw";"net unit 20",#N/A,TRUE,"NetUnit";"cum net 20",#N/A,TRUE,"CumNet";"net unit 20",#N/A,TRUE,"NetRes";"gross 20",#N/A,TRUE,"Gross";"infracost",#N/A,TRUE,"InfraCost";"bldg cost 20",#N/A,TRUE,"BldgCost";"parking 20",#N/A,TRUE,"Parking";"open sp 20",#N/A,TRUE,"OpenSp";"interim 20",#N/A,TRUE,"Interim";"landsale 20",#N/A,TRUE,"LandSale";"noi 20",#N/A,TRUE,"NOI";"bldg sale 20",#N/A,TRUE,"BldgSale";"aff hsg",#N/A,TRUE,"AffHsg";"taxinc 20",#N/A,TRUE,"TaxInc"}</definedName>
    <definedName name="wrn.20._.year._.full." localSheetId="7" hidden="1">{"proj",#N/A,TRUE,"Proj";"landschflow 20",#N/A,TRUE,"LandCshFlw";"allcshflw 20",#N/A,TRUE,"AllCshFlw";"net unit 20",#N/A,TRUE,"NetUnit";"cum net 20",#N/A,TRUE,"CumNet";"net unit 20",#N/A,TRUE,"NetRes";"gross 20",#N/A,TRUE,"Gross";"infracost",#N/A,TRUE,"InfraCost";"bldg cost 20",#N/A,TRUE,"BldgCost";"parking 20",#N/A,TRUE,"Parking";"open sp 20",#N/A,TRUE,"OpenSp";"interim 20",#N/A,TRUE,"Interim";"landsale 20",#N/A,TRUE,"LandSale";"noi 20",#N/A,TRUE,"NOI";"bldg sale 20",#N/A,TRUE,"BldgSale";"aff hsg",#N/A,TRUE,"AffHsg";"taxinc 20",#N/A,TRUE,"TaxInc"}</definedName>
    <definedName name="wrn.20._.year._.full." hidden="1">{"proj",#N/A,TRUE,"Proj";"landschflow 20",#N/A,TRUE,"LandCshFlw";"allcshflw 20",#N/A,TRUE,"AllCshFlw";"net unit 20",#N/A,TRUE,"NetUnit";"cum net 20",#N/A,TRUE,"CumNet";"net unit 20",#N/A,TRUE,"NetRes";"gross 20",#N/A,TRUE,"Gross";"infracost",#N/A,TRUE,"InfraCost";"bldg cost 20",#N/A,TRUE,"BldgCost";"parking 20",#N/A,TRUE,"Parking";"open sp 20",#N/A,TRUE,"OpenSp";"interim 20",#N/A,TRUE,"Interim";"landsale 20",#N/A,TRUE,"LandSale";"noi 20",#N/A,TRUE,"NOI";"bldg sale 20",#N/A,TRUE,"BldgSale";"aff hsg",#N/A,TRUE,"AffHsg";"taxinc 20",#N/A,TRUE,"TaxInc"}</definedName>
    <definedName name="wrn.ALL." hidden="1">{#N/A,#N/A,TRUE,"3-Gateway";#N/A,#N/A,TRUE,"4-ByrkitAve.Bus.Ctr.";#N/A,#N/A,TRUE,"5- 851 Marietta Assoc.";#N/A,#N/A,TRUE,"6-Fesslers";#N/A,#N/A,TRUE,"7- 3300 Sample";#N/A,#N/A,TRUE,"8-Blackthorn-Wells";#N/A,#N/A,TRUE,"9-BlackthornNimtz";#N/A,#N/A,TRUE,"10-Willow Trace II";#N/A,#N/A,TRUE,"11-Homeland";#N/A,#N/A,TRUE,"12-Dugdale";#N/A,#N/A,TRUE,"13-Park Center";#N/A,#N/A,TRUE,"14-Michiana";#N/A,#N/A,TRUE,"15-LTV (Niles)";#N/A,#N/A,TRUE,"16-Niles-Colfax";#N/A,#N/A,TRUE,"17-Colfax Place";#N/A,#N/A,TRUE,"18-Pru Office"}</definedName>
    <definedName name="wrn.All._.Consolidations." hidden="1">{#N/A,#N/A,FALSE,"Emmes Services";#N/A,#N/A,FALSE,"Emmes Capital";#N/A,#N/A,FALSE,"Emmes &amp; Co"}</definedName>
    <definedName name="wrn.All._.Schedules." localSheetId="7" hidden="1">{#N/A,#N/A,FALSE,"CF Consolidated 2";#N/A,#N/A,FALSE,"Retail Assump";#N/A,#N/A,FALSE,"CF Retail";#N/A,#N/A,FALSE,"Garage Assumpt 1";#N/A,#N/A,FALSE,"Garage Op Proj";#N/A,#N/A,FALSE,"Hist I&amp;E";#N/A,#N/A,FALSE,"Rent Roll";#N/A,#N/A,FALSE,"RE Taxes";#N/A,#N/A,FALSE,"CAM - BH";#N/A,#N/A,FALSE,"Comm.Condo CAM"}</definedName>
    <definedName name="wrn.All._.Schedules." hidden="1">{#N/A,#N/A,FALSE,"CF Consolidated 2";#N/A,#N/A,FALSE,"Retail Assump";#N/A,#N/A,FALSE,"CF Retail";#N/A,#N/A,FALSE,"Garage Assumpt 1";#N/A,#N/A,FALSE,"Garage Op Proj";#N/A,#N/A,FALSE,"Hist I&amp;E";#N/A,#N/A,FALSE,"Rent Roll";#N/A,#N/A,FALSE,"RE Taxes";#N/A,#N/A,FALSE,"CAM - BH";#N/A,#N/A,FALSE,"Comm.Condo CAM"}</definedName>
    <definedName name="wrn.AnnualRentRoll." localSheetId="7" hidden="1">{"AnnualRentRoll",#N/A,FALSE,"RentRoll"}</definedName>
    <definedName name="wrn.AnnualRentRoll." hidden="1">{"AnnualRentRoll",#N/A,FALSE,"RentRoll"}</definedName>
    <definedName name="wrn.appendix._.c." localSheetId="7" hidden="1">{"interim 20",#N/A,TRUE,"Interim";"landsale 20",#N/A,TRUE,"LandSale";"noi 20",#N/A,TRUE,"NOI";"bldg sale 20",#N/A,TRUE,"BldgSale";"aff hsg",#N/A,TRUE,"AffHsg"}</definedName>
    <definedName name="wrn.appendix._.c." hidden="1">{"interim 20",#N/A,TRUE,"Interim";"landsale 20",#N/A,TRUE,"LandSale";"noi 20",#N/A,TRUE,"NOI";"bldg sale 20",#N/A,TRUE,"BldgSale";"aff hsg",#N/A,TRUE,"AffHsg"}</definedName>
    <definedName name="wrn.Appraisal." hidden="1">{#N/A,#N/A,FALSE,"APPRAISAL";#N/A,#N/A,FALSE,"APPRAISAL 2";#N/A,#N/A,FALSE,"APPRAISAL 3"}</definedName>
    <definedName name="wrn.Appraisal._.2." hidden="1">{#N/A,#N/A,FALSE,"Appraisal 2"}</definedName>
    <definedName name="wrn.Appraisal._.3." hidden="1">{#N/A,#N/A,FALSE,"Appraisal 3"}</definedName>
    <definedName name="wrn.Asset._.Management." hidden="1">{#N/A,#N/A,FALSE,"ASSET MGMT."}</definedName>
    <definedName name="wrn.AVEX._.NCL._.Tower." hidden="1">{#N/A,#N/A,FALSE,"North Central Life";#N/A,#N/A,FALSE,"Town Square";#N/A,#N/A,FALSE,"Summary"}</definedName>
    <definedName name="wrn.Base._.Year._.Passthrough." hidden="1">{#N/A,#N/A,FALSE,"Summary";#N/A,#N/A,FALSE,"Letter";#N/A,#N/A,FALSE,"Billing";#N/A,#N/A,FALSE,"OpEx 95 recon";#N/A,#N/A,FALSE,"OpEx 96";#N/A,#N/A,FALSE,"RET 95 Recon";#N/A,#N/A,FALSE,"RET 96"}</definedName>
    <definedName name="wrn.BIGGER." localSheetId="7" hidden="1">{"PROFORMA",#N/A,FALSE,"A";"BIGGER 1",#N/A,FALSE,"B";"BIGGER 2",#N/A,FALSE,"B";"BIGGER 3",#N/A,FALSE,"B";"SMALL CF 1",#N/A,FALSE,"C"}</definedName>
    <definedName name="wrn.BIGGER." hidden="1">{"PROFORMA",#N/A,FALSE,"A";"BIGGER 1",#N/A,FALSE,"B";"BIGGER 2",#N/A,FALSE,"B";"BIGGER 3",#N/A,FALSE,"B";"SMALL CF 1",#N/A,FALSE,"C"}</definedName>
    <definedName name="wrn.BlackWhite." localSheetId="7" hidden="1">{#N/A,#N/A,FALSE,"NNN sum";#N/A,#N/A,FALSE,"10-yr Opt. A Sum";#N/A,#N/A,FALSE,"10-yr Opt A Other Costs";#N/A,#N/A,FALSE,"Purchase Sum";#N/A,#N/A,FALSE,"Purchase Other Costs"}</definedName>
    <definedName name="wrn.BlackWhite." hidden="1">{#N/A,#N/A,FALSE,"NNN sum";#N/A,#N/A,FALSE,"10-yr Opt. A Sum";#N/A,#N/A,FALSE,"10-yr Opt A Other Costs";#N/A,#N/A,FALSE,"Purchase Sum";#N/A,#N/A,FALSE,"Purchase Other Costs"}</definedName>
    <definedName name="wrn.BlackWhite5" localSheetId="7" hidden="1">{#N/A,#N/A,FALSE,"NNN sum";#N/A,#N/A,FALSE,"10-yr Opt. A Sum";#N/A,#N/A,FALSE,"10-yr Opt A Other Costs";#N/A,#N/A,FALSE,"Purchase Sum";#N/A,#N/A,FALSE,"Purchase Other Costs"}</definedName>
    <definedName name="wrn.BlackWhite5" hidden="1">{#N/A,#N/A,FALSE,"NNN sum";#N/A,#N/A,FALSE,"10-yr Opt. A Sum";#N/A,#N/A,FALSE,"10-yr Opt A Other Costs";#N/A,#N/A,FALSE,"Purchase Sum";#N/A,#N/A,FALSE,"Purchase Other Costs"}</definedName>
    <definedName name="wrn.bleu4." hidden="1">{#N/A,#N/A,FALSE}</definedName>
    <definedName name="wrn.Blue._.Book._.Sections." localSheetId="7" hidden="1">{#N/A,#N/A,TRUE,"Summary";#N/A,#N/A,TRUE,"Program Scheme";#N/A,#N/A,TRUE,"Assumptions";#N/A,#N/A,TRUE,"Development Budget &amp; Timing";#N/A,#N/A,TRUE,"Cash Flow";#N/A,#N/A,TRUE,"Cash Flow to Debt &amp; Equity"}</definedName>
    <definedName name="wrn.Blue._.Book._.Sections." hidden="1">{#N/A,#N/A,TRUE,"Summary";#N/A,#N/A,TRUE,"Program Scheme";#N/A,#N/A,TRUE,"Assumptions";#N/A,#N/A,TRUE,"Development Budget &amp; Timing";#N/A,#N/A,TRUE,"Cash Flow";#N/A,#N/A,TRUE,"Cash Flow to Debt &amp; Equity"}</definedName>
    <definedName name="wrn.book." hidden="1">{"page1",#N/A,FALSE,"net investor returns";"page2",#N/A,FALSE,"net investor returns"}</definedName>
    <definedName name="wrn.Both._.Outputs." hidden="1">{"LTV Output",#N/A,FALSE,"Output";"DCR Output",#N/A,FALSE,"Output"}</definedName>
    <definedName name="wrn.Budget." hidden="1">{"Spread Dollars",#N/A,FALSE,"Budget";"Spread Ratios",#N/A,FALSE,"Budget";"Target Comparison",#N/A,FALSE,"Summary"}</definedName>
    <definedName name="wrn.CAPREIT." hidden="1">{#N/A,#N/A,FALSE,"CAPREIT"}</definedName>
    <definedName name="wrn.CAPREIT2" hidden="1">{#N/A,#N/A,FALSE,"CAPREIT"}</definedName>
    <definedName name="wrn.Cash._.Flow._.Analysis." hidden="1">{"CF",#N/A,FALSE,"Cash Flow";"RET",#N/A,FALSE,"Returns";"NPV",#N/A,FALSE,"Values";"ASMPT",#N/A,FALSE,"Assumptions"}</definedName>
    <definedName name="wrn.Cash._.Flow._.and._.Matrix." localSheetId="7" hidden="1">{#N/A,#N/A,FALSE,"Matrix";#N/A,#N/A,FALSE,"Cash Flow";#N/A,#N/A,FALSE,"10 Year Cost Analysis"}</definedName>
    <definedName name="wrn.Cash._.Flow._.and._.Matrix." hidden="1">{#N/A,#N/A,FALSE,"Matrix";#N/A,#N/A,FALSE,"Cash Flow";#N/A,#N/A,FALSE,"10 Year Cost Analysis"}</definedName>
    <definedName name="wrn.CASH._.FLOWS._.ONLY." localSheetId="7" hidden="1">{#N/A,#N/A,FALSE,"Assumptions";#N/A,#N/A,FALSE,"Consol CF";#N/A,#N/A,FALSE,"Hacienda CF";#N/A,#N/A,FALSE,"Chabot CF";#N/A,#N/A,FALSE,"Diablo CF"}</definedName>
    <definedName name="wrn.CASH._.FLOWS._.ONLY." hidden="1">{#N/A,#N/A,FALSE,"Assumptions";#N/A,#N/A,FALSE,"Consol CF";#N/A,#N/A,FALSE,"Hacienda CF";#N/A,#N/A,FALSE,"Chabot CF";#N/A,#N/A,FALSE,"Diablo CF"}</definedName>
    <definedName name="wrn.check." hidden="1">{#N/A,#N/A,FALSE,"Summary";#N/A,#N/A,FALSE,"Project Summary";#N/A,#N/A,FALSE,"Development Cost Summary";#N/A,#N/A,FALSE,"Development Cost Allocation";#N/A,#N/A,FALSE,"Pad Fees";#N/A,#N/A,FALSE,"Costs";#N/A,#N/A,FALSE,"Parking Budget";#N/A,#N/A,FALSE,"Retail Development Budget";#N/A,#N/A,FALSE,"Office Development Budget";#N/A,#N/A,FALSE,"Hotel Development Budget"}</definedName>
    <definedName name="wrn.Complete._.Review." hidden="1">{#N/A,#N/A,FALSE,"Occ and Rate";#N/A,#N/A,FALSE,"PF Input";#N/A,#N/A,FALSE,"Capital Input";#N/A,#N/A,FALSE,"Proforma Five Yr";#N/A,#N/A,FALSE,"Calculations";#N/A,#N/A,FALSE,"Transaction Summary-DTW"}</definedName>
    <definedName name="wrn.Control._.Sheet." hidden="1">{#N/A,#N/A,FALSE,"CONTROL"}</definedName>
    <definedName name="wrn.Credit._.Summary." hidden="1">{#N/A,#N/A,FALSE,"CREDIT"}</definedName>
    <definedName name="wrn.data." localSheetId="7" hidden="1">{"data",#N/A,FALSE,"INPUT"}</definedName>
    <definedName name="wrn.data." hidden="1">{"data",#N/A,FALSE,"INPUT"}</definedName>
    <definedName name="wrn.data1" localSheetId="7" hidden="1">{"data",#N/A,FALSE,"INPUT"}</definedName>
    <definedName name="wrn.data1" hidden="1">{"data",#N/A,FALSE,"INPUT"}</definedName>
    <definedName name="wrn.data5" localSheetId="7" hidden="1">{"data",#N/A,FALSE,"INPUT"}</definedName>
    <definedName name="wrn.data5" hidden="1">{"data",#N/A,FALSE,"INPUT"}</definedName>
    <definedName name="wrn.DCR._.Output." hidden="1">{"DCR Output",#N/A,FALSE,"Output"}</definedName>
    <definedName name="wrn.Engineering." hidden="1">{#N/A,#N/A,FALSE,"ENGINEERING"}</definedName>
    <definedName name="wrn.Entry._.Grids." hidden="1">{#N/A,#N/A,FALSE,"Services JE Grid";#N/A,#N/A,FALSE,"Emmes JE Grid";#N/A,#N/A,FALSE,"Capital JE Grid "}</definedName>
    <definedName name="wrn.Environmental." hidden="1">{#N/A,#N/A,FALSE,"ENVIRONMENTAL"}</definedName>
    <definedName name="wrn.Exec._.Summary." hidden="1">{#N/A,#N/A,FALSE,"Index"}</definedName>
    <definedName name="wrn.ExitAndSalesAssumptions." localSheetId="7" hidden="1">{#N/A,#N/A,FALSE,"ExitStratigy"}</definedName>
    <definedName name="wrn.ExitAndSalesAssumptions." hidden="1">{#N/A,#N/A,FALSE,"ExitStratigy"}</definedName>
    <definedName name="wrn.Feb98." localSheetId="7" hidden="1">{"sheet a",#N/A,FALSE,"A";"2 9 casflow",#N/A,FALSE,"B"}</definedName>
    <definedName name="wrn.Feb98." hidden="1">{"sheet a",#N/A,FALSE,"A";"2 9 casflow",#N/A,FALSE,"B"}</definedName>
    <definedName name="wrn.Full._.package." hidden="1">{#N/A,#N/A,FALSE,"Emmes Summary";#N/A,#N/A,FALSE,"Services Summary";#N/A,#N/A,FALSE,"Emmes All";#N/A,#N/A,FALSE,"Master Services";#N/A,#N/A,FALSE,"Emmes &amp; Co";#N/A,#N/A,FALSE,"Emmes JE Grid";#N/A,#N/A,FALSE,"Emmes  Entries";#N/A,#N/A,FALSE,"Emmes Services";#N/A,#N/A,FALSE,"Services JE Grid";#N/A,#N/A,FALSE,"Services Entries";#N/A,#N/A,FALSE,"Emmes Capital";#N/A,#N/A,FALSE,"Capital JE Grid ";#N/A,#N/A,FALSE,"Capital  Entries"}</definedName>
    <definedName name="wrn.Full._.Report." hidden="1">{#N/A,#N/A,FALSE,"Summary";#N/A,#N/A,FALSE,"Project Summary";#N/A,#N/A,FALSE,"Master Developer Cash Flow";#N/A,#N/A,FALSE,"Development Cost Allocation";#N/A,#N/A,FALSE,"Costs";#N/A,#N/A,FALSE,"Pad Fees";#N/A,#N/A,FALSE,"Parking Budget";#N/A,#N/A,FALSE,"Podium Monthly Development #1";#N/A,#N/A,FALSE,"Podium Monthly Development #2";#N/A,#N/A,FALSE,"Podium Quarterly Development Bu";#N/A,#N/A,FALSE,"Parking Cash Flow";#N/A,#N/A,FALSE,"Parking Assumptions";#N/A,#N/A,FALSE,"Bond Debt Service";#N/A,#N/A,FALSE,"Bond Shortfall";#N/A,#N/A,FALSE,"Retail Development Budget";#N/A,#N/A,FALSE,"Retail Monthly Development Budg";#N/A,#N/A,FALSE,"Retail Quarterly Development Bu";#N/A,#N/A,FALSE,"Retail Cash Flow";#N/A,#N/A,FALSE,"Retail Cash Flow";#N/A,#N/A,FALSE,"Retail Assumptions";#N/A,#N/A,FALSE,"Retail Debt Service";#N/A,#N/A,FALSE,"Office Development Budget";#N/A,#N/A,FALSE,"Office Monthly Development Budg";#N/A,#N/A,FALSE,"Office Quarterly Development Bu";#N/A,#N/A,FALSE,"Office Cash Flow";#N/A,#N/A,FALSE,"Office Assumptions";#N/A,#N/A,FALSE,"Office Debt Service";#N/A,#N/A,FALSE,"Hotel Development Budget";#N/A,#N/A,FALSE,"Hotel Monthly Development Budge";#N/A,#N/A,FALSE,"Hotel Quarterly Development Bud";#N/A,#N/A,FALSE,"Hotel Cash Flow";#N/A,#N/A,FALSE,"Hotel Assumptions";#N/A,#N/A,FALSE,"Hotel Debt Service";#N/A,#N/A,FALSE,"Demographics-Hotel";#N/A,#N/A,FALSE,"Land Lease NPV"}</definedName>
    <definedName name="wrn.Full_Template." localSheetId="7" hidden="1">{#N/A,#N/A,FALSE,"1Summary";#N/A,#N/A,FALSE,"2Assumptions";#N/A,#N/A,FALSE,"3Cash Flow";#N/A,#N/A,FALSE,"4Return of Investment Chart";#N/A,#N/A,FALSE,"5Year 1 Reconciliation";#N/A,#N/A,FALSE,"6Residual";#N/A,#N/A,FALSE,"7Pricing Matrix";#N/A,#N/A,FALSE,"8Vacancy Matrix";#N/A,#N/A,FALSE,"9Vacancy Chart";#N/A,#N/A,FALSE,"AExpiration Schedule";#N/A,#N/A,FALSE,"BExpiration Chart";#N/A,#N/A,FALSE,"CLease-up Schedule";#N/A,#N/A,FALSE,"DWeighted Average Calculation"}</definedName>
    <definedName name="wrn.Full_Template." hidden="1">{#N/A,#N/A,FALSE,"1Summary";#N/A,#N/A,FALSE,"2Assumptions";#N/A,#N/A,FALSE,"3Cash Flow";#N/A,#N/A,FALSE,"4Return of Investment Chart";#N/A,#N/A,FALSE,"5Year 1 Reconciliation";#N/A,#N/A,FALSE,"6Residual";#N/A,#N/A,FALSE,"7Pricing Matrix";#N/A,#N/A,FALSE,"8Vacancy Matrix";#N/A,#N/A,FALSE,"9Vacancy Chart";#N/A,#N/A,FALSE,"AExpiration Schedule";#N/A,#N/A,FALSE,"BExpiration Chart";#N/A,#N/A,FALSE,"CLease-up Schedule";#N/A,#N/A,FALSE,"DWeighted Average Calculation"}</definedName>
    <definedName name="wrn.Garage." localSheetId="7" hidden="1">{#N/A,#N/A,FALSE,"Garage Assumpt 1";#N/A,#N/A,FALSE,"Garage Op Proj";#N/A,#N/A,FALSE,"Hist I&amp;E";#N/A,#N/A,FALSE,"Garage Lease"}</definedName>
    <definedName name="wrn.Garage." hidden="1">{#N/A,#N/A,FALSE,"Garage Assumpt 1";#N/A,#N/A,FALSE,"Garage Op Proj";#N/A,#N/A,FALSE,"Hist I&amp;E";#N/A,#N/A,FALSE,"Garage Lease"}</definedName>
    <definedName name="wrn.GSA._.PRINT." localSheetId="7" hidden="1">{#N/A,#N/A,FALSE,"DEV COSTS";#N/A,#N/A,FALSE,"10-YR C. F."}</definedName>
    <definedName name="wrn.GSA._.PRINT." hidden="1">{#N/A,#N/A,FALSE,"DEV COSTS";#N/A,#N/A,FALSE,"10-YR C. F."}</definedName>
    <definedName name="wrn.gsa._PRINT5" localSheetId="7" hidden="1">{#N/A,#N/A,FALSE,"DEV COSTS";#N/A,#N/A,FALSE,"10-YR C. F."}</definedName>
    <definedName name="wrn.gsa._PRINT5" hidden="1">{#N/A,#N/A,FALSE,"DEV COSTS";#N/A,#N/A,FALSE,"10-YR C. F."}</definedName>
    <definedName name="wrn.Historical._.Analysis." hidden="1">{#N/A,#N/A,FALSE,"HISTORICAL REV &amp; EXP"}</definedName>
    <definedName name="wrn.Historical._.Rev._.Exp." hidden="1">{#N/A,#N/A,FALSE,"Historical Rev &amp; Exp"}</definedName>
    <definedName name="wrn.Income._.Statements." localSheetId="7" hidden="1">{#N/A,#N/A,FALSE,"Consol CF";#N/A,#N/A,FALSE,"matx B4 DS";#N/A,#N/A,FALSE,"Hacienda CF";#N/A,#N/A,FALSE,"matx B4 DS Hac";#N/A,#N/A,FALSE,"Chabot CF";#N/A,#N/A,FALSE,"matx B4 DS Chabot";#N/A,#N/A,FALSE,"Diablo CF";#N/A,#N/A,FALSE,"matx B4 DS Diablo";#N/A,#N/A,FALSE,"HAC2-CF";#N/A,#N/A,FALSE,"HAC3-CF";#N/A,#N/A,FALSE,"HAC4-CF";#N/A,#N/A,FALSE,"HAC5-CF";#N/A,#N/A,FALSE,"HAC6-CF";#N/A,#N/A,FALSE,"HAC7-CF";#N/A,#N/A,FALSE,"HAC8-CF";#N/A,#N/A,FALSE,"HAC9-CF";#N/A,#N/A,FALSE,"HA10-CF"}</definedName>
    <definedName name="wrn.Income._.Statements." hidden="1">{#N/A,#N/A,FALSE,"Consol CF";#N/A,#N/A,FALSE,"matx B4 DS";#N/A,#N/A,FALSE,"Hacienda CF";#N/A,#N/A,FALSE,"matx B4 DS Hac";#N/A,#N/A,FALSE,"Chabot CF";#N/A,#N/A,FALSE,"matx B4 DS Chabot";#N/A,#N/A,FALSE,"Diablo CF";#N/A,#N/A,FALSE,"matx B4 DS Diablo";#N/A,#N/A,FALSE,"HAC2-CF";#N/A,#N/A,FALSE,"HAC3-CF";#N/A,#N/A,FALSE,"HAC4-CF";#N/A,#N/A,FALSE,"HAC5-CF";#N/A,#N/A,FALSE,"HAC6-CF";#N/A,#N/A,FALSE,"HAC7-CF";#N/A,#N/A,FALSE,"HAC8-CF";#N/A,#N/A,FALSE,"HAC9-CF";#N/A,#N/A,FALSE,"HA10-CF"}</definedName>
    <definedName name="wrn.Index." hidden="1">{#N/A,#N/A,FALSE,"INDEX"}</definedName>
    <definedName name="wrn.Inputs." hidden="1">{#N/A,#N/A,FALSE,"Input"}</definedName>
    <definedName name="wrn.Investment._.Review." hidden="1">{#N/A,#N/A,FALSE,"Proforma Five Yr";#N/A,#N/A,FALSE,"Capital Input";#N/A,#N/A,FALSE,"Calculations";#N/A,#N/A,FALSE,"Transaction Summary-DTW"}</definedName>
    <definedName name="wrn.jan._.98." localSheetId="7" hidden="1">{"sheet a",#N/A,FALSE,"A";"sheet b 1",#N/A,FALSE,"B";"sheet b 2",#N/A,FALSE,"B"}</definedName>
    <definedName name="wrn.jan._.98." hidden="1">{"sheet a",#N/A,FALSE,"A";"sheet b 1",#N/A,FALSE,"B";"sheet b 2",#N/A,FALSE,"B"}</definedName>
    <definedName name="wrn.Lease._.Rollover." hidden="1">{#N/A,#N/A,FALSE,"Lease Rollover"}</definedName>
    <definedName name="wrn.Leases." hidden="1">{#N/A,#N/A,FALSE,"Leases"}</definedName>
    <definedName name="wrn.Loan._.Pricing._.Analysis." hidden="1">{#N/A,#N/A,FALSE,"LOAN ANALYSIS"}</definedName>
    <definedName name="wrn.LoanInformation." localSheetId="7" hidden="1">{#N/A,#N/A,FALSE,"LoanAssumptions"}</definedName>
    <definedName name="wrn.LoanInformation." hidden="1">{#N/A,#N/A,FALSE,"LoanAssumptions"}</definedName>
    <definedName name="wrn.LTV._.Output." hidden="1">{"LTV Output",#N/A,FALSE,"Output"}</definedName>
    <definedName name="wrn.MATRICES._.and._.CFs." localSheetId="7" hidden="1">{#N/A,#N/A,FALSE,"Assumptions";#N/A,#N/A,FALSE,"Consol CF";#N/A,#N/A,FALSE,"matx B4 DS";#N/A,#N/A,FALSE,"Hacienda CF";#N/A,#N/A,FALSE,"matx B4 DS Hac";#N/A,#N/A,FALSE,"Chabot CF";#N/A,#N/A,FALSE,"matx B4 DS Chabot";#N/A,#N/A,FALSE,"Diablo CF";#N/A,#N/A,FALSE,"matx B4 DS Diablo"}</definedName>
    <definedName name="wrn.MATRICES._.and._.CFs." hidden="1">{#N/A,#N/A,FALSE,"Assumptions";#N/A,#N/A,FALSE,"Consol CF";#N/A,#N/A,FALSE,"matx B4 DS";#N/A,#N/A,FALSE,"Hacienda CF";#N/A,#N/A,FALSE,"matx B4 DS Hac";#N/A,#N/A,FALSE,"Chabot CF";#N/A,#N/A,FALSE,"matx B4 DS Chabot";#N/A,#N/A,FALSE,"Diablo CF";#N/A,#N/A,FALSE,"matx B4 DS Diablo"}</definedName>
    <definedName name="wrn.MATRICIES._.ONLY." localSheetId="7" hidden="1">{#N/A,#N/A,FALSE,"matx B4 DS";#N/A,#N/A,FALSE,"matx B4 DS Hac";#N/A,#N/A,FALSE,"matx B4 DS Chabot";#N/A,#N/A,FALSE,"matx B4 DS Diablo"}</definedName>
    <definedName name="wrn.MATRICIES._.ONLY." hidden="1">{#N/A,#N/A,FALSE,"matx B4 DS";#N/A,#N/A,FALSE,"matx B4 DS Hac";#N/A,#N/A,FALSE,"matx B4 DS Chabot";#N/A,#N/A,FALSE,"matx B4 DS Diablo"}</definedName>
    <definedName name="wrn.MODEL." localSheetId="7" hidden="1">{"IS",#N/A,FALSE,"Income Statement";"ISR",#N/A,FALSE,"Income Statement Ratios";"BS",#N/A,FALSE,"Balance Sheet";"BSR",#N/A,FALSE,"Balance Sheet Ratios";"CF",#N/A,FALSE,"Cash Flow";"SALES",#N/A,FALSE,"Sales Analysis";"RR",#N/A,FALSE,"Recent Results"}</definedName>
    <definedName name="wrn.MODEL." hidden="1">{"IS",#N/A,FALSE,"Income Statement";"ISR",#N/A,FALSE,"Income Statement Ratios";"BS",#N/A,FALSE,"Balance Sheet";"BSR",#N/A,FALSE,"Balance Sheet Ratios";"CF",#N/A,FALSE,"Cash Flow";"SALES",#N/A,FALSE,"Sales Analysis";"RR",#N/A,FALSE,"Recent Results"}</definedName>
    <definedName name="wrn.MODEL5" localSheetId="7" hidden="1">{"IS",#N/A,FALSE,"Income Statement";"ISR",#N/A,FALSE,"Income Statement Ratios";"BS",#N/A,FALSE,"Balance Sheet";"BSR",#N/A,FALSE,"Balance Sheet Ratios";"CF",#N/A,FALSE,"Cash Flow";"SALES",#N/A,FALSE,"Sales Analysis";"RR",#N/A,FALSE,"Recent Results"}</definedName>
    <definedName name="wrn.MODEL5" hidden="1">{"IS",#N/A,FALSE,"Income Statement";"ISR",#N/A,FALSE,"Income Statement Ratios";"BS",#N/A,FALSE,"Balance Sheet";"BSR",#N/A,FALSE,"Balance Sheet Ratios";"CF",#N/A,FALSE,"Cash Flow";"SALES",#N/A,FALSE,"Sales Analysis";"RR",#N/A,FALSE,"Recent Results"}</definedName>
    <definedName name="wrn.MonthlyRentRoll." localSheetId="7" hidden="1">{"MonthlyRentRoll",#N/A,FALSE,"RentRoll"}</definedName>
    <definedName name="wrn.MonthlyRentRoll." hidden="1">{"MonthlyRentRoll",#N/A,FALSE,"RentRoll"}</definedName>
    <definedName name="wrn.Mortgage._.Loan._.Sch." hidden="1">{#N/A,#N/A,FALSE,"Mortgage Loan Sch"}</definedName>
    <definedName name="wrn.NCL._.Tower._.Five._.Year._.Hold." hidden="1">{#N/A,#N/A,FALSE,"North Central Life";#N/A,#N/A,FALSE,"Town Square";#N/A,#N/A,FALSE,"Summary"}</definedName>
    <definedName name="wrn.NoAptRR." hidden="1">{#N/A,#N/A,FALSE,"AptStabYr";#N/A,#N/A,FALSE,"Hard Costs";#N/A,#N/A,FALSE,"Project Costs ";#N/A,#N/A,FALSE,"Draw M1-18";#N/A,#N/A,FALSE,"LeaseUpHotel";#N/A,#N/A,FALSE,"Apt10YrCF";#N/A,#N/A,FALSE,"Hotel CF";#N/A,#N/A,FALSE,"LeaseUpApt"}</definedName>
    <definedName name="wrn.Northstar." hidden="1">{#N/A,#N/A,FALSE,"Services Summary";#N/A,#N/A,FALSE,"Emmes Summary";#N/A,#N/A,FALSE,"Northstar"}</definedName>
    <definedName name="wrn.NOV30." hidden="1">{#N/A,#N/A,FALSE,"BALLY COSTS";#N/A,#N/A,FALSE,"FF&amp;E";#N/A,#N/A,FALSE,"FEES";#N/A,#N/A,FALSE,"CONTINGENCY";#N/A,#N/A,FALSE,"SOFT COSTS";#N/A,#N/A,FALSE,"DETAIL";#N/A,#N/A,FALSE,"sum12-3"}</definedName>
    <definedName name="wrn.november._.17." hidden="1">{#N/A,#N/A,FALSE,"NY,NY - BUILD UP";#N/A,#N/A,FALSE,"SPCE -CAS LEV";#N/A,#N/A,FALSE,"SPCE -COST LL";#N/A,#N/A,FALSE,"CHANGES CMSC";#N/A,#N/A,FALSE,"FF&amp; E ANALYSIS";#N/A,#N/A,FALSE,"ADD. SOFT COSTS - 3RD PRTY";#N/A,#N/A,FALSE,"NYNY COMP";#N/A,#N/A,FALSE,"BUDGET 11-17";#N/A,#N/A,FALSE,"CONTINGENCY";#N/A,#N/A,FALSE,"ESCALATE";#N/A,#N/A,FALSE,"adj 9-15 to 11-17";#N/A,#N/A,FALSE,"D&amp;CM 11-17";#N/A,#N/A,FALSE,"INTEREST"}</definedName>
    <definedName name="wrn.ODB." hidden="1">{"ODB",#N/A,FALSE,"Hold Scenario"}</definedName>
    <definedName name="wrn.office." hidden="1">{#N/A,#N/A,FALSE,"Pad Fees";#N/A,#N/A,FALSE,"Parking Budget";#N/A,#N/A,FALSE,"Parking Cash Flow";#N/A,#N/A,FALSE,"Parking Assumptions Summary";#N/A,#N/A,FALSE,"Assumptions-M";#N/A,#N/A,FALSE,"Assumptions-T";#N/A,#N/A,FALSE,"Assumptions-W";#N/A,#N/A,FALSE,"Assumptions-R";#N/A,#N/A,FALSE,"Assumptions-F";#N/A,#N/A,FALSE,"Assumptions-Sa";#N/A,#N/A,FALSE,"Assumptions-Su";#N/A,#N/A,FALSE,"Bond Debt Service";#N/A,#N/A,FALSE,"Bond Shortfall"}</definedName>
    <definedName name="wrn.OperatingAssumtions." localSheetId="7" hidden="1">{#N/A,#N/A,FALSE,"OperatingAssumptions"}</definedName>
    <definedName name="wrn.OperatingAssumtions." hidden="1">{#N/A,#N/A,FALSE,"OperatingAssumptions"}</definedName>
    <definedName name="wrn.Operations._.Review." hidden="1">{#N/A,#N/A,FALSE,"Proforma Five Yr";#N/A,#N/A,FALSE,"Occ and Rate";#N/A,#N/A,FALSE,"PF Input";#N/A,#N/A,FALSE,"Hotcomps"}</definedName>
    <definedName name="wrn.Output3Column." hidden="1">{"Output-3Column",#N/A,FALSE,"Output"}</definedName>
    <definedName name="wrn.OutputAll." hidden="1">{"Output-All",#N/A,FALSE,"Output"}</definedName>
    <definedName name="wrn.OutputBaseYear." hidden="1">{"Output-BaseYear",#N/A,FALSE,"Output"}</definedName>
    <definedName name="wrn.OutputMin." hidden="1">{"Output-Min",#N/A,FALSE,"Output"}</definedName>
    <definedName name="wrn.OutputPercent." hidden="1">{"Output%",#N/A,FALSE,"Output"}</definedName>
    <definedName name="wrn.Package." hidden="1">{#N/A,#N/A,FALSE,"cover";#N/A,#N/A,FALSE,"SUMMARY";#N/A,#N/A,FALSE,"DEBT SUMMARY"}</definedName>
    <definedName name="wrn.PARTIAL." localSheetId="7" hidden="1">{"new",#N/A,FALSE,"D";"PROFORMA",#N/A,FALSE,"A";"partial 1",#N/A,FALSE,"B";"partial 2",#N/A,FALSE,"B";"partial 3",#N/A,FALSE,"B";"SMALL CF 1",#N/A,FALSE,"C"}</definedName>
    <definedName name="wrn.PARTIAL." hidden="1">{"new",#N/A,FALSE,"D";"PROFORMA",#N/A,FALSE,"A";"partial 1",#N/A,FALSE,"B";"partial 2",#N/A,FALSE,"B";"partial 3",#N/A,FALSE,"B";"SMALL CF 1",#N/A,FALSE,"C"}</definedName>
    <definedName name="wrn.Phase._.I." hidden="1">{#N/A,#N/A,FALSE,"Transaction Summary-DTW";#N/A,#N/A,FALSE,"Proforma Five Yr";#N/A,#N/A,FALSE,"Occ and Rate"}</definedName>
    <definedName name="wrn.Presentation." localSheetId="7" hidden="1">{#N/A,#N/A,TRUE,"Summary";"AnnualRentRoll",#N/A,TRUE,"RentRoll";#N/A,#N/A,TRUE,"ExitStratigy";#N/A,#N/A,TRUE,"OperatingAssumptions"}</definedName>
    <definedName name="wrn.Presentation." hidden="1">{#N/A,#N/A,TRUE,"Summary";"AnnualRentRoll",#N/A,TRUE,"RentRoll";#N/A,#N/A,TRUE,"ExitStratigy";#N/A,#N/A,TRUE,"OperatingAssumptions"}</definedName>
    <definedName name="wrn.Print." localSheetId="7" hidden="1">{#N/A,#N/A,TRUE,"Cover";#N/A,#N/A,TRUE,"Stack";#N/A,#N/A,TRUE,"Cost S";#N/A,#N/A,TRUE,"Financing";#N/A,#N/A,TRUE," CF";#N/A,#N/A,TRUE,"CF Mnthly";#N/A,#N/A,TRUE,"CF assum";#N/A,#N/A,TRUE,"Unit Sales";#N/A,#N/A,TRUE,"REV";#N/A,#N/A,TRUE,"Bdgt Backup"}</definedName>
    <definedName name="wrn.Print." hidden="1">{#N/A,#N/A,TRUE,"Cover";#N/A,#N/A,TRUE,"Stack";#N/A,#N/A,TRUE,"Cost S";#N/A,#N/A,TRUE,"Financing";#N/A,#N/A,TRUE," CF";#N/A,#N/A,TRUE,"CF Mnthly";#N/A,#N/A,TRUE,"CF assum";#N/A,#N/A,TRUE,"Unit Sales";#N/A,#N/A,TRUE,"REV";#N/A,#N/A,TRUE,"Bdgt Backup"}</definedName>
    <definedName name="wrn.Print._.4." localSheetId="7" hidden="1">{"Outflow 1",#N/A,FALSE,"Outflows-Inflows";"Outflow 2",#N/A,FALSE,"Outflows-Inflows";"Inflow 1",#N/A,FALSE,"Outflows-Inflows";"Inflow 2",#N/A,FALSE,"Outflows-Inflows"}</definedName>
    <definedName name="wrn.Print._.4." hidden="1">{"Outflow 1",#N/A,FALSE,"Outflows-Inflows";"Outflow 2",#N/A,FALSE,"Outflows-Inflows";"Inflow 1",#N/A,FALSE,"Outflows-Inflows";"Inflow 2",#N/A,FALSE,"Outflows-Inflows"}</definedName>
    <definedName name="wrn.Print._.6." localSheetId="7" hidden="1">{"print 1.6",#N/A,FALSE,"Sheet1";"print 2.6",#N/A,FALSE,"Sheet1";"print 3.6",#N/A,FALSE,"Sheet1";"print 4.6",#N/A,FALSE,"Sheet1";"print 5.6",#N/A,FALSE,"Sheet1";"print 6.6",#N/A,FALSE,"Sheet1"}</definedName>
    <definedName name="wrn.Print._.6." hidden="1">{"print 1.6",#N/A,FALSE,"Sheet1";"print 2.6",#N/A,FALSE,"Sheet1";"print 3.6",#N/A,FALSE,"Sheet1";"print 4.6",#N/A,FALSE,"Sheet1";"print 5.6",#N/A,FALSE,"Sheet1";"print 6.6",#N/A,FALSE,"Sheet1"}</definedName>
    <definedName name="wrn.Print._.All." localSheetId="7" hidden="1">{"Venture Summary",#N/A,TRUE,"Summary";"Development Budget",#N/A,TRUE,"Summary";"Development Proforma",#N/A,TRUE,"Dev PF";"Project Cash Flows",#N/A,TRUE,"Summary";"Costs &amp; Sales",#N/A,TRUE,"Summary";"Debt Summary CF",#N/A,TRUE,"Summary"}</definedName>
    <definedName name="wrn.Print._.All." hidden="1">{"Venture Summary",#N/A,TRUE,"Summary";"Development Budget",#N/A,TRUE,"Summary";"Development Proforma",#N/A,TRUE,"Dev PF";"Project Cash Flows",#N/A,TRUE,"Summary";"Costs &amp; Sales",#N/A,TRUE,"Summary";"Debt Summary CF",#N/A,TRUE,"Summary"}</definedName>
    <definedName name="wrn.Print._.Workbook." localSheetId="7" hidden="1">{#N/A,#N/A,FALSE,"Exec. Summ";#N/A,#N/A,FALSE,"Income";#N/A,#N/A,FALSE,"Expenses";#N/A,#N/A,FALSE,"Loan Options";#N/A,#N/A,FALSE,"Sources &amp; Uses";#N/A,#N/A,FALSE,"Spreadsheet"}</definedName>
    <definedName name="wrn.Print._.Workbook." hidden="1">{#N/A,#N/A,FALSE,"Exec. Summ";#N/A,#N/A,FALSE,"Income";#N/A,#N/A,FALSE,"Expenses";#N/A,#N/A,FALSE,"Loan Options";#N/A,#N/A,FALSE,"Sources &amp; Uses";#N/A,#N/A,FALSE,"Spreadsheet"}</definedName>
    <definedName name="wrn.print2." localSheetId="7" hidden="1">{"Assump",#N/A,TRUE,"Proforma";"first",#N/A,TRUE,"Proforma";"second",#N/A,TRUE,"Proforma";"lease1",#N/A,TRUE,"Proforma";"lease2",#N/A,TRUE,"Proforma"}</definedName>
    <definedName name="wrn.print2." hidden="1">{"Assump",#N/A,TRUE,"Proforma";"first",#N/A,TRUE,"Proforma";"second",#N/A,TRUE,"Proforma";"lease1",#N/A,TRUE,"Proforma";"lease2",#N/A,TRUE,"Proforma"}</definedName>
    <definedName name="wrn.print5" localSheetId="7" hidden="1">{"Assump",#N/A,TRUE,"Proforma";"first",#N/A,TRUE,"Proforma";"second",#N/A,TRUE,"Proforma";"lease1",#N/A,TRUE,"Proforma";"lease2",#N/A,TRUE,"Proforma"}</definedName>
    <definedName name="wrn.print5" hidden="1">{"Assump",#N/A,TRUE,"Proforma";"first",#N/A,TRUE,"Proforma";"second",#N/A,TRUE,"Proforma";"lease1",#N/A,TRUE,"Proforma";"lease2",#N/A,TRUE,"Proforma"}</definedName>
    <definedName name="wrn.PrintAll." hidden="1">{#N/A,#N/A,FALSE,"OpEx (PP)";#N/A,#N/A,FALSE,"Lease Comps (O)-BT";#N/A,#N/A,FALSE,"OpEx (CC)";#N/A,#N/A,FALSE,"Value (PP-Base)";#N/A,#N/A,FALSE,"Value (CC-Base)";#N/A,#N/A,FALSE,"Sales Comps (R)";#N/A,#N/A,FALSE,"Sales Comps (O)"}</definedName>
    <definedName name="wrn.Printing._.the._.Model." hidden="1">{#N/A,#N/A,FALSE,"General Assumptions";#N/A,#N/A,FALSE,"Summary of Results";#N/A,#N/A,FALSE,"Waterfall - LFSRI";#N/A,#N/A,FALSE,"Sources &amp; Uses - Output";#N/A,#N/A,FALSE,"Existing Portfolio";#N/A,#N/A,FALSE,"1996 Development Schedule";#N/A,#N/A,FALSE,"New Development";#N/A,#N/A,FALSE,"New Acquisitions";#N/A,#N/A,FALSE,"Land Inventory";#N/A,#N/A,FALSE,"Balance Sheet Dec. 1996";#N/A,#N/A,FALSE,"Balance Sheet - Projected";#N/A,#N/A,FALSE,"Total Cash Flow -- Model";#N/A,#N/A,FALSE,"Total Cash Flow -- Output"}</definedName>
    <definedName name="wrn.Prints._.All.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wrn.Proforma._.Review." hidden="1">{#N/A,#N/A,FALSE,"Occ and Rate";#N/A,#N/A,FALSE,"PF Input";#N/A,#N/A,FALSE,"Proforma Five Yr";#N/A,#N/A,FALSE,"Hotcomps"}</definedName>
    <definedName name="wrn.Program._.Compliance." hidden="1">{#N/A,#N/A,FALSE,"COMPLIANCE"}</definedName>
    <definedName name="wrn.Property._.Description." hidden="1">{#N/A,#N/A,FALSE,"PROP. DESCRIPTION"}</definedName>
    <definedName name="wrn.PropertyInformation." localSheetId="7" hidden="1">{#N/A,#N/A,FALSE,"PropertyInfo"}</definedName>
    <definedName name="wrn.PropertyInformation." hidden="1">{#N/A,#N/A,FALSE,"PropertyInfo"}</definedName>
    <definedName name="wrn.Recovery._.Calcs." hidden="1">{#N/A,#N/A,FALSE,"Recovery Calcs"}</definedName>
    <definedName name="wrn.Relevant._.Sections." localSheetId="7" hidden="1">{#N/A,#N/A,FALSE,"Summary";#N/A,#N/A,FALSE,"Program Scheme";#N/A,#N/A,FALSE,"Assumptions";#N/A,#N/A,FALSE,"Development Budget";#N/A,#N/A,FALSE,"Timing";#N/A,#N/A,FALSE,"Development Costs &amp; Revenues";#N/A,#N/A,FALSE,"Cash Flow to Debt &amp; Equity";#N/A,#N/A,FALSE,"Cash Flow to Athena LP"}</definedName>
    <definedName name="wrn.Relevant._.Sections." hidden="1">{#N/A,#N/A,FALSE,"Summary";#N/A,#N/A,FALSE,"Program Scheme";#N/A,#N/A,FALSE,"Assumptions";#N/A,#N/A,FALSE,"Development Budget";#N/A,#N/A,FALSE,"Timing";#N/A,#N/A,FALSE,"Development Costs &amp; Revenues";#N/A,#N/A,FALSE,"Cash Flow to Debt &amp; Equity";#N/A,#N/A,FALSE,"Cash Flow to Athena LP"}</definedName>
    <definedName name="wrn.Rent._.Roll." hidden="1">{#N/A,#N/A,FALSE,"Rent Roll"}</definedName>
    <definedName name="wrn.Report." localSheetId="7" hidden="1">{#N/A,#N/A,FALSE,"Summary";#N/A,#N/A,FALSE,"Assumptions";#N/A,#N/A,FALSE,"Cash Flow";#N/A,#N/A,FALSE,"Residual Calculation";#N/A,#N/A,FALSE,"Pricing Matrix";#N/A,#N/A,FALSE,"Pricing Matrix II";#N/A,#N/A,FALSE,"Expiration Schedule"}</definedName>
    <definedName name="wrn.Report." hidden="1">{#N/A,#N/A,FALSE,"Summary";#N/A,#N/A,FALSE,"Assumptions";#N/A,#N/A,FALSE,"Cash Flow";#N/A,#N/A,FALSE,"Residual Calculation";#N/A,#N/A,FALSE,"Pricing Matrix";#N/A,#N/A,FALSE,"Pricing Matrix II";#N/A,#N/A,FALSE,"Expiration Schedule"}</definedName>
    <definedName name="wrn.Report1." localSheetId="7" hidden="1">{#N/A,#N/A,FALSE,"Summary";#N/A,#N/A,FALSE,"Assumptions";#N/A,#N/A,FALSE,"Cash Flow";#N/A,#N/A,FALSE,"Residual Calculation";#N/A,#N/A,FALSE,"Pricing Matrix";#N/A,#N/A,FALSE,"Pricing Matrix II";#N/A,#N/A,FALSE,"Expiration Schedule"}</definedName>
    <definedName name="wrn.Report1." hidden="1">{#N/A,#N/A,FALSE,"Summary";#N/A,#N/A,FALSE,"Assumptions";#N/A,#N/A,FALSE,"Cash Flow";#N/A,#N/A,FALSE,"Residual Calculation";#N/A,#N/A,FALSE,"Pricing Matrix";#N/A,#N/A,FALSE,"Pricing Matrix II";#N/A,#N/A,FALSE,"Expiration Schedule"}</definedName>
    <definedName name="wrn.Report5" localSheetId="7" hidden="1">{#N/A,#N/A,FALSE,"Summary";#N/A,#N/A,FALSE,"Assumptions";#N/A,#N/A,FALSE,"Cash Flow";#N/A,#N/A,FALSE,"Residual Calculation";#N/A,#N/A,FALSE,"Pricing Matrix";#N/A,#N/A,FALSE,"Pricing Matrix II";#N/A,#N/A,FALSE,"Expiration Schedule"}</definedName>
    <definedName name="wrn.Report5" hidden="1">{#N/A,#N/A,FALSE,"Summary";#N/A,#N/A,FALSE,"Assumptions";#N/A,#N/A,FALSE,"Cash Flow";#N/A,#N/A,FALSE,"Residual Calculation";#N/A,#N/A,FALSE,"Pricing Matrix";#N/A,#N/A,FALSE,"Pricing Matrix II";#N/A,#N/A,FALSE,"Expiration Schedule"}</definedName>
    <definedName name="wrn.Review._.File." localSheetId="7" hidden="1">{"Venture Summary",#N/A,FALSE,"Summary";"Sensitivity Tables",#N/A,FALSE,"Summary";"Argus Assumptions",#N/A,FALSE,"Bldg Info";"Annual",#N/A,FALSE,"Annual";"Development Budget",#N/A,FALSE,"Summary";"DevPF",#N/A,FALSE,"Dev PF"}</definedName>
    <definedName name="wrn.Review._.File." hidden="1">{"Venture Summary",#N/A,FALSE,"Summary";"Sensitivity Tables",#N/A,FALSE,"Summary";"Argus Assumptions",#N/A,FALSE,"Bldg Info";"Annual",#N/A,FALSE,"Annual";"Development Budget",#N/A,FALSE,"Summary";"DevPF",#N/A,FALSE,"Dev PF"}</definedName>
    <definedName name="wrn.seafirst." hidden="1">{#N/A,#N/A,FALSE,"Project Summary";#N/A,#N/A,FALSE,"Master Developer Cash Flow";#N/A,#N/A,FALSE,"Parking Budget";#N/A,#N/A,FALSE,"Parking Cash Flow2";#N/A,#N/A,FALSE,"Parking Assumptions";#N/A,#N/A,FALSE,"Bond Structure - Lease";#N/A,#N/A,FALSE,"Retail Development Budget";#N/A,#N/A,FALSE,"Retail Cash Flow";#N/A,#N/A,FALSE,"Retail Assumptions Summary";#N/A,#N/A,FALSE,"Retail Income Assumptions";#N/A,#N/A,FALSE,"Retail % Rent";#N/A,#N/A,FALSE,"Retail Debt Service";#N/A,#N/A,FALSE,"Office Development Budget";#N/A,#N/A,FALSE,"Office Cash Flow";#N/A,#N/A,FALSE,"Office Assumptions";#N/A,#N/A,FALSE,"Office Debt Service";#N/A,#N/A,FALSE,"Hotel Development Budget";#N/A,#N/A,FALSE,"Hotel Cash Flow";#N/A,#N/A,FALSE,"Hotel Assumptions";#N/A,#N/A,FALSE,"Hotel Debt Service"}</definedName>
    <definedName name="wrn.Short._.Print." localSheetId="7" hidden="1">{#N/A,#N/A,FALSE,"Cover";#N/A,#N/A,FALSE,"Stack";#N/A,#N/A,FALSE,"Cost S";#N/A,#N/A,FALSE," CF";#N/A,#N/A,FALSE,"Investor"}</definedName>
    <definedName name="wrn.Short._.Print." hidden="1">{#N/A,#N/A,FALSE,"Cover";#N/A,#N/A,FALSE,"Stack";#N/A,#N/A,FALSE,"Cost S";#N/A,#N/A,FALSE," CF";#N/A,#N/A,FALSE,"Investor"}</definedName>
    <definedName name="wrn.Strengths._.Weaknesses." hidden="1">{#N/A,#N/A,FALSE,"Strengths &amp; Weaknesses"}</definedName>
    <definedName name="wrn.Summary." localSheetId="7" hidden="1">{#N/A,#N/A,FALSE,"Summary"}</definedName>
    <definedName name="wrn.Summary." hidden="1">{#N/A,#N/A,FALSE,"Summary"}</definedName>
    <definedName name="wrn.Summary._.Overview." hidden="1">{#N/A,#N/A,FALSE,"OVERVIEW"}</definedName>
    <definedName name="wrn.SUN1." hidden="1">{#N/A,#N/A,FALSE,"Assumptions";#N/A,#N/A,FALSE,"office";#N/A,#N/A,FALSE,"monthly"}</definedName>
    <definedName name="wrn.Target._.Comparison." hidden="1">{"Target Comparison",#N/A,FALSE,"Summary"}</definedName>
    <definedName name="wrn.Taxes._.Title._.Insurance." hidden="1">{#N/A,#N/A,FALSE,"Taxes, Insurance, Title"}</definedName>
    <definedName name="wrn.Tenants." hidden="1">{#N/A,#N/A,FALSE,"TENANTS"}</definedName>
    <definedName name="wrn.TOCHTERMAN." hidden="1">{#N/A,#N/A,FALSE,"Project Summary";#N/A,#N/A,FALSE,"Parking Budget";#N/A,#N/A,FALSE,"Parking Cash Flow";#N/A,#N/A,FALSE,"Parking Assumptions";#N/A,#N/A,FALSE,"Bond Debt Service";#N/A,#N/A,FALSE,"Pad Fees";#N/A,#N/A,FALSE,"Bond Shortfall";#N/A,#N/A,FALSE,"Retail Development Budget";#N/A,#N/A,FALSE,"Retail Cash Flow";#N/A,#N/A,FALSE,"Retail Assumptions Summary";#N/A,#N/A,FALSE,"Office Development Budget";#N/A,#N/A,FALSE,"Office Cash Flow";#N/A,#N/A,FALSE,"Office Assumptions";#N/A,#N/A,FALSE,"Hotel Development Budget";#N/A,#N/A,FALSE,"Hotel Cash Flow";#N/A,#N/A,FALSE,"Land Lease NPV"}</definedName>
    <definedName name="wrn.Total." localSheetId="7" hidden="1">{#N/A,#N/A,FALSE,"Exec Sum";#N/A,#N/A,FALSE,"Rent Rate Comp";#N/A,#N/A,FALSE,"Rate, NPV Comp";#N/A,#N/A,FALSE,"Opt A NNN";#N/A,#N/A,FALSE,"15-yr Opt. A Sum";#N/A,#N/A,FALSE,"15-yr Opt A Other Costs";#N/A,#N/A,FALSE,"10-yr Opt. A Sum";#N/A,#N/A,FALSE,"10-yr Opt A Other Costs";#N/A,#N/A,FALSE,"NPV Calc"}</definedName>
    <definedName name="wrn.Total." hidden="1">{#N/A,#N/A,FALSE,"Exec Sum";#N/A,#N/A,FALSE,"Rent Rate Comp";#N/A,#N/A,FALSE,"Rate, NPV Comp";#N/A,#N/A,FALSE,"Opt A NNN";#N/A,#N/A,FALSE,"15-yr Opt. A Sum";#N/A,#N/A,FALSE,"15-yr Opt A Other Costs";#N/A,#N/A,FALSE,"10-yr Opt. A Sum";#N/A,#N/A,FALSE,"10-yr Opt A Other Costs";#N/A,#N/A,FALSE,"NPV Calc"}</definedName>
    <definedName name="wrn.TOTAL._.SHEETS." localSheetId="7" hidden="1">{#N/A,#N/A,FALSE,"DEV COSTS";#N/A,#N/A,FALSE,"10-YR C. F."}</definedName>
    <definedName name="wrn.TOTAL._.SHEETS." hidden="1">{#N/A,#N/A,FALSE,"DEV COSTS";#N/A,#N/A,FALSE,"10-YR C. F."}</definedName>
    <definedName name="wrn.TOTAL._.SHEETS5" localSheetId="7" hidden="1">{#N/A,#N/A,FALSE,"DEV COSTS";#N/A,#N/A,FALSE,"10-YR C. F."}</definedName>
    <definedName name="wrn.TOTAL._.SHEETS5" hidden="1">{#N/A,#N/A,FALSE,"DEV COSTS";#N/A,#N/A,FALSE,"10-YR C. F."}</definedName>
    <definedName name="wrn.Total5" localSheetId="7" hidden="1">{#N/A,#N/A,FALSE,"Exec Sum";#N/A,#N/A,FALSE,"Rent Rate Comp";#N/A,#N/A,FALSE,"Rate, NPV Comp";#N/A,#N/A,FALSE,"Opt A NNN";#N/A,#N/A,FALSE,"15-yr Opt. A Sum";#N/A,#N/A,FALSE,"15-yr Opt A Other Costs";#N/A,#N/A,FALSE,"10-yr Opt. A Sum";#N/A,#N/A,FALSE,"10-yr Opt A Other Costs";#N/A,#N/A,FALSE,"NPV Calc"}</definedName>
    <definedName name="wrn.Total5" hidden="1">{#N/A,#N/A,FALSE,"Exec Sum";#N/A,#N/A,FALSE,"Rent Rate Comp";#N/A,#N/A,FALSE,"Rate, NPV Comp";#N/A,#N/A,FALSE,"Opt A NNN";#N/A,#N/A,FALSE,"15-yr Opt. A Sum";#N/A,#N/A,FALSE,"15-yr Opt A Other Costs";#N/A,#N/A,FALSE,"10-yr Opt. A Sum";#N/A,#N/A,FALSE,"10-yr Opt A Other Costs";#N/A,#N/A,FALSE,"NPV Calc"}</definedName>
    <definedName name="wrn.Tycon._.Model." localSheetId="7" hidden="1">{"rtn",#N/A,FALSE,"RTN";"tables",#N/A,FALSE,"RTN";"cf",#N/A,FALSE,"CF";"stats",#N/A,FALSE,"Stats";"prop",#N/A,FALSE,"Prop"}</definedName>
    <definedName name="wrn.Tycon._.Model." hidden="1">{"rtn",#N/A,FALSE,"RTN";"tables",#N/A,FALSE,"RTN";"cf",#N/A,FALSE,"CF";"stats",#N/A,FALSE,"Stats";"prop",#N/A,FALSE,"Prop"}</definedName>
    <definedName name="wrn.Underwriting._.Analysis." hidden="1">{#N/A,#N/A,FALSE,"Underwriting Analysis"}</definedName>
    <definedName name="wrn.Value." localSheetId="7" hidden="1">{#N/A,#N/A,FALSE,"Cashflow Analysis";#N/A,#N/A,FALSE,"Sensitivity Analysis";#N/A,#N/A,FALSE,"PV";#N/A,#N/A,FALSE,"Pro Forma"}</definedName>
    <definedName name="wrn.Value." hidden="1">{#N/A,#N/A,FALSE,"Cashflow Analysis";#N/A,#N/A,FALSE,"Sensitivity Analysis";#N/A,#N/A,FALSE,"PV";#N/A,#N/A,FALSE,"Pro Forma"}</definedName>
    <definedName name="wrn.Value.2" localSheetId="7" hidden="1">{#N/A,#N/A,FALSE,"Cashflow Analysis";#N/A,#N/A,FALSE,"Sensitivity Analysis";#N/A,#N/A,FALSE,"PV";#N/A,#N/A,FALSE,"Pro Forma"}</definedName>
    <definedName name="wrn.Value.2" hidden="1">{#N/A,#N/A,FALSE,"Cashflow Analysis";#N/A,#N/A,FALSE,"Sensitivity Analysis";#N/A,#N/A,FALSE,"PV";#N/A,#N/A,FALSE,"Pro Forma"}</definedName>
    <definedName name="wrn.Woksheets._.and._.entries." hidden="1">{#N/A,#N/A,FALSE,"Emmes Capital";#N/A,#N/A,FALSE,"Capital  Entries";#N/A,#N/A,FALSE,"Emmes Services";#N/A,#N/A,FALSE,"Services Entries";#N/A,#N/A,FALSE,"Emmes &amp; Co";#N/A,#N/A,FALSE,"Emmes  Entries";#N/A,#N/A,FALSE,"Proof"}</definedName>
    <definedName name="wrn.Working._.Party._.List." hidden="1">{#N/A,#N/A,FALSE,"Working List"}</definedName>
    <definedName name="www" localSheetId="7" hidden="1">{"data",#N/A,FALSE,"INPUT"}</definedName>
    <definedName name="www" hidden="1">{"data",#N/A,FALSE,"INPUT"}</definedName>
    <definedName name="x" hidden="1">#REF!</definedName>
    <definedName name="xxd" localSheetId="7" hidden="1">{#N/A,#N/A,FALSE,"Cashflow Analysis";#N/A,#N/A,FALSE,"Sensitivity Analysis";#N/A,#N/A,FALSE,"PV";#N/A,#N/A,FALSE,"Pro Forma"}</definedName>
    <definedName name="xxd" hidden="1">{#N/A,#N/A,FALSE,"Cashflow Analysis";#N/A,#N/A,FALSE,"Sensitivity Analysis";#N/A,#N/A,FALSE,"PV";#N/A,#N/A,FALSE,"Pro Forma"}</definedName>
    <definedName name="xxd.2" localSheetId="7" hidden="1">{#N/A,#N/A,FALSE,"Cashflow Analysis";#N/A,#N/A,FALSE,"Sensitivity Analysis";#N/A,#N/A,FALSE,"PV";#N/A,#N/A,FALSE,"Pro Forma"}</definedName>
    <definedName name="xxd.2" hidden="1">{#N/A,#N/A,FALSE,"Cashflow Analysis";#N/A,#N/A,FALSE,"Sensitivity Analysis";#N/A,#N/A,FALSE,"PV";#N/A,#N/A,FALSE,"Pro Forma"}</definedName>
    <definedName name="xYear">#REF!</definedName>
    <definedName name="y" hidden="1">#REF!</definedName>
    <definedName name="Year_Occ_ADR">#REF!</definedName>
    <definedName name="year_opened">#REF!</definedName>
    <definedName name="Year_Room">#REF!</definedName>
    <definedName name="years">#REF!</definedName>
    <definedName name="YearsToStabilizeFX">#REF!</definedName>
    <definedName name="yes">#REF!</definedName>
    <definedName name="YN">#REF!</definedName>
    <definedName name="yo">#REF!</definedName>
    <definedName name="Z_0DF4CCD5_BD29_11D2_B943_0050040AC21C_.wvu.FilterData" hidden="1">#REF!</definedName>
    <definedName name="Z_1906290E_BC61_11D2_B941_0050040AC21C_.wvu.FilterData" hidden="1">#REF!</definedName>
    <definedName name="Z_19062910_BC61_11D2_B941_0050040AC21C_.wvu.FilterData" hidden="1">#REF!</definedName>
    <definedName name="Z_2DF11753_B84B_11D2_B93A_0050040AC227_.wvu.PrintArea" hidden="1">#REF!</definedName>
    <definedName name="Z_4C1CBF02_B7B5_11D2_B93A_0050040AC21C_.wvu.FilterData" hidden="1">#REF!</definedName>
    <definedName name="Z_4C1CBF02_B7B5_11D2_B93A_0050040AC21C_.wvu.PrintArea" hidden="1">#REF!</definedName>
    <definedName name="Z_4C1CBF02_B7B5_11D2_B93A_0050040AC21C_.wvu.PrintTitles" hidden="1">#REF!</definedName>
    <definedName name="Z_66231A85_C0F1_11D2_B93B_0050040AC227_.wvu.FilterData" hidden="1">#REF!</definedName>
    <definedName name="Z_66231A86_C0F1_11D2_B93B_0050040AC227_.wvu.FilterData" hidden="1">#REF!</definedName>
    <definedName name="Z_A2426FEA_B812_466E_AD56_91907F9FA6F0_.wvu.PrintArea" hidden="1">#REF!</definedName>
    <definedName name="Z_A99CC723_C1C7_11D2_B941_0050040AC228_.wvu.FilterData" hidden="1">#REF!</definedName>
    <definedName name="Z_A99CC729_C1C7_11D2_B941_0050040AC228_.wvu.FilterData" hidden="1">#REF!</definedName>
    <definedName name="Z_A99CC733_C1C7_11D2_B941_0050040AC228_.wvu.FilterData" hidden="1">#REF!</definedName>
    <definedName name="Z_A99CC736_C1C7_11D2_B941_0050040AC228_.wvu.FilterData" hidden="1">#REF!</definedName>
    <definedName name="Z_C9FB2A72_5C56_11D3_AD66_0050040A13CD_.wvu.PrintArea" hidden="1">#REF!</definedName>
    <definedName name="Z_C9FB2A72_5C56_11D3_AD66_0050040A13CD_.wvu.PrintTitles" hidden="1">#REF!</definedName>
    <definedName name="Z_C9FB2A73_5C56_11D3_AD66_0050040A13CD_.wvu.PrintArea" hidden="1">#REF!</definedName>
    <definedName name="Z_C9FB2A73_5C56_11D3_AD66_0050040A13CD_.wvu.PrintTitles" hidden="1">#REF!</definedName>
    <definedName name="Z_C9FB2A75_5C56_11D3_AD66_0050040A13CD_.wvu.PrintArea" hidden="1">#REF!</definedName>
    <definedName name="Z_C9FB2A75_5C56_11D3_AD66_0050040A13CD_.wvu.PrintTitles" hidden="1">#REF!</definedName>
    <definedName name="Z_C9FB2A76_5C56_11D3_AD66_0050040A13CD_.wvu.PrintArea" hidden="1">#REF!</definedName>
    <definedName name="Z_C9FB2A76_5C56_11D3_AD66_0050040A13CD_.wvu.PrintTitles" hidden="1">#REF!</definedName>
    <definedName name="Z_C9FB2A77_5C56_11D3_AD66_0050040A13CD_.wvu.PrintArea" hidden="1">#REF!</definedName>
    <definedName name="Z_C9FB2A77_5C56_11D3_AD66_0050040A13CD_.wvu.PrintTitles" hidden="1">#REF!</definedName>
    <definedName name="Z_C9FB2A79_5C56_11D3_AD66_0050040A13CD_.wvu.PrintArea" hidden="1">#REF!</definedName>
    <definedName name="Z_C9FB2A79_5C56_11D3_AD66_0050040A13CD_.wvu.PrintTitles" hidden="1">#REF!</definedName>
    <definedName name="Z_D782F750_C0FB_11D2_B941_0050040AC228_.wvu.FilterData" hidden="1">#REF!</definedName>
    <definedName name="Z_DC379DF6_BBB3_11D2_B93F_0050040AC228_.wvu.FilterData" hidden="1">#REF!</definedName>
    <definedName name="Z_ED7DF65E_BB85_11D2_B93F_0050040AC228_.wvu.FilterData" hidden="1">#REF!</definedName>
    <definedName name="Z_F14718EE_5AC2_11D3_AD63_0050040A13CD_.wvu.PrintArea" hidden="1">#REF!</definedName>
    <definedName name="Z_F14718EF_5AC2_11D3_AD63_0050040A13CD_.wvu.PrintArea" hidden="1">#REF!</definedName>
    <definedName name="Z_F14718F1_5AC2_11D3_AD63_0050040A13CD_.wvu.PrintArea" hidden="1">#REF!</definedName>
    <definedName name="Z_F14718F2_5AC2_11D3_AD63_0050040A13CD_.wvu.PrintArea" hidden="1">#REF!</definedName>
    <definedName name="Z_F14718F3_5AC2_11D3_AD63_0050040A13CD_.wvu.PrintArea" hidden="1">#REF!</definedName>
    <definedName name="Z_F14718F5_5AC2_11D3_AD63_0050040A13CD_.wvu.PrintArea" hidden="1">#REF!</definedName>
    <definedName name="Z_F1471909_5AC2_11D3_AD63_0050040A13CD_.wvu.PrintArea" hidden="1">#REF!</definedName>
    <definedName name="Z_F1471909_5AC2_11D3_AD63_0050040A13CD_.wvu.PrintTitles" hidden="1">#REF!</definedName>
    <definedName name="Z_F147190A_5AC2_11D3_AD63_0050040A13CD_.wvu.PrintArea" hidden="1">#REF!</definedName>
    <definedName name="Z_F147190A_5AC2_11D3_AD63_0050040A13CD_.wvu.PrintTitles" hidden="1">#REF!</definedName>
    <definedName name="Z_F147190C_5AC2_11D3_AD63_0050040A13CD_.wvu.PrintArea" hidden="1">#REF!</definedName>
    <definedName name="Z_F147190C_5AC2_11D3_AD63_0050040A13CD_.wvu.PrintTitles" hidden="1">#REF!</definedName>
    <definedName name="Z_F147190D_5AC2_11D3_AD63_0050040A13CD_.wvu.PrintArea" hidden="1">#REF!</definedName>
    <definedName name="Z_F147190D_5AC2_11D3_AD63_0050040A13CD_.wvu.PrintTitles" hidden="1">#REF!</definedName>
    <definedName name="Z_F147190E_5AC2_11D3_AD63_0050040A13CD_.wvu.PrintArea" hidden="1">#REF!</definedName>
    <definedName name="Z_F147190E_5AC2_11D3_AD63_0050040A13CD_.wvu.PrintTitles" hidden="1">#REF!</definedName>
    <definedName name="Z_F1471910_5AC2_11D3_AD63_0050040A13CD_.wvu.PrintArea" hidden="1">#REF!</definedName>
    <definedName name="Z_F1471910_5AC2_11D3_AD63_0050040A13CD_.wvu.PrintTitles" hidden="1">#REF!</definedName>
    <definedName name="Z_F1471912_5AC2_11D3_AD63_0050040A13CD_.wvu.PrintArea" hidden="1">#REF!</definedName>
    <definedName name="Z_F1471912_5AC2_11D3_AD63_0050040A13CD_.wvu.PrintTitles" hidden="1">#REF!</definedName>
    <definedName name="Z_F1471913_5AC2_11D3_AD63_0050040A13CD_.wvu.PrintArea" hidden="1">#REF!</definedName>
    <definedName name="Z_F1471913_5AC2_11D3_AD63_0050040A13CD_.wvu.PrintTitles" hidden="1">#REF!</definedName>
    <definedName name="Z_F1471915_5AC2_11D3_AD63_0050040A13CD_.wvu.PrintArea" hidden="1">#REF!</definedName>
    <definedName name="Z_F1471915_5AC2_11D3_AD63_0050040A13CD_.wvu.PrintTitles" hidden="1">#REF!</definedName>
    <definedName name="Z_F1471916_5AC2_11D3_AD63_0050040A13CD_.wvu.PrintArea" hidden="1">#REF!</definedName>
    <definedName name="Z_F1471916_5AC2_11D3_AD63_0050040A13CD_.wvu.PrintTitles" hidden="1">#REF!</definedName>
    <definedName name="Z_F1471917_5AC2_11D3_AD63_0050040A13CD_.wvu.PrintArea" hidden="1">#REF!</definedName>
    <definedName name="Z_F1471917_5AC2_11D3_AD63_0050040A13CD_.wvu.PrintTitles" hidden="1">#REF!</definedName>
    <definedName name="Z_F1471919_5AC2_11D3_AD63_0050040A13CD_.wvu.PrintArea" hidden="1">#REF!</definedName>
    <definedName name="Z_F1471919_5AC2_11D3_AD63_0050040A13CD_.wvu.PrintTitles" hidden="1">#REF!</definedName>
  </definedNames>
  <calcPr calcId="191029"/>
  <customWorkbookViews>
    <customWorkbookView name="Umar Farooq - Personal View" guid="{FBCD6899-532B-4AFD-99BD-47DFDB245E8D}" mergeInterval="0" personalView="1" maximized="1" xWindow="-8" yWindow="-8" windowWidth="1936" windowHeight="1048" activeSheetId="1"/>
    <customWorkbookView name="Neha Gupta - Personal View" guid="{D4336933-DA42-43D4-A7B5-0168A2F12F51}" mergeInterval="0" personalView="1" maximized="1" xWindow="-8" yWindow="-8" windowWidth="1936" windowHeight="1048" activeSheetId="1"/>
  </customWorkbookViews>
  <pivotCaches>
    <pivotCache cacheId="1" r:id="rId12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3" i="32" l="1"/>
  <c r="I4" i="26" l="1"/>
  <c r="I5" i="26"/>
  <c r="I3" i="26"/>
  <c r="K66" i="8" l="1"/>
  <c r="K67" i="8"/>
  <c r="K68" i="8"/>
  <c r="K69" i="8"/>
  <c r="K70" i="8"/>
  <c r="K71" i="8"/>
  <c r="K72" i="8"/>
  <c r="O4" i="8"/>
  <c r="O5" i="8" s="1"/>
  <c r="O6" i="8" s="1"/>
  <c r="O7" i="8" s="1"/>
  <c r="O8" i="8" s="1"/>
  <c r="O9" i="8" s="1"/>
  <c r="O10" i="8" s="1"/>
  <c r="O11" i="8" s="1"/>
  <c r="O12" i="8" s="1"/>
  <c r="O13" i="8" s="1"/>
  <c r="O14" i="8" s="1"/>
  <c r="O15" i="8" s="1"/>
  <c r="O16" i="8" s="1"/>
  <c r="O17" i="8" s="1"/>
  <c r="O18" i="8" s="1"/>
  <c r="O19" i="8" s="1"/>
  <c r="O20" i="8" s="1"/>
  <c r="O21" i="8" s="1"/>
  <c r="O22" i="8" s="1"/>
  <c r="O23" i="8" s="1"/>
  <c r="O24" i="8" s="1"/>
  <c r="O25" i="8" s="1"/>
  <c r="O26" i="8" s="1"/>
  <c r="O27" i="8" s="1"/>
  <c r="O28" i="8" s="1"/>
  <c r="O29" i="8" s="1"/>
  <c r="O30" i="8" s="1"/>
  <c r="O31" i="8" s="1"/>
  <c r="O32" i="8" s="1"/>
  <c r="O33" i="8" s="1"/>
  <c r="O34" i="8" s="1"/>
  <c r="O35" i="8" s="1"/>
  <c r="O36" i="8" s="1"/>
  <c r="O37" i="8" s="1"/>
  <c r="O38" i="8" s="1"/>
  <c r="O39" i="8" s="1"/>
  <c r="O40" i="8" s="1"/>
  <c r="O41" i="8" s="1"/>
  <c r="O42" i="8" s="1"/>
  <c r="O43" i="8" s="1"/>
  <c r="O44" i="8" s="1"/>
  <c r="O45" i="8" s="1"/>
  <c r="O46" i="8" s="1"/>
  <c r="O47" i="8" s="1"/>
  <c r="O48" i="8" s="1"/>
  <c r="O49" i="8" s="1"/>
  <c r="O50" i="8" s="1"/>
  <c r="O51" i="8" s="1"/>
  <c r="O52" i="8" s="1"/>
  <c r="O53" i="8" s="1"/>
  <c r="O54" i="8" s="1"/>
  <c r="O55" i="8" s="1"/>
  <c r="O56" i="8" s="1"/>
  <c r="O57" i="8" s="1"/>
  <c r="O58" i="8" s="1"/>
  <c r="O59" i="8" s="1"/>
  <c r="O60" i="8" s="1"/>
  <c r="O61" i="8" s="1"/>
  <c r="O62" i="8" s="1"/>
  <c r="O63" i="8" s="1"/>
  <c r="O64" i="8" s="1"/>
  <c r="O65" i="8" s="1"/>
  <c r="O66" i="8" s="1"/>
  <c r="O67" i="8" s="1"/>
  <c r="O68" i="8" s="1"/>
  <c r="O69" i="8" s="1"/>
  <c r="O70" i="8" s="1"/>
  <c r="O71" i="8" s="1"/>
  <c r="B5" i="8" l="1" a="1"/>
  <c r="B5" i="8" l="1"/>
  <c r="K5" i="8" s="1"/>
  <c r="K16" i="8"/>
  <c r="K26" i="8"/>
  <c r="K36" i="8"/>
  <c r="K44" i="8"/>
  <c r="K53" i="8"/>
  <c r="K63" i="8"/>
  <c r="K27" i="8"/>
  <c r="K37" i="8"/>
  <c r="K45" i="8"/>
  <c r="K54" i="8"/>
  <c r="K64" i="8"/>
  <c r="K6" i="8"/>
  <c r="K17" i="8"/>
  <c r="K28" i="8"/>
  <c r="K55" i="8"/>
  <c r="K7" i="8"/>
  <c r="K18" i="8"/>
  <c r="K29" i="8"/>
  <c r="K46" i="8"/>
  <c r="K56" i="8"/>
  <c r="K8" i="8"/>
  <c r="K19" i="8"/>
  <c r="K30" i="8"/>
  <c r="K38" i="8"/>
  <c r="K47" i="8"/>
  <c r="K57" i="8"/>
  <c r="K9" i="8"/>
  <c r="K31" i="8"/>
  <c r="K39" i="8"/>
  <c r="K48" i="8"/>
  <c r="K58" i="8"/>
  <c r="K10" i="8"/>
  <c r="K21" i="8"/>
  <c r="K32" i="8"/>
  <c r="K40" i="8"/>
  <c r="K59" i="8"/>
  <c r="K65" i="8"/>
  <c r="K11" i="8"/>
  <c r="K22" i="8"/>
  <c r="K33" i="8"/>
  <c r="K41" i="8"/>
  <c r="K49" i="8"/>
  <c r="K60" i="8"/>
  <c r="K20" i="8"/>
  <c r="K13" i="8"/>
  <c r="K14" i="8"/>
  <c r="K42" i="8"/>
  <c r="K15" i="8"/>
  <c r="K43" i="8"/>
  <c r="K23" i="8"/>
  <c r="K50" i="8"/>
  <c r="K51" i="8"/>
  <c r="K24" i="8"/>
  <c r="K52" i="8"/>
  <c r="K25" i="8"/>
  <c r="K34" i="8"/>
  <c r="K61" i="8"/>
  <c r="K62" i="8"/>
  <c r="K35" i="8"/>
  <c r="K12" i="8"/>
  <c r="D2" i="8" l="1"/>
  <c r="B75" i="8"/>
  <c r="B74" i="8"/>
  <c r="B73" i="8"/>
  <c r="B72" i="8"/>
  <c r="B71" i="8"/>
  <c r="B70" i="8"/>
  <c r="B69" i="8"/>
  <c r="B68" i="8"/>
  <c r="B67" i="8"/>
  <c r="B66" i="8"/>
  <c r="B65" i="8"/>
  <c r="B64" i="8"/>
  <c r="B63" i="8"/>
  <c r="B62" i="8"/>
  <c r="B61" i="8"/>
  <c r="B60" i="8"/>
  <c r="B59" i="8"/>
  <c r="B58" i="8"/>
  <c r="B57" i="8"/>
  <c r="B56" i="8"/>
  <c r="B55" i="8"/>
  <c r="B54" i="8"/>
  <c r="B53" i="8"/>
  <c r="B52" i="8"/>
  <c r="B51" i="8"/>
  <c r="B50" i="8"/>
  <c r="B49" i="8"/>
  <c r="B48" i="8"/>
  <c r="B47" i="8"/>
  <c r="B46" i="8"/>
  <c r="B45" i="8"/>
  <c r="B44" i="8"/>
  <c r="B43" i="8"/>
  <c r="B42" i="8"/>
  <c r="B41" i="8"/>
  <c r="B40" i="8"/>
  <c r="B39" i="8"/>
  <c r="B38" i="8"/>
  <c r="B37" i="8"/>
  <c r="B36" i="8"/>
  <c r="B35" i="8"/>
  <c r="B34" i="8"/>
  <c r="B33" i="8"/>
  <c r="B32" i="8"/>
  <c r="B31" i="8"/>
  <c r="B30" i="8"/>
  <c r="B29" i="8"/>
  <c r="B28" i="8"/>
  <c r="B27" i="8"/>
  <c r="B26" i="8"/>
  <c r="B25" i="8"/>
  <c r="B24" i="8"/>
  <c r="B23" i="8"/>
  <c r="B22" i="8"/>
  <c r="B21" i="8"/>
  <c r="B20" i="8"/>
  <c r="B19" i="8"/>
  <c r="B18" i="8"/>
  <c r="B17" i="8"/>
  <c r="B16" i="8"/>
  <c r="B15" i="8"/>
  <c r="B14" i="8"/>
  <c r="B13" i="8"/>
  <c r="B12" i="8"/>
  <c r="B11" i="8"/>
  <c r="B10" i="8"/>
  <c r="B9" i="8"/>
  <c r="B8" i="8"/>
  <c r="B7" i="8"/>
  <c r="B6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Sumit P</author>
  </authors>
  <commentList>
    <comment ref="B5" authorId="0" shapeId="0" xr:uid="{AB7E0155-2A5E-4BA4-8437-6D62E1114042}">
      <text>
        <r>
          <rPr>
            <sz val="9"/>
            <color indexed="81"/>
            <rFont val="Tahoma"/>
            <family val="2"/>
          </rPr>
          <t>Dropdown basis the # rent roll (tenant marked as yes)
Searchable filter should be provisioned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2001183-194B-46F0-81D6-A58E529AE756}" keepAlive="1" name="Query - Keywords_Mapping" description="Connection to the 'Keywords_Mapping' query in the workbook." type="5" refreshedVersion="8" background="1" saveData="1">
    <dbPr connection="Provider=Microsoft.Mashup.OleDb.1;Data Source=$Workbook$;Location=Keywords_Mapping;Extended Properties=&quot;&quot;" command="SELECT * FROM [Keywords_Mapping]"/>
  </connection>
  <connection id="2" xr16:uid="{EC5A6C71-9113-4DF2-931A-9428EAE3976D}" keepAlive="1" name="Query - Output_Type" description="Connection to the 'Output_Type' query in the workbook." type="5" refreshedVersion="8" background="1" saveData="1">
    <dbPr connection="Provider=Microsoft.Mashup.OleDb.1;Data Source=$Workbook$;Location=Output_Type;Extended Properties=&quot;&quot;" command="SELECT * FROM [Output_Type]"/>
  </connection>
  <connection id="3" xr16:uid="{C596277B-5EDA-4549-A0D1-4F762CF93F87}" keepAlive="1" name="Query - Property_Type" description="Connection to the 'Property_Type' query in the workbook." type="5" refreshedVersion="8" background="1" saveData="1">
    <dbPr connection="Provider=Microsoft.Mashup.OleDb.1;Data Source=$Workbook$;Location=Property_Type;Extended Properties=&quot;&quot;" command="SELECT * FROM [Property_Type]"/>
  </connection>
</connections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<sst xmlns="http://schemas.openxmlformats.org/spreadsheetml/2006/main" count="6186" uniqueCount="1641">
  <si>
    <t>Lease Fields</t>
  </si>
  <si>
    <t>Office</t>
  </si>
  <si>
    <t>Retail</t>
  </si>
  <si>
    <t xml:space="preserve">Admin Fee </t>
  </si>
  <si>
    <t xml:space="preserve">Allowance </t>
  </si>
  <si>
    <t xml:space="preserve">Alteration </t>
  </si>
  <si>
    <t xml:space="preserve">Annual Base Rent </t>
  </si>
  <si>
    <t xml:space="preserve">Assignment and Subletting </t>
  </si>
  <si>
    <t xml:space="preserve">Building </t>
  </si>
  <si>
    <t>Base Year</t>
  </si>
  <si>
    <t xml:space="preserve">CAM </t>
  </si>
  <si>
    <t>CAM Inclusion</t>
  </si>
  <si>
    <t>CAM Exclusion</t>
  </si>
  <si>
    <t xml:space="preserve">Caps on CAM </t>
  </si>
  <si>
    <t xml:space="preserve">Casualty </t>
  </si>
  <si>
    <t xml:space="preserve">Compliance with Laws </t>
  </si>
  <si>
    <t xml:space="preserve">Condemnation </t>
  </si>
  <si>
    <t xml:space="preserve">Continuous Operation </t>
  </si>
  <si>
    <t xml:space="preserve">Contraction Option </t>
  </si>
  <si>
    <t xml:space="preserve">Co-Tenancy </t>
  </si>
  <si>
    <t xml:space="preserve">Monetary Default </t>
  </si>
  <si>
    <t>Non-Monetary Default</t>
  </si>
  <si>
    <t>Exclusive Use</t>
  </si>
  <si>
    <t xml:space="preserve">Force Majeure </t>
  </si>
  <si>
    <t xml:space="preserve">Future Rent Steps </t>
  </si>
  <si>
    <t xml:space="preserve">Go-Dark </t>
  </si>
  <si>
    <t xml:space="preserve">Grease Trap </t>
  </si>
  <si>
    <t xml:space="preserve">Gross-up </t>
  </si>
  <si>
    <t xml:space="preserve">Hazardous Materials </t>
  </si>
  <si>
    <t xml:space="preserve">Holdover </t>
  </si>
  <si>
    <t xml:space="preserve">Insurance </t>
  </si>
  <si>
    <t xml:space="preserve">Lease Guarantor </t>
  </si>
  <si>
    <t xml:space="preserve">Lease Term (yrs.) </t>
  </si>
  <si>
    <t xml:space="preserve">Leased RSF </t>
  </si>
  <si>
    <t xml:space="preserve">Limitation of Landlord's Liability </t>
  </si>
  <si>
    <t xml:space="preserve">Landlord Indemnification </t>
  </si>
  <si>
    <t xml:space="preserve">Landlord's Recapture Rights </t>
  </si>
  <si>
    <t xml:space="preserve">Mgmt. Fee </t>
  </si>
  <si>
    <t xml:space="preserve">Most Recent Lease Start </t>
  </si>
  <si>
    <t xml:space="preserve">Most Recent Lease Start Base Rent </t>
  </si>
  <si>
    <t xml:space="preserve">Original Annual Base Rent </t>
  </si>
  <si>
    <t xml:space="preserve">Parking </t>
  </si>
  <si>
    <t xml:space="preserve">Permitted Use </t>
  </si>
  <si>
    <t xml:space="preserve">Pro Rata % </t>
  </si>
  <si>
    <t xml:space="preserve">Prohibited Use </t>
  </si>
  <si>
    <t xml:space="preserve">Proposition 13 Protection </t>
  </si>
  <si>
    <t xml:space="preserve">Purchase Option </t>
  </si>
  <si>
    <t xml:space="preserve">RE Taxes </t>
  </si>
  <si>
    <t xml:space="preserve">Relocation </t>
  </si>
  <si>
    <t xml:space="preserve">Renewal Options </t>
  </si>
  <si>
    <t xml:space="preserve">Repair and Maintenance </t>
  </si>
  <si>
    <t xml:space="preserve">Reporting of Financial Information </t>
  </si>
  <si>
    <t xml:space="preserve">Reporting of Gross Sales </t>
  </si>
  <si>
    <t xml:space="preserve">Representation or warranties by LL </t>
  </si>
  <si>
    <t xml:space="preserve">Right of Expansion </t>
  </si>
  <si>
    <t xml:space="preserve">ROFO </t>
  </si>
  <si>
    <t xml:space="preserve">ROFR </t>
  </si>
  <si>
    <t xml:space="preserve">Sales Kick-Out </t>
  </si>
  <si>
    <t xml:space="preserve">Signage </t>
  </si>
  <si>
    <t xml:space="preserve">Subordination </t>
  </si>
  <si>
    <t xml:space="preserve">Suite </t>
  </si>
  <si>
    <t xml:space="preserve">Tenant Name </t>
  </si>
  <si>
    <t xml:space="preserve">Termination Clause </t>
  </si>
  <si>
    <t xml:space="preserve">Utilities </t>
  </si>
  <si>
    <t>Other Income (Exterior Signage/ Storage)</t>
  </si>
  <si>
    <t>Percentage Rent</t>
  </si>
  <si>
    <t>Breakpoint</t>
  </si>
  <si>
    <t>Marketing</t>
  </si>
  <si>
    <t>Security Deposit</t>
  </si>
  <si>
    <t>Bankruptcy</t>
  </si>
  <si>
    <t>Property Address</t>
  </si>
  <si>
    <t>Lease Date</t>
  </si>
  <si>
    <t>Prepaid/Last Month rent</t>
  </si>
  <si>
    <t xml:space="preserve">AC Repair </t>
  </si>
  <si>
    <t>Late Fee Structure</t>
  </si>
  <si>
    <t>Pre-Renewal Annual Rent</t>
  </si>
  <si>
    <t>Landlord Name</t>
  </si>
  <si>
    <t>Trade Name</t>
  </si>
  <si>
    <t>Lease Year</t>
  </si>
  <si>
    <t>Net Lease</t>
  </si>
  <si>
    <t>Estoppel</t>
  </si>
  <si>
    <t>Vault Space</t>
  </si>
  <si>
    <t>Broker Commission</t>
  </si>
  <si>
    <t>Merchant Association</t>
  </si>
  <si>
    <t>Taxes on rent</t>
  </si>
  <si>
    <t>Tenant share Denominator</t>
  </si>
  <si>
    <t>Radius Restriction</t>
  </si>
  <si>
    <t>Default Interest</t>
  </si>
  <si>
    <t>Tenant Insurance Requirements</t>
  </si>
  <si>
    <t>Building SF</t>
  </si>
  <si>
    <t>Property Manager</t>
  </si>
  <si>
    <t>Tenant Notice Address</t>
  </si>
  <si>
    <t>Term Commencement date</t>
  </si>
  <si>
    <t>Grand Opening Date</t>
  </si>
  <si>
    <t>permits/Other Contingency</t>
  </si>
  <si>
    <t>Outside Delivery dates/ Associated Penalties</t>
  </si>
  <si>
    <t>Parent Company</t>
  </si>
  <si>
    <t>Tenant Corp State</t>
  </si>
  <si>
    <t>Tenant Attention</t>
  </si>
  <si>
    <t>Tenant Location</t>
  </si>
  <si>
    <t>Broker Contact</t>
  </si>
  <si>
    <t>Possession Date</t>
  </si>
  <si>
    <t>Landlord Restriction</t>
  </si>
  <si>
    <t>NSF Fee</t>
  </si>
  <si>
    <t>CPI Adjustment Type</t>
  </si>
  <si>
    <t>Reconciliation</t>
  </si>
  <si>
    <t>Trash Removal</t>
  </si>
  <si>
    <t>Sales Tax</t>
  </si>
  <si>
    <t>Pest Control</t>
  </si>
  <si>
    <t>Tenant required to carry its own insurance for building</t>
  </si>
  <si>
    <t>Subtenant</t>
  </si>
  <si>
    <t>Which of Landlord or Tenants owns the buildings &amp; improvements</t>
  </si>
  <si>
    <t>Self -Insurance</t>
  </si>
  <si>
    <t>Capital Expenditure</t>
  </si>
  <si>
    <t>Is Lease and Amendments signed ?</t>
  </si>
  <si>
    <t>Advertisement</t>
  </si>
  <si>
    <t>kiosk</t>
  </si>
  <si>
    <t>Roof Repair/Replacement</t>
  </si>
  <si>
    <t>Common Electric</t>
  </si>
  <si>
    <t>Water/Sewer</t>
  </si>
  <si>
    <t>Landscaping</t>
  </si>
  <si>
    <t>Cleaning</t>
  </si>
  <si>
    <t>Tenant Indemnification</t>
  </si>
  <si>
    <t>Assignor/Assignee</t>
  </si>
  <si>
    <t>Landlord Demolition Right</t>
  </si>
  <si>
    <t>Base Year Amount</t>
  </si>
  <si>
    <t>Amortized TI</t>
  </si>
  <si>
    <t>Shopping Center Definition/ Area Definition</t>
  </si>
  <si>
    <t>Interest Rate</t>
  </si>
  <si>
    <t>Definition of Anchor Tenant</t>
  </si>
  <si>
    <t>Definition of Major Tenant</t>
  </si>
  <si>
    <t>PRS Inclusion</t>
  </si>
  <si>
    <t>PRS Exclusion</t>
  </si>
  <si>
    <t>Text</t>
  </si>
  <si>
    <t>Industrial</t>
  </si>
  <si>
    <t>Number</t>
  </si>
  <si>
    <t>Building Operating Expenses</t>
  </si>
  <si>
    <t>Operating Expense Payment</t>
  </si>
  <si>
    <t>TI Allowance</t>
  </si>
  <si>
    <t>Expansion Test-Fit Allowance</t>
  </si>
  <si>
    <t>Floor Tenant Allowance</t>
  </si>
  <si>
    <t>Existing Premises Allowance</t>
  </si>
  <si>
    <t>Expansion Premises Allowance</t>
  </si>
  <si>
    <t>Tenant Allowance</t>
  </si>
  <si>
    <t>Tenant Improvement Allowance</t>
  </si>
  <si>
    <t>Improvements/Upgrades</t>
  </si>
  <si>
    <t>Tenant's Work</t>
  </si>
  <si>
    <t>Mezzanine Tenant Improvement Allowance</t>
  </si>
  <si>
    <t>Excess Costs</t>
  </si>
  <si>
    <t>Expansion TI Allowance</t>
  </si>
  <si>
    <t>Construction Allowance</t>
  </si>
  <si>
    <t>T's Improvement Allowances</t>
  </si>
  <si>
    <t>Landlord's Contribution</t>
  </si>
  <si>
    <t>Test Fit Allowance</t>
  </si>
  <si>
    <t>Space Planning Allowance</t>
  </si>
  <si>
    <t>Improvements Allowance</t>
  </si>
  <si>
    <t>Move in Allowance</t>
  </si>
  <si>
    <t>Landlord's Reimbursement</t>
  </si>
  <si>
    <t>Sidewalk and Landscaping Allowance</t>
  </si>
  <si>
    <t>Cost of Work</t>
  </si>
  <si>
    <t>Landlord Funding Commitment</t>
  </si>
  <si>
    <t>Relocation Payment</t>
  </si>
  <si>
    <t>Allowance</t>
  </si>
  <si>
    <t>Landlord's Construction Obligations</t>
  </si>
  <si>
    <t>Tenant's Construction Obligations</t>
  </si>
  <si>
    <t>Tenants Alterations</t>
  </si>
  <si>
    <t>Alteration; Discharge of Lien</t>
  </si>
  <si>
    <t>Repairs and Alterations</t>
  </si>
  <si>
    <t>Alterations or Improvements</t>
  </si>
  <si>
    <t>Structural</t>
  </si>
  <si>
    <t>Ownership of Alterations; Indemnity.</t>
  </si>
  <si>
    <t>Structural Improvements</t>
  </si>
  <si>
    <t>Structural Improvements and Alterations</t>
  </si>
  <si>
    <t>Non-Structural Improvements and Alterations</t>
  </si>
  <si>
    <t>Annual Base Rent</t>
  </si>
  <si>
    <t>Monthly Rental Installment</t>
  </si>
  <si>
    <t>Payment of Base Rent and Additional Rent</t>
  </si>
  <si>
    <t>Annual Rent per Square Feet</t>
  </si>
  <si>
    <t>Basic Monthly Rent</t>
  </si>
  <si>
    <t>Premises Rent Schedule</t>
  </si>
  <si>
    <t>Premises Fixed Rent</t>
  </si>
  <si>
    <t>Base Rent</t>
  </si>
  <si>
    <t>Monthly Installment of Base Rent</t>
  </si>
  <si>
    <t>Expansion Premises Minimum Base Rent</t>
  </si>
  <si>
    <t>Adjustments to Minimum Annual Base Rent; Payment of Additional Costs</t>
  </si>
  <si>
    <t>Minimum Guaranteed Rental</t>
  </si>
  <si>
    <t>Minimum Annual Rent</t>
  </si>
  <si>
    <t>Monthly Basic Rent</t>
  </si>
  <si>
    <t>Annual Sales Base and Monthly Sales Base</t>
  </si>
  <si>
    <t>Monthly Rent</t>
  </si>
  <si>
    <t>Minimum Annual Base Rent</t>
  </si>
  <si>
    <t>License Fee</t>
  </si>
  <si>
    <t>Sublease</t>
  </si>
  <si>
    <t>Assignment, Subletting and Transfers by Tenant</t>
  </si>
  <si>
    <t>Assignment and Subletting</t>
  </si>
  <si>
    <t>Tenant Affiliate</t>
  </si>
  <si>
    <t>Permitted Transfer</t>
  </si>
  <si>
    <t>Assignment and Sublease</t>
  </si>
  <si>
    <t>Assignment, Subletting and  Mortgaging</t>
  </si>
  <si>
    <t>Sublease Additional Rent</t>
  </si>
  <si>
    <t>Tenant Assignment and Subletting</t>
  </si>
  <si>
    <t>Transfer</t>
  </si>
  <si>
    <t>Prime Landlord Consent to Sublease</t>
  </si>
  <si>
    <t>Assignment or Subletting</t>
  </si>
  <si>
    <t>Assignment</t>
  </si>
  <si>
    <t>Assignment, Subletting and Ownership</t>
  </si>
  <si>
    <t>Transfers</t>
  </si>
  <si>
    <t>Tenant Transfers</t>
  </si>
  <si>
    <t>Assignment, Mortgaging and Subletting</t>
  </si>
  <si>
    <t>Building</t>
  </si>
  <si>
    <t>Project</t>
  </si>
  <si>
    <t>Demised Premises</t>
  </si>
  <si>
    <t>Subleased Premises</t>
  </si>
  <si>
    <t>Description</t>
  </si>
  <si>
    <t>Leased Premises</t>
  </si>
  <si>
    <t>Building Name</t>
  </si>
  <si>
    <t>Location</t>
  </si>
  <si>
    <t>Store</t>
  </si>
  <si>
    <t>Land</t>
  </si>
  <si>
    <t>Project Address</t>
  </si>
  <si>
    <t>Property Leased</t>
  </si>
  <si>
    <t>Base Expense</t>
  </si>
  <si>
    <t>Base Imposition</t>
  </si>
  <si>
    <t>Base Expenses</t>
  </si>
  <si>
    <t>Base Taxes</t>
  </si>
  <si>
    <t>Base Tax Year</t>
  </si>
  <si>
    <t>Tenant's tax Year</t>
  </si>
  <si>
    <t>Operating Expenses</t>
  </si>
  <si>
    <t>Additional Rent</t>
  </si>
  <si>
    <t>Payment of Operating Expenses</t>
  </si>
  <si>
    <t>Operating Expense Adjustment</t>
  </si>
  <si>
    <t>CAM Charge</t>
  </si>
  <si>
    <t>CAM Expenses</t>
  </si>
  <si>
    <t>Annual Operating Expense Adjustment</t>
  </si>
  <si>
    <t>Expenses</t>
  </si>
  <si>
    <t>Operating Escalation Amount</t>
  </si>
  <si>
    <t>Property Expenses</t>
  </si>
  <si>
    <t>Reimbursable Expenses</t>
  </si>
  <si>
    <t>Operating Costs</t>
  </si>
  <si>
    <t>Joint Use Areas</t>
  </si>
  <si>
    <t>TICAM</t>
  </si>
  <si>
    <t>Definition of Operating Expenses</t>
  </si>
  <si>
    <t>Costs Included</t>
  </si>
  <si>
    <t>Additional Charges</t>
  </si>
  <si>
    <t>Non-Controllable Expenses</t>
  </si>
  <si>
    <t>Maximum Increase in Operating Expenses</t>
  </si>
  <si>
    <t>Cap on Controllable expenses</t>
  </si>
  <si>
    <t>Controllable Common Area Costs</t>
  </si>
  <si>
    <t>Casualty</t>
  </si>
  <si>
    <t>Damage or Destruction</t>
  </si>
  <si>
    <t>Destruction of Premises</t>
  </si>
  <si>
    <t>Fire</t>
  </si>
  <si>
    <t>Damage</t>
  </si>
  <si>
    <t>Restoration</t>
  </si>
  <si>
    <t>Damage by Casualty</t>
  </si>
  <si>
    <t>Substantial Destruction of the Building</t>
  </si>
  <si>
    <t>Damage and Destruction</t>
  </si>
  <si>
    <t>Partial Destruction of the Building</t>
  </si>
  <si>
    <t>Destruction During Last Two Years of Lease Term</t>
  </si>
  <si>
    <t>Damage by Fire or Other Causes</t>
  </si>
  <si>
    <t>Casualty Damage</t>
  </si>
  <si>
    <t>Damage to Leased Premises</t>
  </si>
  <si>
    <t>Minor Damage</t>
  </si>
  <si>
    <t>Fire and Casualty</t>
  </si>
  <si>
    <t>Environmental Matters</t>
  </si>
  <si>
    <t>Compliance</t>
  </si>
  <si>
    <t>Eminent Domain</t>
  </si>
  <si>
    <t>Landlord’s Condemnation Restoration</t>
  </si>
  <si>
    <t>Condemnation</t>
  </si>
  <si>
    <t>Complete Taking</t>
  </si>
  <si>
    <t>Partial Taking</t>
  </si>
  <si>
    <t>Proceeds</t>
  </si>
  <si>
    <t>Total Condemnation</t>
  </si>
  <si>
    <t>Partial Condemnation</t>
  </si>
  <si>
    <t>Landlord's and Tenant's Damages</t>
  </si>
  <si>
    <t>Conduct of Business</t>
  </si>
  <si>
    <t>Tenant's Conduct of Business</t>
  </si>
  <si>
    <t>Use of Leased Premises</t>
  </si>
  <si>
    <t>Continuous Occupancy</t>
  </si>
  <si>
    <t>Use</t>
  </si>
  <si>
    <t>Contraction</t>
  </si>
  <si>
    <t>Option to Reduce</t>
  </si>
  <si>
    <t>Reduction Option</t>
  </si>
  <si>
    <t>Operating Standards</t>
  </si>
  <si>
    <t>Operating Co-Tenancy</t>
  </si>
  <si>
    <t>Operating Failure</t>
  </si>
  <si>
    <t>Substitute Rent</t>
  </si>
  <si>
    <t>Suitable Replacement</t>
  </si>
  <si>
    <t>Anchors</t>
  </si>
  <si>
    <t>Default</t>
  </si>
  <si>
    <t>Event of Default</t>
  </si>
  <si>
    <t>Default by Tenant</t>
  </si>
  <si>
    <t>Defaults by Tenant</t>
  </si>
  <si>
    <t>Default and Remedy</t>
  </si>
  <si>
    <t>Delinquency Charge</t>
  </si>
  <si>
    <t>Events of Default</t>
  </si>
  <si>
    <t>Default Charge</t>
  </si>
  <si>
    <t>Default, Re-Entry and Damages</t>
  </si>
  <si>
    <t>Re-Entry and Damages</t>
  </si>
  <si>
    <t>Landlord's Right to Cure Defaults</t>
  </si>
  <si>
    <t>Right to Cure Defaults</t>
  </si>
  <si>
    <t>Tenant's Right to Cure Defaults</t>
  </si>
  <si>
    <t>Subtenant Defaults</t>
  </si>
  <si>
    <t>Breach, Insolvency, Re-entry</t>
  </si>
  <si>
    <t>Tenant's failure to pay</t>
  </si>
  <si>
    <t>Event of Bankruptcy</t>
  </si>
  <si>
    <t>Permitted Use</t>
  </si>
  <si>
    <t>Tenant's Exclusive Use</t>
  </si>
  <si>
    <t>Restricted Use</t>
  </si>
  <si>
    <t>Use and Restrictive Covenants</t>
  </si>
  <si>
    <t>Rogue Tenant</t>
  </si>
  <si>
    <t>Monthly Base Rent</t>
  </si>
  <si>
    <t>For the Period</t>
  </si>
  <si>
    <t>Go Dark</t>
  </si>
  <si>
    <t>Continuous Operation</t>
  </si>
  <si>
    <t>Utilities</t>
  </si>
  <si>
    <t>Fully Occupied</t>
  </si>
  <si>
    <t>Occupied</t>
  </si>
  <si>
    <t>Annual Adjustment</t>
  </si>
  <si>
    <t>Hazardous Substances</t>
  </si>
  <si>
    <t>Environmental Reports</t>
  </si>
  <si>
    <t>Environmental Definitions</t>
  </si>
  <si>
    <t>Hazardous Materials</t>
  </si>
  <si>
    <t>Indemnities by Tenant</t>
  </si>
  <si>
    <t>Indemnities by Landlord</t>
  </si>
  <si>
    <t>Tenant Responsibility Regarding environmental Law</t>
  </si>
  <si>
    <t>Environmental Requirements</t>
  </si>
  <si>
    <t>Laws and Ordinances</t>
  </si>
  <si>
    <t>Exculpation of Landlord</t>
  </si>
  <si>
    <t>Handling and Disposal of Hazardous Materials</t>
  </si>
  <si>
    <t>Environmental Activities</t>
  </si>
  <si>
    <t>Hazardous Materials Laws</t>
  </si>
  <si>
    <t>Indemnification of Landlord</t>
  </si>
  <si>
    <t>Environmental</t>
  </si>
  <si>
    <t>month to month</t>
  </si>
  <si>
    <t>Holdover</t>
  </si>
  <si>
    <t>Surrender and Holdover</t>
  </si>
  <si>
    <t>Holding Over</t>
  </si>
  <si>
    <t>Termination or Expiration; Holdover</t>
  </si>
  <si>
    <t>Surrender</t>
  </si>
  <si>
    <t>Surrender of Premises</t>
  </si>
  <si>
    <t>Term</t>
  </si>
  <si>
    <t>Insurance</t>
  </si>
  <si>
    <t>Insurance Expense</t>
  </si>
  <si>
    <t>Reimbursement of Insurance Premiums</t>
  </si>
  <si>
    <t>Landlord’s Insurance</t>
  </si>
  <si>
    <t>Cost of Landlord Maintained Insurance</t>
  </si>
  <si>
    <t>Existing Expiration Date</t>
  </si>
  <si>
    <t>Expiration Date</t>
  </si>
  <si>
    <t>Termination Date</t>
  </si>
  <si>
    <t>Extension Period</t>
  </si>
  <si>
    <t>Sublease Commencement Date</t>
  </si>
  <si>
    <t>Lease Expiration Date</t>
  </si>
  <si>
    <t>Fixed Expiration Date</t>
  </si>
  <si>
    <t>Commencement Date</t>
  </si>
  <si>
    <t>Terminate on</t>
  </si>
  <si>
    <t>Ends on</t>
  </si>
  <si>
    <t>Original Term</t>
  </si>
  <si>
    <t>Initial Term</t>
  </si>
  <si>
    <t>Expiration Date of Term</t>
  </si>
  <si>
    <t>Duration and Commencement</t>
  </si>
  <si>
    <t>Acceptance</t>
  </si>
  <si>
    <t>Tenant's Guarantor</t>
  </si>
  <si>
    <t>Lease Guarantor</t>
  </si>
  <si>
    <t>Guarantor</t>
  </si>
  <si>
    <t>Lease Term</t>
  </si>
  <si>
    <t>Expansion of Existing Premises</t>
  </si>
  <si>
    <t>RSF of the Premises</t>
  </si>
  <si>
    <t>Expansion of Premises</t>
  </si>
  <si>
    <t>Rentable Area</t>
  </si>
  <si>
    <t>Floor Area of Premises</t>
  </si>
  <si>
    <t>Premises</t>
  </si>
  <si>
    <t>Net Rentable Area of Premises</t>
  </si>
  <si>
    <t>Gross Leasable Area</t>
  </si>
  <si>
    <t>GLA</t>
  </si>
  <si>
    <t>square feet</t>
  </si>
  <si>
    <t>Square Footage</t>
  </si>
  <si>
    <t>Dimensions of Demised Premises</t>
  </si>
  <si>
    <t>Recapture for failure to Operate</t>
  </si>
  <si>
    <t>Right of Recapture</t>
  </si>
  <si>
    <t>LL's right of Recapture</t>
  </si>
  <si>
    <t>Failure of Tenant's to Operate its Business</t>
  </si>
  <si>
    <t>Operating Covenant</t>
  </si>
  <si>
    <t>Landlord Recapture Right</t>
  </si>
  <si>
    <t>Upfitting By Tenant</t>
  </si>
  <si>
    <t>Permits Contingency</t>
  </si>
  <si>
    <t>Permit Based Termination</t>
  </si>
  <si>
    <t>Relocation</t>
  </si>
  <si>
    <t>Landlord Limited Right to Recapture Premises</t>
  </si>
  <si>
    <t>Commencing on</t>
  </si>
  <si>
    <t>Expansion Premises Completion Date</t>
  </si>
  <si>
    <t>Commencing</t>
  </si>
  <si>
    <t>Base Rent Commencement Date</t>
  </si>
  <si>
    <t>First Early Access Date</t>
  </si>
  <si>
    <t>Floor Commencement Date</t>
  </si>
  <si>
    <t>Anticipated Delivery Date</t>
  </si>
  <si>
    <t>Leased Premises, Term and Use</t>
  </si>
  <si>
    <t>Expansion Premises Minimum Base Rent Commencement Date</t>
  </si>
  <si>
    <t>Lease Commencement Date</t>
  </si>
  <si>
    <t>Completion Date</t>
  </si>
  <si>
    <t>Substantial Completion; Commencement Date</t>
  </si>
  <si>
    <t>Rent Commencement Date</t>
  </si>
  <si>
    <t>Commences on</t>
  </si>
  <si>
    <t>Commencement Date of Term</t>
  </si>
  <si>
    <t>Delivery of Premises</t>
  </si>
  <si>
    <t>Tenant Contribution</t>
  </si>
  <si>
    <t>Tenant’s Proportionate Share of Operating Expenses</t>
  </si>
  <si>
    <t>Premises Percentage</t>
  </si>
  <si>
    <t>Building Expense Percentage</t>
  </si>
  <si>
    <t>Pro Rata share</t>
  </si>
  <si>
    <t>Tenant's Proportionate Share of Building</t>
  </si>
  <si>
    <t>Tenant's Proportionate Share of Project</t>
  </si>
  <si>
    <t>Tenant's Proportionate Share</t>
  </si>
  <si>
    <t>T's Share</t>
  </si>
  <si>
    <t>Real Estate Taxes</t>
  </si>
  <si>
    <t>Tenant's Share</t>
  </si>
  <si>
    <t>Major Store</t>
  </si>
  <si>
    <t>Majors</t>
  </si>
  <si>
    <t>Major(s)</t>
  </si>
  <si>
    <t>Major Store(s)</t>
  </si>
  <si>
    <t>Major tenants</t>
  </si>
  <si>
    <t>Reconstruction</t>
  </si>
  <si>
    <t>Anchor Store</t>
  </si>
  <si>
    <t>Assignee</t>
  </si>
  <si>
    <t>Demolition</t>
  </si>
  <si>
    <t>Tenant's Tax Payment</t>
  </si>
  <si>
    <t>Expense Stop</t>
  </si>
  <si>
    <t>Anchor(s)</t>
  </si>
  <si>
    <t>Future Construction</t>
  </si>
  <si>
    <t>Anchor Store(s)</t>
  </si>
  <si>
    <t>Landlord's Termination Right</t>
  </si>
  <si>
    <t>Anchor tenants</t>
  </si>
  <si>
    <t>Demolish</t>
  </si>
  <si>
    <t>Year 1 Expenses</t>
  </si>
  <si>
    <t>First Year Expenses</t>
  </si>
  <si>
    <t>Expenses during First Year of the Term</t>
  </si>
  <si>
    <t>Real estate Tax Increase</t>
  </si>
  <si>
    <t>Roof Repairs</t>
  </si>
  <si>
    <t>Landlord</t>
  </si>
  <si>
    <t>Self-Insurance</t>
  </si>
  <si>
    <t>Advertising</t>
  </si>
  <si>
    <t>Self insurance</t>
  </si>
  <si>
    <t>Tenant Name</t>
  </si>
  <si>
    <t>Alterations</t>
  </si>
  <si>
    <t>self-insure</t>
  </si>
  <si>
    <t>Promotion Fund</t>
  </si>
  <si>
    <t>self insure</t>
  </si>
  <si>
    <t>Marketing Fund</t>
  </si>
  <si>
    <t>Initial Promotion Fund</t>
  </si>
  <si>
    <t>Promotional Expense</t>
  </si>
  <si>
    <t>Marketing Expense</t>
  </si>
  <si>
    <t>Direct and Indirect Marketing</t>
  </si>
  <si>
    <t>Property Insurance</t>
  </si>
  <si>
    <t>Building Insurance</t>
  </si>
  <si>
    <t>Sublessee</t>
  </si>
  <si>
    <t>Sub-subtenant</t>
  </si>
  <si>
    <t>Sub-Sublessee</t>
  </si>
  <si>
    <t>Landlord Delivers the Premises to Tenant</t>
  </si>
  <si>
    <t>Effective Date</t>
  </si>
  <si>
    <t>Possession of Premises</t>
  </si>
  <si>
    <t>First above written</t>
  </si>
  <si>
    <t>Restrictive Covenant</t>
  </si>
  <si>
    <t>Use Restriction</t>
  </si>
  <si>
    <t>Commission</t>
  </si>
  <si>
    <t>Date of Possession</t>
  </si>
  <si>
    <t>Lease dated</t>
  </si>
  <si>
    <t>Unlawful Use</t>
  </si>
  <si>
    <t>Leasing Cost</t>
  </si>
  <si>
    <t>Lease date</t>
  </si>
  <si>
    <t>Tenant's Covenants as to Use and Occupancy</t>
  </si>
  <si>
    <t>Leasing Commission</t>
  </si>
  <si>
    <t>Prohibited Use of Premises</t>
  </si>
  <si>
    <t>Original Tenant</t>
  </si>
  <si>
    <t>Tenant</t>
  </si>
  <si>
    <t>Tenant's Trade Name</t>
  </si>
  <si>
    <t>Delivery Date</t>
  </si>
  <si>
    <t>Outside Delivery Date</t>
  </si>
  <si>
    <t>Condition of Demised premises</t>
  </si>
  <si>
    <t>Turnover date</t>
  </si>
  <si>
    <t>Parking Permits</t>
  </si>
  <si>
    <t>Parking Areas</t>
  </si>
  <si>
    <t>Parking</t>
  </si>
  <si>
    <t>Additional Parking</t>
  </si>
  <si>
    <t>Spaces</t>
  </si>
  <si>
    <t>Reserved</t>
  </si>
  <si>
    <t>Use of Demised Premises</t>
  </si>
  <si>
    <t>industrial/warehousing</t>
  </si>
  <si>
    <t>Use and Occupancy</t>
  </si>
  <si>
    <t>Office, warehouse, distribution</t>
  </si>
  <si>
    <t>Covenants of Tenant Regarding Use</t>
  </si>
  <si>
    <t>OCCUPANCY AND USE</t>
  </si>
  <si>
    <t>Use and Compliance</t>
  </si>
  <si>
    <t>Use of Premises</t>
  </si>
  <si>
    <t>Permitted Use of Premises</t>
  </si>
  <si>
    <t>Taxes and Assessments</t>
  </si>
  <si>
    <t>Real Estate Taxes and Insurance</t>
  </si>
  <si>
    <t>Taxes</t>
  </si>
  <si>
    <t>Real Property Tax</t>
  </si>
  <si>
    <t>Right of First Offer to Purchase the Leased Premises</t>
  </si>
  <si>
    <t>Landlord Right</t>
  </si>
  <si>
    <t>Extension option</t>
  </si>
  <si>
    <t>Grant and Exercise of Option</t>
  </si>
  <si>
    <t>Option to extend</t>
  </si>
  <si>
    <t>Option to renew</t>
  </si>
  <si>
    <t>Extensions</t>
  </si>
  <si>
    <t>Option Term</t>
  </si>
  <si>
    <t>Renewal Options</t>
  </si>
  <si>
    <t>Expansion and Renewal Rights of Tenant</t>
  </si>
  <si>
    <t>Renewal Option</t>
  </si>
  <si>
    <t>Option</t>
  </si>
  <si>
    <t>Option period</t>
  </si>
  <si>
    <t>Rental</t>
  </si>
  <si>
    <t>Tenant Maintenance and Repairs</t>
  </si>
  <si>
    <t>Maintenance and Repairs</t>
  </si>
  <si>
    <t>Landlord Maintenance, Repairs and Replacements</t>
  </si>
  <si>
    <t>Tenant Responsibilities</t>
  </si>
  <si>
    <t>Repair and Maintenance of Building</t>
  </si>
  <si>
    <t>Structural Repairs, Roof and Roof Replacement</t>
  </si>
  <si>
    <t>Parking Area Maintenance and Repair; Roof Maintenance and Repair</t>
  </si>
  <si>
    <t>Landlord Maintenance Obligations</t>
  </si>
  <si>
    <t>Landlord Obligations</t>
  </si>
  <si>
    <t>Landlord's Maintenance and Repair Obligations</t>
  </si>
  <si>
    <t>Emergency Repairs by Tenant</t>
  </si>
  <si>
    <t>Dissatisfaction With Services</t>
  </si>
  <si>
    <t>Landlord's Repairs</t>
  </si>
  <si>
    <t>Maintenance and Repair of the Demised Premises</t>
  </si>
  <si>
    <t>REPAIRS; FLOOR LOAD</t>
  </si>
  <si>
    <t>Repairs</t>
  </si>
  <si>
    <t>REPAIRS, MAINTENANCE AND ALTERATIONS</t>
  </si>
  <si>
    <t>Repair and Maintenance of Leased Premises.</t>
  </si>
  <si>
    <t>Tenant Maintenance Obligations</t>
  </si>
  <si>
    <t>Tenant Obligations</t>
  </si>
  <si>
    <t>Tenant's Maintenance and Repair Obligations</t>
  </si>
  <si>
    <t>Tenant's Repairs</t>
  </si>
  <si>
    <t>Tenant's Repairs and Maintenance</t>
  </si>
  <si>
    <t>Responsibility of Landlord</t>
  </si>
  <si>
    <t>Responsibilities of Tenant</t>
  </si>
  <si>
    <t>CONDITION OF DEMISED PREMISES: MAINTENANCE AND REPAIRS</t>
  </si>
  <si>
    <t>Maintenance and Repairs by Tenant</t>
  </si>
  <si>
    <t>Landlord’s Responsibilities</t>
  </si>
  <si>
    <t>Air Conditioning</t>
  </si>
  <si>
    <t>Repairs by Landlord</t>
  </si>
  <si>
    <t>Services and Repair</t>
  </si>
  <si>
    <t>Tenant's Tax Share</t>
  </si>
  <si>
    <t>Merchants Association</t>
  </si>
  <si>
    <t>Lessor</t>
  </si>
  <si>
    <t>Owner</t>
  </si>
  <si>
    <t>Leasehold operator</t>
  </si>
  <si>
    <t>Operator</t>
  </si>
  <si>
    <t>Proprietor</t>
  </si>
  <si>
    <t>Developer</t>
  </si>
  <si>
    <t>HVAC</t>
  </si>
  <si>
    <t>Sales report and records</t>
  </si>
  <si>
    <t>Records and Audits</t>
  </si>
  <si>
    <t>Financial Statements</t>
  </si>
  <si>
    <t>Tenant's Financial Information</t>
  </si>
  <si>
    <t>Financial Information</t>
  </si>
  <si>
    <t>Tenant Financial Information</t>
  </si>
  <si>
    <t>Financial Disclosures</t>
  </si>
  <si>
    <t>Right of First Offer</t>
  </si>
  <si>
    <t>Option to Expand</t>
  </si>
  <si>
    <t>ROFO</t>
  </si>
  <si>
    <t>Security Deposit Reduction</t>
  </si>
  <si>
    <t>Rental Deposit</t>
  </si>
  <si>
    <t>Letter of Credit</t>
  </si>
  <si>
    <t>LOC</t>
  </si>
  <si>
    <t>Offer Space</t>
  </si>
  <si>
    <t>Right of First Refusal</t>
  </si>
  <si>
    <t>ROFR</t>
  </si>
  <si>
    <t>Right of Offer</t>
  </si>
  <si>
    <t>Right of First Offer to Refuse</t>
  </si>
  <si>
    <t>Right of Termination</t>
  </si>
  <si>
    <t>Gross Sales Kickout</t>
  </si>
  <si>
    <t>Mortgage or Sale by Landlord</t>
  </si>
  <si>
    <t>Mortgage and Subordination</t>
  </si>
  <si>
    <t>Subordination to Primary Lease</t>
  </si>
  <si>
    <t>Right to Mortgage</t>
  </si>
  <si>
    <t>SNDA</t>
  </si>
  <si>
    <t>NDA</t>
  </si>
  <si>
    <t>Subordinate</t>
  </si>
  <si>
    <t>Subordination</t>
  </si>
  <si>
    <t>Subordination and Attornment</t>
  </si>
  <si>
    <t>Subordination and Estoppel Certificates</t>
  </si>
  <si>
    <t>Subordination and Non Disturbance</t>
  </si>
  <si>
    <t>Subordination, Attornment and Estoppel Certificate</t>
  </si>
  <si>
    <t>Subordination and Financing</t>
  </si>
  <si>
    <t>Estoppels, Financial, subordination, Attornment</t>
  </si>
  <si>
    <t>Attorn</t>
  </si>
  <si>
    <t>Mortgages and Title</t>
  </si>
  <si>
    <t>Suite Number</t>
  </si>
  <si>
    <t>Unit</t>
  </si>
  <si>
    <t>Space</t>
  </si>
  <si>
    <t>#</t>
  </si>
  <si>
    <t>Units Numbers</t>
  </si>
  <si>
    <t>successor in interest</t>
  </si>
  <si>
    <t>Tenant's Name</t>
  </si>
  <si>
    <t>Parties</t>
  </si>
  <si>
    <t>Business Name</t>
  </si>
  <si>
    <t>Co-Tenancy</t>
  </si>
  <si>
    <t>Option to Terminate</t>
  </si>
  <si>
    <t>Cancellation Option</t>
  </si>
  <si>
    <t>Gas</t>
  </si>
  <si>
    <t>Water</t>
  </si>
  <si>
    <t>Additional Services</t>
  </si>
  <si>
    <t>air conditioning</t>
  </si>
  <si>
    <t>electricity</t>
  </si>
  <si>
    <t>Gas, Water, Heat, Electricity</t>
  </si>
  <si>
    <t>Utilities and Other Building Services</t>
  </si>
  <si>
    <t>Environmental Services</t>
  </si>
  <si>
    <t>Heating, ventilation and air conditioning</t>
  </si>
  <si>
    <t>utility accounts</t>
  </si>
  <si>
    <t>utility</t>
  </si>
  <si>
    <t>Services</t>
  </si>
  <si>
    <t>Utility Bills</t>
  </si>
  <si>
    <t>Percentage Rent Factor</t>
  </si>
  <si>
    <t>Annual Sales Base</t>
  </si>
  <si>
    <t>Sales Base</t>
  </si>
  <si>
    <t>Annual Percentage Rent</t>
  </si>
  <si>
    <t>Natural Breakpoint</t>
  </si>
  <si>
    <t>Fields</t>
  </si>
  <si>
    <t>Rent</t>
  </si>
  <si>
    <t>Promotion</t>
  </si>
  <si>
    <t>Base Year Expenses</t>
  </si>
  <si>
    <t>Total Fields</t>
  </si>
  <si>
    <t>Grand Total</t>
  </si>
  <si>
    <t>Tenant Fund</t>
  </si>
  <si>
    <t>Improvements, Alterations and Renovations by Tenant</t>
  </si>
  <si>
    <t>Common Area Maintenance</t>
  </si>
  <si>
    <t>Operating Expense Inclusion</t>
  </si>
  <si>
    <t>Operating Expense Exclusion</t>
  </si>
  <si>
    <t>Term Extension</t>
  </si>
  <si>
    <t>Substitute Rights</t>
  </si>
  <si>
    <t>Term Start Date</t>
  </si>
  <si>
    <t>Tenancy at will</t>
  </si>
  <si>
    <t>Deposit</t>
  </si>
  <si>
    <t>Advance Deposit</t>
  </si>
  <si>
    <t>Substitute Location</t>
  </si>
  <si>
    <t>Repair Allowance</t>
  </si>
  <si>
    <t>Primary Lease Term</t>
  </si>
  <si>
    <t>Extensions Terms</t>
  </si>
  <si>
    <t>Rights of Termination</t>
  </si>
  <si>
    <t>Assignment, Mortgage</t>
  </si>
  <si>
    <t>Base Operating Year</t>
  </si>
  <si>
    <t>Repairs by Tenant</t>
  </si>
  <si>
    <t>Automobiles and vehicles</t>
  </si>
  <si>
    <t>Work Allowance</t>
  </si>
  <si>
    <t>Tenant's Work Allowance</t>
  </si>
  <si>
    <t>Landlord's Work Allowance</t>
  </si>
  <si>
    <t>Rent Schedule</t>
  </si>
  <si>
    <t>Fire or Casualty</t>
  </si>
  <si>
    <t>Fire and other Casualty</t>
  </si>
  <si>
    <t>Covenant to operate</t>
  </si>
  <si>
    <t>Lease Period</t>
  </si>
  <si>
    <t>Parking Space</t>
  </si>
  <si>
    <t>Services and Utilities</t>
  </si>
  <si>
    <t>Tenant's Proportional share</t>
  </si>
  <si>
    <t>Tenant-Made Alterations and Trade Fixtures</t>
  </si>
  <si>
    <t>Trade Fixtures</t>
  </si>
  <si>
    <t>Tenant's Operating Expense</t>
  </si>
  <si>
    <t>Lessee Remediation</t>
  </si>
  <si>
    <t>Lessee Indemnification</t>
  </si>
  <si>
    <t>No Right to Holdover</t>
  </si>
  <si>
    <t>Option(s) to Extend</t>
  </si>
  <si>
    <t>Lessee's Obligations</t>
  </si>
  <si>
    <t>Lessor's Obligations</t>
  </si>
  <si>
    <t>Subordination of Lease</t>
  </si>
  <si>
    <t>Administrative Charge/Cost</t>
  </si>
  <si>
    <t>Management Fee</t>
  </si>
  <si>
    <t>Property Management Fee</t>
  </si>
  <si>
    <t>Contribution</t>
  </si>
  <si>
    <t>Remodeling</t>
  </si>
  <si>
    <t>Base Rental</t>
  </si>
  <si>
    <t>Gross Rent</t>
  </si>
  <si>
    <t>Expense Stop/Base Year Stop</t>
  </si>
  <si>
    <t>Base Amount</t>
  </si>
  <si>
    <t>Operating Expenditures</t>
  </si>
  <si>
    <t>Operating and Maintenance Expenses</t>
  </si>
  <si>
    <t>Common Area Costs</t>
  </si>
  <si>
    <t>NNN Costs</t>
  </si>
  <si>
    <t>Common Area Costs Inclusion</t>
  </si>
  <si>
    <t>Cumulative basis</t>
  </si>
  <si>
    <t>Destruction/Damage</t>
  </si>
  <si>
    <t>Casualty and Damage</t>
  </si>
  <si>
    <t>Appropriation Clause</t>
  </si>
  <si>
    <t>Expropriation</t>
  </si>
  <si>
    <t>Land Acquisition</t>
  </si>
  <si>
    <t>Operating Covenants</t>
  </si>
  <si>
    <t>Use Requirement</t>
  </si>
  <si>
    <t>Continuous Use</t>
  </si>
  <si>
    <t>Downsizing Clause</t>
  </si>
  <si>
    <t>Partial Termination Clause</t>
  </si>
  <si>
    <t>Ongoing Co-Tenancy</t>
  </si>
  <si>
    <t>Operating covenants</t>
  </si>
  <si>
    <t>Alternate rent</t>
  </si>
  <si>
    <t>Failure to pay</t>
  </si>
  <si>
    <t>Exclusivity</t>
  </si>
  <si>
    <t>Exclusive Right</t>
  </si>
  <si>
    <t>Non-Compete</t>
  </si>
  <si>
    <t>Toxic Substances</t>
  </si>
  <si>
    <t>Environmental Hazards/Materials</t>
  </si>
  <si>
    <t>Management cost</t>
  </si>
  <si>
    <t>Share</t>
  </si>
  <si>
    <t>Fraction</t>
  </si>
  <si>
    <t>Tenant's percentage share</t>
  </si>
  <si>
    <t>Proportionate share</t>
  </si>
  <si>
    <t>Option to Buy / Option to Purchase</t>
  </si>
  <si>
    <t>Relocate</t>
  </si>
  <si>
    <t>Additional Space</t>
  </si>
  <si>
    <t>Refusal</t>
  </si>
  <si>
    <t>Gross Sales Termination</t>
  </si>
  <si>
    <t>Right to Cancel</t>
  </si>
  <si>
    <t>Subordination to Master Lease</t>
  </si>
  <si>
    <t>Attornment</t>
  </si>
  <si>
    <t>Lessee</t>
  </si>
  <si>
    <t>Lessee's Trade Name</t>
  </si>
  <si>
    <t>Termination Option</t>
  </si>
  <si>
    <t>Tenant's Termination Option</t>
  </si>
  <si>
    <t>Lessee's Termination Option</t>
  </si>
  <si>
    <t>Right to Terminate</t>
  </si>
  <si>
    <t>Signage Fee</t>
  </si>
  <si>
    <t>Signage Rent</t>
  </si>
  <si>
    <t>Pylon signage</t>
  </si>
  <si>
    <t>Turnover Rent</t>
  </si>
  <si>
    <t>Threshold</t>
  </si>
  <si>
    <t>Rent deposit</t>
  </si>
  <si>
    <t>Basic Rent</t>
  </si>
  <si>
    <t>Agreement dated</t>
  </si>
  <si>
    <t>Date of Agreement</t>
  </si>
  <si>
    <t>Leasable floor Area</t>
  </si>
  <si>
    <t>Outside Possession Date</t>
  </si>
  <si>
    <t>Outside Closing Date</t>
  </si>
  <si>
    <t>Move-in Date</t>
  </si>
  <si>
    <t>Delivery of Possession Date</t>
  </si>
  <si>
    <t>Occupancy Date</t>
  </si>
  <si>
    <t>CC&amp;Rs (Covenants, Conditions, and Restrictions)</t>
  </si>
  <si>
    <t>Restrictive Use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</si>
  <si>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</si>
  <si>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</si>
  <si>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</si>
  <si>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</si>
  <si>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</si>
  <si>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</si>
  <si>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</si>
  <si>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</si>
  <si>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</si>
  <si>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</si>
  <si>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</si>
  <si>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</si>
  <si>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</si>
  <si>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</si>
  <si>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Overage Rent</t>
  </si>
  <si>
    <t>Cease</t>
  </si>
  <si>
    <t>Alteration</t>
  </si>
  <si>
    <t>Storage Rent</t>
  </si>
  <si>
    <t>Storage Fee</t>
  </si>
  <si>
    <t>Term Commencement</t>
  </si>
  <si>
    <t>Controllable Expense</t>
  </si>
  <si>
    <t>Right to purchase</t>
  </si>
  <si>
    <t>Extract</t>
  </si>
  <si>
    <t>Output</t>
  </si>
  <si>
    <t>Questions</t>
  </si>
  <si>
    <t>Construction of premises</t>
  </si>
  <si>
    <t>Initial Alterations</t>
  </si>
  <si>
    <t>Property Insurance, Rebuilding and Waiver of Subrogation</t>
  </si>
  <si>
    <t>Rebuilding</t>
  </si>
  <si>
    <t>Tenancy at sufferance</t>
  </si>
  <si>
    <t>Fixed Rental Adjustments</t>
  </si>
  <si>
    <t>Expense Percentage</t>
  </si>
  <si>
    <t>Brokerage Commission</t>
  </si>
  <si>
    <t>Tenant's Insurance</t>
  </si>
  <si>
    <t>Building Services</t>
  </si>
  <si>
    <t>Unperformed Covenants</t>
  </si>
  <si>
    <t>Supplemental Air Conditioning Maintenance</t>
  </si>
  <si>
    <t>Condition Type</t>
  </si>
  <si>
    <t>Priority</t>
  </si>
  <si>
    <t>Current Annual Base Rent</t>
  </si>
  <si>
    <t>Fixed Rent</t>
  </si>
  <si>
    <t>Future Rent Steps</t>
  </si>
  <si>
    <t>CAM</t>
  </si>
  <si>
    <t>Caps on CAM</t>
  </si>
  <si>
    <t>Rent Payments</t>
  </si>
  <si>
    <t>Payment commencing on</t>
  </si>
  <si>
    <t>Original Lease Commencement Date</t>
  </si>
  <si>
    <t>Rent Abatement</t>
  </si>
  <si>
    <t>Type</t>
  </si>
  <si>
    <t>Financial</t>
  </si>
  <si>
    <t>Admin Fee</t>
  </si>
  <si>
    <t>Contraction Option</t>
  </si>
  <si>
    <t>Go-Dark</t>
  </si>
  <si>
    <t>Grease Trap</t>
  </si>
  <si>
    <t>Gross-up</t>
  </si>
  <si>
    <t>Landlord's Recapture Rights</t>
  </si>
  <si>
    <t>Lease Term (yrs.)</t>
  </si>
  <si>
    <t>Leased RSF</t>
  </si>
  <si>
    <t>Mgmt. Fee</t>
  </si>
  <si>
    <t>Monetary Default</t>
  </si>
  <si>
    <t>Most Recent Lease Start</t>
  </si>
  <si>
    <t>Pro Rata %</t>
  </si>
  <si>
    <t>Purchase Option</t>
  </si>
  <si>
    <t>RE Taxes</t>
  </si>
  <si>
    <t>Repair and Maintenance</t>
  </si>
  <si>
    <t>Reporting of Financial Information</t>
  </si>
  <si>
    <t>Reporting of Gross Sales</t>
  </si>
  <si>
    <t>Right of Expansion</t>
  </si>
  <si>
    <t>Sales Kick-Out</t>
  </si>
  <si>
    <t>Suite</t>
  </si>
  <si>
    <t>Row Labels</t>
  </si>
  <si>
    <t>Reimbursement</t>
  </si>
  <si>
    <t>Other Clauses</t>
  </si>
  <si>
    <t>Basic Information</t>
  </si>
  <si>
    <t>Options</t>
  </si>
  <si>
    <t>Defaults</t>
  </si>
  <si>
    <t>Guaranty</t>
  </si>
  <si>
    <t>Shopping Center</t>
  </si>
  <si>
    <t>Guarantee</t>
  </si>
  <si>
    <t>Operating Cost Pass Through</t>
  </si>
  <si>
    <t>Total Base Rent</t>
  </si>
  <si>
    <t>Renovations By Tenant</t>
  </si>
  <si>
    <t>Real Property Taxes</t>
  </si>
  <si>
    <t>Building name</t>
  </si>
  <si>
    <t>Who is the Tenant under the lease?</t>
  </si>
  <si>
    <t>Is Tenant operating under a trade name?</t>
  </si>
  <si>
    <t>Sales Threshold</t>
  </si>
  <si>
    <t>Use Restrictions</t>
  </si>
  <si>
    <t>To investigate</t>
  </si>
  <si>
    <t>Phase 3</t>
  </si>
  <si>
    <t>Merge with LCD</t>
  </si>
  <si>
    <t>Merge with T;s insurance</t>
  </si>
  <si>
    <t>Change with Sublease Provision</t>
  </si>
  <si>
    <t>Merge with T;s ins</t>
  </si>
  <si>
    <t>Change with LL's Termintion</t>
  </si>
  <si>
    <t>Merge with PRS</t>
  </si>
  <si>
    <t>Phase 2</t>
  </si>
  <si>
    <t>Sublease Provision</t>
  </si>
  <si>
    <t>Tenant Termination</t>
  </si>
  <si>
    <t>Landlord Termination</t>
  </si>
  <si>
    <t>Future Expansion Tenant Improvement Work</t>
  </si>
  <si>
    <t>Annual Basic Rent</t>
  </si>
  <si>
    <t>Assignment, Subletting, Mortgage, etc.</t>
  </si>
  <si>
    <t>Assignment, Subletting, and Mortgaging by Tenant</t>
  </si>
  <si>
    <t>Assignment or Sublease</t>
  </si>
  <si>
    <t>Description of Premises</t>
  </si>
  <si>
    <t>Kegal Description</t>
  </si>
  <si>
    <t>Located at</t>
  </si>
  <si>
    <t>Building Address</t>
  </si>
  <si>
    <t>increases over base year</t>
  </si>
  <si>
    <t>Operating Expenses means</t>
  </si>
  <si>
    <t>Building Operating Expenses means</t>
  </si>
  <si>
    <t>CAM Charge means</t>
  </si>
  <si>
    <t>CAM Expenses means</t>
  </si>
  <si>
    <t>Expenses means</t>
  </si>
  <si>
    <t>Operating Escalation Amount consists of</t>
  </si>
  <si>
    <t>Operating Expense Payment means</t>
  </si>
  <si>
    <t>Property Expenses means</t>
  </si>
  <si>
    <t>Reimbursable Expenses means</t>
  </si>
  <si>
    <t>Operating Costs means</t>
  </si>
  <si>
    <t>Joint Use Areas means</t>
  </si>
  <si>
    <t>TICAM means</t>
  </si>
  <si>
    <t>Definition of Operating Expenses includes</t>
  </si>
  <si>
    <t>Additional Charges means</t>
  </si>
  <si>
    <t>Common Area consists of</t>
  </si>
  <si>
    <t>Tenant's Operating Expense means</t>
  </si>
  <si>
    <t>Operating Expenses includes</t>
  </si>
  <si>
    <t>Building Operating Expenses includes</t>
  </si>
  <si>
    <t>CAM Charge includes</t>
  </si>
  <si>
    <t>CAM Expenses includes</t>
  </si>
  <si>
    <t>Expenses includes</t>
  </si>
  <si>
    <t>Operating Expense Payment includes</t>
  </si>
  <si>
    <t>Property Expenses includes</t>
  </si>
  <si>
    <t>Reimbursable Expenses includes</t>
  </si>
  <si>
    <t>Operating Costs includes</t>
  </si>
  <si>
    <t>Joint Use Areas includes</t>
  </si>
  <si>
    <t>TICAM includes</t>
  </si>
  <si>
    <t>Additional Charges includes</t>
  </si>
  <si>
    <t>Tenant's Operating Expense includes</t>
  </si>
  <si>
    <t>Operating Expenses consists of</t>
  </si>
  <si>
    <t>Building Operating Expenses consists of</t>
  </si>
  <si>
    <t>CAM Charge consists of</t>
  </si>
  <si>
    <t>CAM Expenses consists of</t>
  </si>
  <si>
    <t>Expenses consists of</t>
  </si>
  <si>
    <t>Operating Expense Payment consists of</t>
  </si>
  <si>
    <t>Property Expenses consists of</t>
  </si>
  <si>
    <t>Reimbursable Expenses consists of</t>
  </si>
  <si>
    <t>Operating Costs consists of</t>
  </si>
  <si>
    <t>Joint Use Areas consists of</t>
  </si>
  <si>
    <t>TICAM consists of</t>
  </si>
  <si>
    <t>Additional Charges consists of</t>
  </si>
  <si>
    <t>Tenant's Operating Expense consists of</t>
  </si>
  <si>
    <t>Operating Expenses exclude</t>
  </si>
  <si>
    <t>Additional Rent exclude</t>
  </si>
  <si>
    <t>Payment of Operating Expenses exclude</t>
  </si>
  <si>
    <t>Operating Expense Adjustment exclude</t>
  </si>
  <si>
    <t>Building Operating Expenses exclude</t>
  </si>
  <si>
    <t>CAM Charge exclude</t>
  </si>
  <si>
    <t>CAM Expenses exclude</t>
  </si>
  <si>
    <t>Annual Operating Expense Adjustment exclude</t>
  </si>
  <si>
    <t>Expenses exclude</t>
  </si>
  <si>
    <t>Operating Escalation Amount exclude</t>
  </si>
  <si>
    <t>Property Expenses exclude</t>
  </si>
  <si>
    <t>Reimbursable Expenses exclude</t>
  </si>
  <si>
    <t>Operating Costs exclude</t>
  </si>
  <si>
    <t>Joint Use Areas exclude</t>
  </si>
  <si>
    <t>TICAM exclude</t>
  </si>
  <si>
    <t>Operating Cost Pass Through exclude</t>
  </si>
  <si>
    <t>Costs excludes</t>
  </si>
  <si>
    <t>Additional Charges exclude</t>
  </si>
  <si>
    <t>Common Area excludes</t>
  </si>
  <si>
    <t>Tenant's Operating Expense exclude</t>
  </si>
  <si>
    <t>Common Area Costs Exclusion exclude</t>
  </si>
  <si>
    <t>Operating Expense Payment exclude</t>
  </si>
  <si>
    <t>Definition of Operating Expenses exclude</t>
  </si>
  <si>
    <t>Operating Expenses do not include</t>
  </si>
  <si>
    <t>Additional Rent do not include</t>
  </si>
  <si>
    <t>Payment of Operating Expenses do not include</t>
  </si>
  <si>
    <t>Operating Expense Adjustment do not include</t>
  </si>
  <si>
    <t>Building Operating Expenses do not include</t>
  </si>
  <si>
    <t>CAM Charge do not include</t>
  </si>
  <si>
    <t>CAM Expenses do not include</t>
  </si>
  <si>
    <t>Annual Operating Expense Adjustment do not include</t>
  </si>
  <si>
    <t>Expenses do not include</t>
  </si>
  <si>
    <t>Operating Escalation Amount do not include</t>
  </si>
  <si>
    <t>Operating Expense Payment do not include</t>
  </si>
  <si>
    <t>Property Expenses do not include</t>
  </si>
  <si>
    <t>Reimbursable Expenses do not include</t>
  </si>
  <si>
    <t>Operating Costs do not include</t>
  </si>
  <si>
    <t>Joint Use Areas do not include</t>
  </si>
  <si>
    <t>TICAM do not include</t>
  </si>
  <si>
    <t>Operating Cost Pass Through do not include</t>
  </si>
  <si>
    <t>Definition of Operating Expenses do not include</t>
  </si>
  <si>
    <t>Costs do not includes</t>
  </si>
  <si>
    <t>Additional Charges do not include</t>
  </si>
  <si>
    <t>Tenant's Operating Expense do not include</t>
  </si>
  <si>
    <t>Common Area Costs Exclusion do not include</t>
  </si>
  <si>
    <t>CAM Cap</t>
  </si>
  <si>
    <t>expenses capped at</t>
  </si>
  <si>
    <t>Operating expenses not to increase by</t>
  </si>
  <si>
    <t>Property and Casualty Damage</t>
  </si>
  <si>
    <t>Destruction by Fire or Other Clause</t>
  </si>
  <si>
    <t>Destruction of the Leased Premises</t>
  </si>
  <si>
    <t>Indemnity and Risk of Injury, Loss and Damage</t>
  </si>
  <si>
    <t>Damage and Restoration</t>
  </si>
  <si>
    <t>Fre Requirement</t>
  </si>
  <si>
    <t>Public or quasi-public</t>
  </si>
  <si>
    <t>Continuously and uninterruptedly operate</t>
  </si>
  <si>
    <t>Continuously conduct</t>
  </si>
  <si>
    <t>Co-Tenants</t>
  </si>
  <si>
    <t>Co-tenancy failure</t>
  </si>
  <si>
    <t>Small Shop Operating</t>
  </si>
  <si>
    <t>Anchor Failure</t>
  </si>
  <si>
    <t>Remedies and Damages</t>
  </si>
  <si>
    <t>Fees and Expenses</t>
  </si>
  <si>
    <t>Defaults and Remedies</t>
  </si>
  <si>
    <t>Default by Landlord and Remedies of Tenant</t>
  </si>
  <si>
    <t>Remedie</t>
  </si>
  <si>
    <t>Landlord shall not to lease</t>
  </si>
  <si>
    <t>Landlord agrees not to lease</t>
  </si>
  <si>
    <t>Use Protections</t>
  </si>
  <si>
    <t>Exclusive Violation</t>
  </si>
  <si>
    <t>Occupancy Rate</t>
  </si>
  <si>
    <t>Occupancy Threshold</t>
  </si>
  <si>
    <t>Installment of Base Rent</t>
  </si>
  <si>
    <t>Rent Adjustments</t>
  </si>
  <si>
    <t>Goes Dark</t>
  </si>
  <si>
    <t>Ceased operating</t>
  </si>
  <si>
    <t>Close its operation</t>
  </si>
  <si>
    <t>close business operation</t>
  </si>
  <si>
    <t>Requirements of Law</t>
  </si>
  <si>
    <t>Tenant's responsibility regarding environmental laws and hazardous substances</t>
  </si>
  <si>
    <t>Surrender of Premises and Holdover</t>
  </si>
  <si>
    <t>month to month tenancy</t>
  </si>
  <si>
    <t>Insurance, Property Loss or Damage; Reimbursement</t>
  </si>
  <si>
    <t>Taxes, Insurance Expense, And CAM Charges</t>
  </si>
  <si>
    <t>terminating on</t>
  </si>
  <si>
    <t>Description of the Premises</t>
  </si>
  <si>
    <t>Managing costs</t>
  </si>
  <si>
    <t>Costs of managing</t>
  </si>
  <si>
    <t>Management expenses</t>
  </si>
  <si>
    <t>Cost of managing</t>
  </si>
  <si>
    <t>Managing</t>
  </si>
  <si>
    <t>Extended Term</t>
  </si>
  <si>
    <t>Term extended</t>
  </si>
  <si>
    <t>Expansion Premises Commencement Date</t>
  </si>
  <si>
    <t>Anticipated Commencement Date</t>
  </si>
  <si>
    <t>Estimated Commencement Date</t>
  </si>
  <si>
    <t>Non-Reserved</t>
  </si>
  <si>
    <t>exclusive parking</t>
  </si>
  <si>
    <t>common area parking</t>
  </si>
  <si>
    <t>number of spaces</t>
  </si>
  <si>
    <t>Tenant's Contribution</t>
  </si>
  <si>
    <t>tenants exclude</t>
  </si>
  <si>
    <t>tenants excluding</t>
  </si>
  <si>
    <t>numerator</t>
  </si>
  <si>
    <t>Purchase</t>
  </si>
  <si>
    <t>Right of First Refusal to Purchase</t>
  </si>
  <si>
    <t>Property_Type</t>
  </si>
  <si>
    <t>Output_Type</t>
  </si>
  <si>
    <t>Keywords_Mapping</t>
  </si>
  <si>
    <t>Loss due to Casualty</t>
  </si>
  <si>
    <t>LL's Right to relocate</t>
  </si>
  <si>
    <t>Landlord Right to relocate</t>
  </si>
  <si>
    <t>Right and option to extend the term</t>
  </si>
  <si>
    <t>Landlord's Repairs and Maintenance</t>
  </si>
  <si>
    <t>Critical Clauses</t>
  </si>
  <si>
    <t>Landlord Insurance</t>
  </si>
  <si>
    <t>Admin cost</t>
  </si>
  <si>
    <t>Administrative cost</t>
  </si>
  <si>
    <t>Administrative costs</t>
  </si>
  <si>
    <t>Admin charge</t>
  </si>
  <si>
    <t>admin expenses</t>
  </si>
  <si>
    <t>cost of administration</t>
  </si>
  <si>
    <t>Administrative expenses</t>
  </si>
  <si>
    <t>Audited financial statements</t>
  </si>
  <si>
    <t>Reporting Requirements</t>
  </si>
  <si>
    <t>Sales reports</t>
  </si>
  <si>
    <t>Sales reporting</t>
  </si>
  <si>
    <t>Reporting of sales</t>
  </si>
  <si>
    <t>Gross Sales Reporting</t>
  </si>
  <si>
    <t>Tax Payments</t>
  </si>
  <si>
    <t>Taxes, Insurance Expenses, and CAM Charges</t>
  </si>
  <si>
    <t>Change in Ownership</t>
  </si>
  <si>
    <t>Taxes on sale</t>
  </si>
  <si>
    <t>Tax Obligations</t>
  </si>
  <si>
    <t>Property Taxes</t>
  </si>
  <si>
    <t>Property Tax</t>
  </si>
  <si>
    <t>Expansion Option</t>
  </si>
  <si>
    <t>Right of First Refusal to Lease</t>
  </si>
  <si>
    <t>ROFR to Lease</t>
  </si>
  <si>
    <t>ROFO to Lease</t>
  </si>
  <si>
    <t>Refusal Space</t>
  </si>
  <si>
    <t>Minimum Sales</t>
  </si>
  <si>
    <t>Subordinations and Estoppels</t>
  </si>
  <si>
    <t>Subordination by Tenant</t>
  </si>
  <si>
    <t>Mortgages</t>
  </si>
  <si>
    <t>Taxes, Insurance expenses, and CAM Charges means</t>
  </si>
  <si>
    <t>Operating Cost Pass Through includes</t>
  </si>
  <si>
    <t>Taxes, Insurance expenses, and CAM Charges</t>
  </si>
  <si>
    <t>Taxes, Insurance expenses, and CAM Charges exclude</t>
  </si>
  <si>
    <t>Rental, Personal Property  and Other Taxes</t>
  </si>
  <si>
    <t>Taxes, Insurance expenses, and CAM Charges includes</t>
  </si>
  <si>
    <t>Taxes, Insurance expenses, and CAM Charges do not include</t>
  </si>
  <si>
    <t>Taxes, Insurance expenses, and CAM Charges consists of</t>
  </si>
  <si>
    <t>Supervision fee</t>
  </si>
  <si>
    <t>Insurance and Indemnity</t>
  </si>
  <si>
    <t>Extension Term commencement</t>
  </si>
  <si>
    <t>Fire or Other Casualty: Casualty Insurance</t>
  </si>
  <si>
    <t>Bay No.</t>
  </si>
  <si>
    <t>Store No.</t>
  </si>
  <si>
    <t>Store Number</t>
  </si>
  <si>
    <t>Bay #</t>
  </si>
  <si>
    <t>successor-in-interest</t>
  </si>
  <si>
    <t>Option to Terminate Lease</t>
  </si>
  <si>
    <t>Co-Tenancy Termination</t>
  </si>
  <si>
    <t>Early termination Option</t>
  </si>
  <si>
    <t>Go Dark Termination</t>
  </si>
  <si>
    <t>Terminate</t>
  </si>
  <si>
    <t>Kick-Out Termination</t>
  </si>
  <si>
    <t>Termination</t>
  </si>
  <si>
    <t>Utilities and Services</t>
  </si>
  <si>
    <t>Outdoor Patio Area</t>
  </si>
  <si>
    <t>Artificial Breakpoint</t>
  </si>
  <si>
    <t>Marketing Charge</t>
  </si>
  <si>
    <t>Security/Damage Deposit</t>
  </si>
  <si>
    <t>Date of lease</t>
  </si>
  <si>
    <t>Tenant Insurance</t>
  </si>
  <si>
    <t>Tenant to maintain</t>
  </si>
  <si>
    <t>Personal Property Insurance</t>
  </si>
  <si>
    <t>Term commences on</t>
  </si>
  <si>
    <t>Sublease Rent</t>
  </si>
  <si>
    <t>Sublease Term</t>
  </si>
  <si>
    <t>Term of Sublease</t>
  </si>
  <si>
    <t>Sublandlord</t>
  </si>
  <si>
    <t>Landlord Right to Terminate</t>
  </si>
  <si>
    <t>Advertising and Marketing</t>
  </si>
  <si>
    <t>Advertising Charge</t>
  </si>
  <si>
    <t>Sort Order</t>
  </si>
  <si>
    <t>Financial Terms</t>
  </si>
  <si>
    <t>Other Lease Clauses</t>
  </si>
  <si>
    <t>Expenses payment limited to</t>
  </si>
  <si>
    <t>Amendment 1</t>
  </si>
  <si>
    <t>Amendment 2</t>
  </si>
  <si>
    <t>Edit Button</t>
  </si>
  <si>
    <t>Delete Button</t>
  </si>
  <si>
    <t>Document Name</t>
  </si>
  <si>
    <t>Lease Agreement</t>
  </si>
  <si>
    <t>Property Name</t>
  </si>
  <si>
    <t>Project Name</t>
  </si>
  <si>
    <t>Save Button</t>
  </si>
  <si>
    <t>Amazon (Suite # 100)</t>
  </si>
  <si>
    <t>Flipcart (Suite # 102)</t>
  </si>
  <si>
    <t>Reliance (Suite # 101)</t>
  </si>
  <si>
    <t>Property name</t>
  </si>
  <si>
    <t>Street Address</t>
  </si>
  <si>
    <t>City</t>
  </si>
  <si>
    <t>State</t>
  </si>
  <si>
    <t>Property</t>
  </si>
  <si>
    <t>City of</t>
  </si>
  <si>
    <t>State of</t>
  </si>
  <si>
    <t>Road</t>
  </si>
  <si>
    <t>In the city of</t>
  </si>
  <si>
    <t>In the State of</t>
  </si>
  <si>
    <t>Boulevard</t>
  </si>
  <si>
    <t>Within the City of</t>
  </si>
  <si>
    <t>Within the State of</t>
  </si>
  <si>
    <t>Drive</t>
  </si>
  <si>
    <t>Municipality of</t>
  </si>
  <si>
    <t>Commonwealth of</t>
  </si>
  <si>
    <t>Project Complex</t>
  </si>
  <si>
    <t>Address</t>
  </si>
  <si>
    <t>Premises located at</t>
  </si>
  <si>
    <t>Situated at</t>
  </si>
  <si>
    <t>Street</t>
  </si>
  <si>
    <t>1</t>
  </si>
  <si>
    <t>0.95</t>
  </si>
  <si>
    <t>0.9</t>
  </si>
  <si>
    <t>Total Tenants</t>
  </si>
  <si>
    <t>Abstract Completed Tenants</t>
  </si>
  <si>
    <t>Abstract On-Hold Tenants</t>
  </si>
  <si>
    <t>Abstract Reject Tenants</t>
  </si>
  <si>
    <t>Abstract In-Review Tenants</t>
  </si>
  <si>
    <t>Abstract Under Processing Tenants</t>
  </si>
  <si>
    <t>XYZ</t>
  </si>
  <si>
    <t>Commercial ANC</t>
  </si>
  <si>
    <t>Retail XYZ</t>
  </si>
  <si>
    <t>Avenue YTX</t>
  </si>
  <si>
    <t>(blank)</t>
  </si>
  <si>
    <t>Count of Fields</t>
  </si>
  <si>
    <t>Days</t>
  </si>
  <si>
    <t>Main Fields</t>
  </si>
  <si>
    <t>Red Flag Logic</t>
  </si>
  <si>
    <t>Identification</t>
  </si>
  <si>
    <t>Tenant legal name</t>
  </si>
  <si>
    <t>Multiple commencement dates mentioned</t>
  </si>
  <si>
    <t>Trade Name Usage</t>
  </si>
  <si>
    <t>Trade name reference</t>
  </si>
  <si>
    <t>Commencement subject to government approvals</t>
  </si>
  <si>
    <t>What is the current suite or unit number of leased premises?</t>
  </si>
  <si>
    <t>Suite number</t>
  </si>
  <si>
    <t>Commencement subject to completion certificate</t>
  </si>
  <si>
    <t>Is there a Guarantor?</t>
  </si>
  <si>
    <t>Guarantor name</t>
  </si>
  <si>
    <t>Duration</t>
  </si>
  <si>
    <t>If yes, Is guaranty limited or ongoing?</t>
  </si>
  <si>
    <t>Duration clause</t>
  </si>
  <si>
    <t>Scope of Guaranty</t>
  </si>
  <si>
    <t>What obligations are guaranteed?</t>
  </si>
  <si>
    <t>Guaranty scope</t>
  </si>
  <si>
    <t>Guarantor's Liability</t>
  </si>
  <si>
    <t>Is there is any limitation on Guarantor's liability</t>
  </si>
  <si>
    <t>Limitation on Liability</t>
  </si>
  <si>
    <t>Date on the top of the Page</t>
  </si>
  <si>
    <t>lease date is generally available on the 1st page of the lease itself, update that in MM/DD/YYYY Format</t>
  </si>
  <si>
    <t>Extract Date</t>
  </si>
  <si>
    <t>Date</t>
  </si>
  <si>
    <t>Explicit Date Mentioned in Summary Section</t>
  </si>
  <si>
    <t>If lease date mentioned in summary section, extract date</t>
  </si>
  <si>
    <t>Defined Term Reference</t>
  </si>
  <si>
    <t>If lease date defined in definitions section, extract date</t>
  </si>
  <si>
    <t>Silent</t>
  </si>
  <si>
    <t>If no lease date mentioned, record "undated"</t>
  </si>
  <si>
    <t>Record "undated"</t>
  </si>
  <si>
    <t>Who is the Landlord under the lease?</t>
  </si>
  <si>
    <t>Landlord legal name</t>
  </si>
  <si>
    <t>Entity Type</t>
  </si>
  <si>
    <t>What is Landlord entity type?</t>
  </si>
  <si>
    <t>Entity description</t>
  </si>
  <si>
    <t>What is the legal name of the Building in which premises is located?</t>
  </si>
  <si>
    <t>Project Scope</t>
  </si>
  <si>
    <t>Is Building part of a shopping center or multi-building project?</t>
  </si>
  <si>
    <t>Project description</t>
  </si>
  <si>
    <t>Expansion Rights</t>
  </si>
  <si>
    <t>Can Landlord expand or modify the Building?</t>
  </si>
  <si>
    <t>Expansion clause</t>
  </si>
  <si>
    <t>Right Granted</t>
  </si>
  <si>
    <t>Does Tenant have termination right?</t>
  </si>
  <si>
    <t>Termination clause</t>
  </si>
  <si>
    <t>Right Time barred</t>
  </si>
  <si>
    <t>Is the termination right depend on certain period or threshold</t>
  </si>
  <si>
    <t>Trigger conditions</t>
  </si>
  <si>
    <t>Conditions</t>
  </si>
  <si>
    <t>What conditions trigger termination?</t>
  </si>
  <si>
    <t>Termination Fee</t>
  </si>
  <si>
    <t>Is termination fee required?</t>
  </si>
  <si>
    <t>Fee amount</t>
  </si>
  <si>
    <t>Currency</t>
  </si>
  <si>
    <t>Notice Requirement</t>
  </si>
  <si>
    <t>What notice period is required?</t>
  </si>
  <si>
    <t>Notice period</t>
  </si>
  <si>
    <t>If no option is available in lease, update None.</t>
  </si>
  <si>
    <t>Update None</t>
  </si>
  <si>
    <t>Does Tenant have sales kick-out right?</t>
  </si>
  <si>
    <t>Kick-out clause</t>
  </si>
  <si>
    <t>What sales threshold applies?</t>
  </si>
  <si>
    <t>Sales threshold amount</t>
  </si>
  <si>
    <t>Measurement Period</t>
  </si>
  <si>
    <t>Over what period are sales measured?</t>
  </si>
  <si>
    <t>Measurement period</t>
  </si>
  <si>
    <t>What notice is required to exercise kick-out?</t>
  </si>
  <si>
    <t>Termination Right</t>
  </si>
  <si>
    <t>Who will be required to terminate the Lease</t>
  </si>
  <si>
    <t>Extract Clause</t>
  </si>
  <si>
    <t>What will be the termination fee?</t>
  </si>
  <si>
    <t>Extract $ amount</t>
  </si>
  <si>
    <t>Does Tenant have Right of First Refusal?</t>
  </si>
  <si>
    <t>ROFR clause</t>
  </si>
  <si>
    <t>Trigger Event</t>
  </si>
  <si>
    <t>What transaction triggers ROFR?</t>
  </si>
  <si>
    <t>Trigger event description</t>
  </si>
  <si>
    <t>Exercise Period</t>
  </si>
  <si>
    <t>What is response period for ROFR?</t>
  </si>
  <si>
    <t>Response timeline</t>
  </si>
  <si>
    <t>Matching Terms</t>
  </si>
  <si>
    <t>Must Tenant match third-party offer exactly?</t>
  </si>
  <si>
    <t>Matching clause</t>
  </si>
  <si>
    <t>ROFR Rent</t>
  </si>
  <si>
    <t>What will be the rent for ROFR space?</t>
  </si>
  <si>
    <t>ROFO Rent</t>
  </si>
  <si>
    <t>Does Tenant have Right of First Offer?</t>
  </si>
  <si>
    <t>ROFO clause</t>
  </si>
  <si>
    <t>Trigger Space</t>
  </si>
  <si>
    <t>What space triggers ROFO?</t>
  </si>
  <si>
    <t>Trigger space description</t>
  </si>
  <si>
    <t>What is Tenant's response period?</t>
  </si>
  <si>
    <t>Are there conditions to exercise ROFO?</t>
  </si>
  <si>
    <t>Condition clause</t>
  </si>
  <si>
    <t>What will be the rent for ROFO space?</t>
  </si>
  <si>
    <t>Does Tenant have expansion right?</t>
  </si>
  <si>
    <t>Expansion Space</t>
  </si>
  <si>
    <t>Which space qualifies for expansion?</t>
  </si>
  <si>
    <t>Expansion space description</t>
  </si>
  <si>
    <t>What is notice period for expansion?</t>
  </si>
  <si>
    <t>Are there conditions to exercise expansion?</t>
  </si>
  <si>
    <t>What will be the applicable rent</t>
  </si>
  <si>
    <t>Rent clause</t>
  </si>
  <si>
    <t>Does Tenant have renewal options?</t>
  </si>
  <si>
    <t>Renewal clause</t>
  </si>
  <si>
    <t>Term Length</t>
  </si>
  <si>
    <t>What is the duration of renewal term(s)?</t>
  </si>
  <si>
    <t>Renewal term years</t>
  </si>
  <si>
    <t>Notice period required to exercise renewal option?</t>
  </si>
  <si>
    <t>Renewal Rent</t>
  </si>
  <si>
    <t>What is the rent for renewal term.</t>
  </si>
  <si>
    <t>rent for renewal term</t>
  </si>
  <si>
    <t>Text/$amount</t>
  </si>
  <si>
    <t>Does Landlord have relocation right?</t>
  </si>
  <si>
    <t>Relocation clause</t>
  </si>
  <si>
    <t>Cost Responsibility</t>
  </si>
  <si>
    <t>Who bears relocation costs?</t>
  </si>
  <si>
    <t>Cost allocation clause</t>
  </si>
  <si>
    <t>Space Comparison</t>
  </si>
  <si>
    <t>is the replacement space be comparable?</t>
  </si>
  <si>
    <t>Comparison clause</t>
  </si>
  <si>
    <t>Notice Period</t>
  </si>
  <si>
    <t>What notice is required for relocation?</t>
  </si>
  <si>
    <t>Does Tenant have purchase option?</t>
  </si>
  <si>
    <t>Purchase option clause</t>
  </si>
  <si>
    <t>Price</t>
  </si>
  <si>
    <t>What is purchase price or formula?</t>
  </si>
  <si>
    <t>Price/formula</t>
  </si>
  <si>
    <t>When can purchase option be exercised?</t>
  </si>
  <si>
    <t>Exercise timing</t>
  </si>
  <si>
    <t>Are there preconditions to exercise?</t>
  </si>
  <si>
    <t>Defined Use</t>
  </si>
  <si>
    <t>What is Tenant's permitted use?</t>
  </si>
  <si>
    <t>Permitted use clause</t>
  </si>
  <si>
    <t>Restrictions</t>
  </si>
  <si>
    <t>Are there operational limitations?</t>
  </si>
  <si>
    <t>Restriction language</t>
  </si>
  <si>
    <t>Does Landlord have recapture right upon assignment/sublease?</t>
  </si>
  <si>
    <t>Recapture clause</t>
  </si>
  <si>
    <t>Scope</t>
  </si>
  <si>
    <t>Can Landlord recapture entire premises or partial?</t>
  </si>
  <si>
    <t>Scope clause</t>
  </si>
  <si>
    <t>Timing</t>
  </si>
  <si>
    <t>What notice/timing applies to recapture?</t>
  </si>
  <si>
    <t>Effect</t>
  </si>
  <si>
    <t>Does recapture terminate lease or amend it?</t>
  </si>
  <si>
    <t>Effect clause</t>
  </si>
  <si>
    <t>Does Landlord have termination right?</t>
  </si>
  <si>
    <t>Does Tenant have Go-Dark right?</t>
  </si>
  <si>
    <t>Go-Dark clause</t>
  </si>
  <si>
    <t>Are conditions tied to exercising Go-Dark?</t>
  </si>
  <si>
    <t>Condition language</t>
  </si>
  <si>
    <t>Continuous Operation Override</t>
  </si>
  <si>
    <t>Does Go-Dark override continuous operation?</t>
  </si>
  <si>
    <t>Override clause</t>
  </si>
  <si>
    <t>Rent Impact</t>
  </si>
  <si>
    <t>Is rent affected during Go-Dark period?</t>
  </si>
  <si>
    <t>Does Tenant have an exclusive use right?</t>
  </si>
  <si>
    <t>Exclusive use clause</t>
  </si>
  <si>
    <t>What specific use is protected?</t>
  </si>
  <si>
    <t>Protected use language</t>
  </si>
  <si>
    <t>Enforcement</t>
  </si>
  <si>
    <t>Is Landlord required to enforce exclusive use?</t>
  </si>
  <si>
    <t>Enforcement clause</t>
  </si>
  <si>
    <t>Exceptions</t>
  </si>
  <si>
    <t>Are carve-outs or exceptions listed?</t>
  </si>
  <si>
    <t>Exception language</t>
  </si>
  <si>
    <t>Trigger</t>
  </si>
  <si>
    <t>Is rent conditioned on anchor or occupancy requirement?</t>
  </si>
  <si>
    <t>Trigger clause</t>
  </si>
  <si>
    <t>What occupancy % or anchor requirement applies?</t>
  </si>
  <si>
    <t>Threshold % / anchor</t>
  </si>
  <si>
    <t>Remedy</t>
  </si>
  <si>
    <t>What is Tenant remedy if co-tenancy fails?</t>
  </si>
  <si>
    <t>Remedy clause</t>
  </si>
  <si>
    <t>Cure Period</t>
  </si>
  <si>
    <t>Is Landlord given cure period?</t>
  </si>
  <si>
    <t>Cure language</t>
  </si>
  <si>
    <t>Does Tenant have a contraction option?</t>
  </si>
  <si>
    <t>Option clause</t>
  </si>
  <si>
    <t>Area Reduction</t>
  </si>
  <si>
    <t>What area (Suite or SF) can be reduced?</t>
  </si>
  <si>
    <t>SF reduction amount</t>
  </si>
  <si>
    <t>Are conditions required to exercise contraction option?</t>
  </si>
  <si>
    <t>When can contraction option be exercised?</t>
  </si>
  <si>
    <t>Notice/timing clause</t>
  </si>
  <si>
    <t>Obligation</t>
  </si>
  <si>
    <t>Is Tenant required to continuously operate?</t>
  </si>
  <si>
    <t>Continuous operation clause</t>
  </si>
  <si>
    <t>Operating Hours</t>
  </si>
  <si>
    <t>Are minimum operating hours specified?</t>
  </si>
  <si>
    <t>Hours requirement</t>
  </si>
  <si>
    <t>Are there permitted closure exceptions?</t>
  </si>
  <si>
    <t>Exception clause</t>
  </si>
  <si>
    <t>Remedies</t>
  </si>
  <si>
    <t>Is there penalty for failure to operate? Like termination</t>
  </si>
  <si>
    <t>Is Tenant can terminate the lease, if co-tenancy conditions prevails</t>
  </si>
  <si>
    <t>Explicit Date Mentioned</t>
  </si>
  <si>
    <t>If term start date explicitly stated, extract date</t>
  </si>
  <si>
    <t>If term start defined as x years from commencement date, extract language</t>
  </si>
  <si>
    <t>Conditional Event Based</t>
  </si>
  <si>
    <t>If term start date tied to substantial completion or possession, extract condition</t>
  </si>
  <si>
    <t>If no term start date mentioned, record "LCD"</t>
  </si>
  <si>
    <t>Record "Date"</t>
  </si>
  <si>
    <t>Dollar Amount</t>
  </si>
  <si>
    <t>If security deposit amount specified, extract amount</t>
  </si>
  <si>
    <t>Extract Amount</t>
  </si>
  <si>
    <t>Form of Security Deposit</t>
  </si>
  <si>
    <t>Form of Security deposit - cash or as letter of credit, mention that</t>
  </si>
  <si>
    <t>Conditional language</t>
  </si>
  <si>
    <t>If deposit subject to increase/reduction, extract clause</t>
  </si>
  <si>
    <t>Disbursement Terms</t>
  </si>
  <si>
    <t>If refund timeline or adjustment terms mentioned, extract language</t>
  </si>
  <si>
    <t>Event Based</t>
  </si>
  <si>
    <t>If deposit applied upon default, extract relevant clause</t>
  </si>
  <si>
    <t>If no security deposit mentioned, record "None"</t>
  </si>
  <si>
    <t>Record "None"</t>
  </si>
  <si>
    <t>Explicit Date Mentioned in Summary</t>
  </si>
  <si>
    <t>If Explicit Date mentioned in Summary, extract date.</t>
  </si>
  <si>
    <t>Explicit Date Mentioned in Main Lease</t>
  </si>
  <si>
    <t>If Explicit Date mentioned in commencement date section, extract date.</t>
  </si>
  <si>
    <t>If Rent Commencement Date is defined as a specific period after Lease Start Date (e.g. X days after possession), extract the language.</t>
  </si>
  <si>
    <t>Extract language</t>
  </si>
  <si>
    <t>Possession Based</t>
  </si>
  <si>
    <t>If it is linked to Delivery / Possession Date, extract the possession clause.</t>
  </si>
  <si>
    <t>Extract linked clause</t>
  </si>
  <si>
    <t>If no Explicit date given, check for conditional language.</t>
  </si>
  <si>
    <t>Silent in Lease</t>
  </si>
  <si>
    <t>If lease is silent but Base Rent schedule is given in lease, extract first rent payment date.</t>
  </si>
  <si>
    <t>Extract first rent payment date.</t>
  </si>
  <si>
    <t>Multiple date mentioned</t>
  </si>
  <si>
    <t>If multiple potential commencement dates mentioned, extract all and flag.</t>
  </si>
  <si>
    <t>Extract all</t>
  </si>
  <si>
    <t>Date/Text</t>
  </si>
  <si>
    <t>Percentage Stated</t>
  </si>
  <si>
    <t>If Percentage Rent Clause is given in Lease, extract % of gross sales</t>
  </si>
  <si>
    <t>Extract %</t>
  </si>
  <si>
    <t>Numeric</t>
  </si>
  <si>
    <t>If Breakpoint amount mentioned, extract definition language</t>
  </si>
  <si>
    <t>Definition Based</t>
  </si>
  <si>
    <t>If gross sales defined, extract definition language</t>
  </si>
  <si>
    <t>If payment frequency mentioned, extract payment terms</t>
  </si>
  <si>
    <t>If lease is silent, record None</t>
  </si>
  <si>
    <t>Record None</t>
  </si>
  <si>
    <t>N/A (for Office and Industrial lease)</t>
  </si>
  <si>
    <t>If Lease type is office and industrial, Percentage rent would be N/A</t>
  </si>
  <si>
    <t>Record N/A</t>
  </si>
  <si>
    <t>Commencement Letter</t>
  </si>
  <si>
    <t>If commencement letter is available, then capture LCD from Commencement Date.</t>
  </si>
  <si>
    <t>If yes, please ignore other steps</t>
  </si>
  <si>
    <t>Explicit Date mentioned in Summary</t>
  </si>
  <si>
    <t>Estimated LCD mentioned in Summary</t>
  </si>
  <si>
    <t>If Estimated LCD mentioned in Summary, extract clause/date</t>
  </si>
  <si>
    <t>Explicit Date mentioned in Main Lease</t>
  </si>
  <si>
    <t>Silent but Term defined</t>
  </si>
  <si>
    <t>If section not available but Term defined, extract term language.</t>
  </si>
  <si>
    <t>Extract Term language</t>
  </si>
  <si>
    <t>If amended or restated commencement date specified, extract the latest date</t>
  </si>
  <si>
    <t>Extension Commencement Date</t>
  </si>
  <si>
    <t>If extension commencement date specified, extract the latest renewal/extension date</t>
  </si>
  <si>
    <t>Expansion/Reduction LCD</t>
  </si>
  <si>
    <t>If extension/renewal LCD are not available, then capture Expansion/Reduction LCD, if available</t>
  </si>
  <si>
    <t>If latest commencement date/expansion date/reduction date explicit dates are not available, extract conditional language</t>
  </si>
  <si>
    <t>If no revised/latest commencement date/expansion/reduction dates are available, extract original commencement date.</t>
  </si>
  <si>
    <t>Measurement</t>
  </si>
  <si>
    <t>What is the leased rentable square footage (RSF)?</t>
  </si>
  <si>
    <t>RSF value</t>
  </si>
  <si>
    <t>Adjustment Rights</t>
  </si>
  <si>
    <t>Can RSF adjusted?</t>
  </si>
  <si>
    <t>Remeasurement clause</t>
  </si>
  <si>
    <t>Term based</t>
  </si>
  <si>
    <t>If lease term defined in years, extract number of years</t>
  </si>
  <si>
    <t>Extract Number of years</t>
  </si>
  <si>
    <t>If commencement and expiration dates mentioned, calculate term (LED-LCD). For Ex. LCD is 01/01/2025 and LED is 12/31/2025, Term will be 1 year (12/31/2025-01/01/2025)</t>
  </si>
  <si>
    <t>If term defined as x years from commencement date, extract language</t>
  </si>
  <si>
    <t>If lease term not defined, record None</t>
  </si>
  <si>
    <t>If commencement letter is available, then capture LED from Commencement Date.</t>
  </si>
  <si>
    <t>If Explicit Date mentioned in the main lease, extract the date.</t>
  </si>
  <si>
    <t>Term Based/Conditional language</t>
  </si>
  <si>
    <t>If expiration is defined as X years from commencement, extract term language.</t>
  </si>
  <si>
    <t>Extract term language</t>
  </si>
  <si>
    <t>If no explicit date given, extract lease term definition</t>
  </si>
  <si>
    <t>If fixed annual rent is mentioned, extract amount applicable after abstraction date</t>
  </si>
  <si>
    <t>Monthly Stated</t>
  </si>
  <si>
    <t>If monthly rent stated, calculate annual (monthly *12) and extract future amount applicable after abstraction date</t>
  </si>
  <si>
    <t>Rent Table in Summary or Main Lease</t>
  </si>
  <si>
    <t>If rent schedule is provided, extract future rent dates and amounts</t>
  </si>
  <si>
    <t>Extract dates and Amounts</t>
  </si>
  <si>
    <t>Date/Currency</t>
  </si>
  <si>
    <t>Escalation Fixed in Summary Lease or Main lease</t>
  </si>
  <si>
    <t>If fixed annual increases, extract %</t>
  </si>
  <si>
    <t>Extract Percentage</t>
  </si>
  <si>
    <t>CPI Based</t>
  </si>
  <si>
    <t>If CPI-based escalation, extract language</t>
  </si>
  <si>
    <t>If no future rent steps mentioned, record "None"</t>
  </si>
  <si>
    <t>Initial Amount in Summary and Adjustments in Main Lease</t>
  </si>
  <si>
    <t>If initial rent (rent for 1st year) is given in Summary Section and adjustment is given in Main Lease - Extract both</t>
  </si>
  <si>
    <t>Currency and Text</t>
  </si>
  <si>
    <t>If Breakpoint defined as natural or artificial, extract type</t>
  </si>
  <si>
    <t>Formula based</t>
  </si>
  <si>
    <t>If natural breakpoint calculation mentioned, extract formula language</t>
  </si>
  <si>
    <t>If Lease type is office and industrial, BP would be N/A</t>
  </si>
  <si>
    <t>If fixed annual rent is mentioned, extract amount as of abstraction date</t>
  </si>
  <si>
    <t>If monthly rent stated, calculate annual (monthly*12) and extract amount as of abstraction date</t>
  </si>
  <si>
    <t>If rent schedule is provided, extract current rent amount as of abstraction date</t>
  </si>
  <si>
    <t>Extract rent as of abstraction date</t>
  </si>
  <si>
    <t>Conditional</t>
  </si>
  <si>
    <t>If rent is subject to adjustment, extract adjustment clause like rent to be increased based on CPI.</t>
  </si>
  <si>
    <t>Automatic</t>
  </si>
  <si>
    <t>If automatic subordination, extract language</t>
  </si>
  <si>
    <t>SNDA Required</t>
  </si>
  <si>
    <t>If non disturbance conditions are given, extract SNDA requirements</t>
  </si>
  <si>
    <t>If Attornment available, extract clause</t>
  </si>
  <si>
    <t>If no Subordination clause is mentioned in the lease, record as None.</t>
  </si>
  <si>
    <t>If Reporting of Gross Sales clause is explicitly defined, extract full clause language.</t>
  </si>
  <si>
    <t>Conditional / Limitation</t>
  </si>
  <si>
    <t>If Reporting of Gross Sales contains conditions, thresholds, or limitations, extract relevant language.</t>
  </si>
  <si>
    <t>If no Reporting of Gross Sales clause is mentioned in the lease, record as None.</t>
  </si>
  <si>
    <t>If Reporting of Financial Information clause is explicitly defined, extract full clause language.</t>
  </si>
  <si>
    <t>If Reporting of Financial Information contains conditions, thresholds, or limitations, extract relevant language.</t>
  </si>
  <si>
    <t>If no Reporting of Financial Information clause is mentioned in the lease, record as None.</t>
  </si>
  <si>
    <t>If Repair and Maintenance clause is explicitly defined, extract full clause language.</t>
  </si>
  <si>
    <t>If Repair and Maintenance contains conditions, thresholds, or limitations, extract relevant language.</t>
  </si>
  <si>
    <t>If no Repair and Maintenance clause is mentioned in the lease, record as None.</t>
  </si>
  <si>
    <t>If Parking clause is explicitly defined, extract full clause language.</t>
  </si>
  <si>
    <t>If Parking contains conditions regarding parking spaces, parking fees, thresholds, or limitations, extract relevant language.</t>
  </si>
  <si>
    <t>If no Parking clause is mentioned in the lease, record as None.</t>
  </si>
  <si>
    <t>If Non-Monetary Default clause is explicitly defined, extract full clause language.</t>
  </si>
  <si>
    <t>If Non-Monetary Default contains conditions, thresholds, or limitations, extract relevant language.</t>
  </si>
  <si>
    <t>If no Non-Monetary Default clause is mentioned in the lease, record as None.</t>
  </si>
  <si>
    <t>If Monetary Default clause is explicitly defined, extract full clause language.</t>
  </si>
  <si>
    <t>If Monetary Default contains conditions, thresholds, or limitations, extract relevant language.</t>
  </si>
  <si>
    <t>If no Monetary Default clause is mentioned in the lease, record as None.</t>
  </si>
  <si>
    <t>If Landlord Restriction clause is explicitly defined, extract full clause language.</t>
  </si>
  <si>
    <t>If Landlord Restriction contains conditions, thresholds, or limitations, extract relevant language.</t>
  </si>
  <si>
    <t>If no Landlord Restriction clause is mentioned in the lease, record as None.</t>
  </si>
  <si>
    <t>If Holdover clause is explicitly defined, extract full clause language.</t>
  </si>
  <si>
    <t>If Holdover contains conditions, thresholds, or limitations, extract relevant language.</t>
  </si>
  <si>
    <t>If no Holdover clause is mentioned in the lease, record as None.</t>
  </si>
  <si>
    <t>If Hazardous Materials clause is explicitly defined, extract full clause language.</t>
  </si>
  <si>
    <t>If Hazardous Materials contains conditions, thresholds, or limitations, extract relevant language.</t>
  </si>
  <si>
    <t>If no Hazardous Materials clause is mentioned in the lease, record as None.</t>
  </si>
  <si>
    <t>If Condemnation clause is explicitly defined, extract full clause language.</t>
  </si>
  <si>
    <t>If Condemnation contains conditions, thresholds, or limitations, extract relevant language.</t>
  </si>
  <si>
    <t>If no Condemnation clause is mentioned in the lease, record as None.</t>
  </si>
  <si>
    <t>If Casualty clause is explicitly defined, extract full clause language.</t>
  </si>
  <si>
    <t>If Casualty contains conditions, thresholds, or limitations, extract relevant language.</t>
  </si>
  <si>
    <t>If no Casualty clause is mentioned in the lease, record as None.</t>
  </si>
  <si>
    <t>Permitted with Consent</t>
  </si>
  <si>
    <t>Extract consent requirement</t>
  </si>
  <si>
    <t>Permitted transfers</t>
  </si>
  <si>
    <t>Extract transfers without consent requirement</t>
  </si>
  <si>
    <t>Absolute Prohibition</t>
  </si>
  <si>
    <t>If prohibited, extract restrictions</t>
  </si>
  <si>
    <t>Recapture Right</t>
  </si>
  <si>
    <t>Extract landlord recapture rights</t>
  </si>
  <si>
    <t>Profit Sharing</t>
  </si>
  <si>
    <t>Extract profit sharing terms</t>
  </si>
  <si>
    <t>Tenant Liability</t>
  </si>
  <si>
    <t>Extract tenant liability post assignment/subletting</t>
  </si>
  <si>
    <t>If Assignment and Subletting clause is explicitly defined, extract full clause language.</t>
  </si>
  <si>
    <t>If no Assignment and Subletting clause is mentioned in the lease, record as None.</t>
  </si>
  <si>
    <t>If Alteration clause is explicitly defined, extract full clause language.</t>
  </si>
  <si>
    <t>If Alteration contains conditions, thresholds, or limitations, extract relevant language.</t>
  </si>
  <si>
    <t>If no Alteration clause is mentioned in the lease, record as None.</t>
  </si>
  <si>
    <t>If Tenant Improvement Allowance is given in lease, extract amount</t>
  </si>
  <si>
    <t>Per SF basis</t>
  </si>
  <si>
    <t>If allowance PSF (Per Square Footage) is given, extract amount per sf</t>
  </si>
  <si>
    <t>Extract Rate</t>
  </si>
  <si>
    <t>If Lease Commencement Date is within one year, Extract Payment Condition language like LL to pay 60% of allowance to Tenant with 30 days from LCD.</t>
  </si>
  <si>
    <t>No Payments</t>
  </si>
  <si>
    <t>Is tenant paying for Utilities? If No, record "None"</t>
  </si>
  <si>
    <t>Included in CAM</t>
  </si>
  <si>
    <t>If tenant paying for Utilities but it is included in CAM, extract "Included in CAM"</t>
  </si>
  <si>
    <t>Extract "Included in CAM"</t>
  </si>
  <si>
    <t>Dollar Amount / Per SF</t>
  </si>
  <si>
    <t>If utilities charged separately, extract amount or rate</t>
  </si>
  <si>
    <t>Extract Amount / Rate</t>
  </si>
  <si>
    <t>Separately maintained</t>
  </si>
  <si>
    <t>If tenant is paying separately for utilities directly to the provider, extract clause</t>
  </si>
  <si>
    <t>If no utilities clause mentioned, record none</t>
  </si>
  <si>
    <t>If Tenant Insurance Requirement clause is explicitly defined, extract full clause language.</t>
  </si>
  <si>
    <t>Self Insurance</t>
  </si>
  <si>
    <t>If Self-Insurance clause is explicitly defined, extract full clause language.</t>
  </si>
  <si>
    <t>If Self-Insurance contains conditions, thresholds, or limitations, extract relevant language.</t>
  </si>
  <si>
    <t>If no Self-Insurance clause is mentioned in the lease, record as None.</t>
  </si>
  <si>
    <t>Is tenant paying for RE Taxes? If No, extract "No Recovery"</t>
  </si>
  <si>
    <t>Extract "No Recovery"</t>
  </si>
  <si>
    <t>Included in Rent</t>
  </si>
  <si>
    <t>If tenant paying for RE Taxes but it is included in Rent, extract "No Recovery"</t>
  </si>
  <si>
    <t>Estimated Amount</t>
  </si>
  <si>
    <t>Is tenant paying for taxes? If Yes and estimated RE Taxes amount mentioned in Summary, extract clause</t>
  </si>
  <si>
    <t>If RE Taxes included in CAM, extract clause</t>
  </si>
  <si>
    <t>Separate Charge</t>
  </si>
  <si>
    <t>Is RE TAXES payable separately as Additional rent? If Yes:-</t>
  </si>
  <si>
    <t>Fixed Payments</t>
  </si>
  <si>
    <t>Is it Fixed Payment (Flat Rate)</t>
  </si>
  <si>
    <t>Extract rate per SF with annual increases percentage</t>
  </si>
  <si>
    <t>Amount</t>
  </si>
  <si>
    <t>Net Payments</t>
  </si>
  <si>
    <t>Is it Pro Rata Share?</t>
  </si>
  <si>
    <t>Mod. Gross Payments</t>
  </si>
  <si>
    <t>Is it Pro Rata Share over Base year/Base year amount</t>
  </si>
  <si>
    <t>Extract % with Base year/Base year amount</t>
  </si>
  <si>
    <t>Numeric/Text</t>
  </si>
  <si>
    <t>If tax inclusion/exclusion defined, extract clause</t>
  </si>
  <si>
    <t>None in Summary, main clause available</t>
  </si>
  <si>
    <t>If RE Taxes is "None" in Summary, check main lease clause:-
If CAM payments available in main clause, extract language</t>
  </si>
  <si>
    <t>None in Summary and Main Clause not available</t>
  </si>
  <si>
    <t>If RE Taxes is "None" in Summary, and main lease clause not available, extract "No Recovery"</t>
  </si>
  <si>
    <t>If no RE tax clause mentioned, record none</t>
  </si>
  <si>
    <t>If tenant pro rata share specified, extract %</t>
  </si>
  <si>
    <t>If no pro rata % mentioned, record none</t>
  </si>
  <si>
    <t>PRS inclusions</t>
  </si>
  <si>
    <t>If Tenant is paying ProRata Share, extract what costs are included in ProRata Share</t>
  </si>
  <si>
    <t>PRS exclusions</t>
  </si>
  <si>
    <t>If Tenant is paying ProRata Share, extract what costs are excluded in ProRata Share</t>
  </si>
  <si>
    <t>T's share denominator</t>
  </si>
  <si>
    <t>If Tenant is paying ProRata Share, extract what is the denominator used  to calculate Tenant's Pro Rata Share</t>
  </si>
  <si>
    <t>Anchor Tenant Definition</t>
  </si>
  <si>
    <t>How is Anchor Tenant defined?</t>
  </si>
  <si>
    <t>Anchor Definition language</t>
  </si>
  <si>
    <t>Minimum SF</t>
  </si>
  <si>
    <t>Is minimum SF specified for anchor? If Yes, extract language</t>
  </si>
  <si>
    <t>Named Anchor Tenant</t>
  </si>
  <si>
    <t>Is specific tenant named as anchor? If Yes, extract language</t>
  </si>
  <si>
    <t>Anchor Tenant name</t>
  </si>
  <si>
    <t>Major Tenant Definition</t>
  </si>
  <si>
    <t>How is Major Tenant defined?</t>
  </si>
  <si>
    <t>Major Tenant Definition language</t>
  </si>
  <si>
    <t>Named Major Tenant</t>
  </si>
  <si>
    <t>Is specific tenant designated as major tenant?</t>
  </si>
  <si>
    <t>Major Tenant name</t>
  </si>
  <si>
    <t>If signage/storage or any other income initial amount specified, extract amount</t>
  </si>
  <si>
    <t>If signage or any other income payment language available, extract language</t>
  </si>
  <si>
    <t>Annual Increases</t>
  </si>
  <si>
    <t>If signage/storage or any other income is subject to annual increases, mention that</t>
  </si>
  <si>
    <t>If no other income clause mentioned, record "None"</t>
  </si>
  <si>
    <t>Is tenant paying for Management fee? If No, extract "No Recovery"</t>
  </si>
  <si>
    <t>If estimated Mgmt. Fee amount mentioned in Summary, extract clause</t>
  </si>
  <si>
    <t>If management fee included in CAM, extract clause</t>
  </si>
  <si>
    <t>If management fee % specified, extract %</t>
  </si>
  <si>
    <t>If management fee amount specified, extract amount</t>
  </si>
  <si>
    <t>If no management fee mentioned, record none</t>
  </si>
  <si>
    <t>Is tenant paying for Marketing? If No, extract "No Recovery"</t>
  </si>
  <si>
    <t>Dollar Amount / Percentage</t>
  </si>
  <si>
    <t>If marketing fee specified, extract amount or %</t>
  </si>
  <si>
    <t>Extract Amount / Percentage</t>
  </si>
  <si>
    <t>Currency / Numeric</t>
  </si>
  <si>
    <t>If estimated amount mentioned in Summary, extract clause</t>
  </si>
  <si>
    <t>If no marketing fee mentioned, record none</t>
  </si>
  <si>
    <t>Is tenant paying for Insurance? If No, extract "No Recovery"</t>
  </si>
  <si>
    <t>If tenant paying for insurance but it is included in Rent, extract "No Recovery"</t>
  </si>
  <si>
    <t>Is tenant paying for insurance? If Yes and estimated  Insurance amount mentioned in Summary, extract clause</t>
  </si>
  <si>
    <t>If insurance included in CAM, extract clause</t>
  </si>
  <si>
    <t>Is insurance payable separately as Additional rent? If Yes:-</t>
  </si>
  <si>
    <t>If Insurance is "None" in Summary, check main lease clause:-
If CAM payments available in main clause, extract language</t>
  </si>
  <si>
    <t>If Insurance is "None" in Summary, and main lease clause not available, extract "No Recovery"</t>
  </si>
  <si>
    <t>Conditional Language</t>
  </si>
  <si>
    <t>If gross-up provision defined, extract clause</t>
  </si>
  <si>
    <t>If gross-up % stated, extract %</t>
  </si>
  <si>
    <t>If no gross-up mentioned, record none</t>
  </si>
  <si>
    <t>If CAM cap % specified, extract %</t>
  </si>
  <si>
    <t>If cap subject to exclusions, extract clause</t>
  </si>
  <si>
    <t>If no cap mentioned, record none</t>
  </si>
  <si>
    <t>If CAM inclusions listed, extract inclusion language (for example- CAM includes/Operating Expenses means/Project Expenses consists of etc.)</t>
  </si>
  <si>
    <t>If no inclusions mentioned, record none</t>
  </si>
  <si>
    <t>If CAM exclusions listed, extract exclusion language (for example- CAM excludes/Operating Expenses do not include/excludes/The following are not part of Operating expenses payments)</t>
  </si>
  <si>
    <t>If no exclusions mentioned, record none</t>
  </si>
  <si>
    <t>Is tenant paying for CAM? If No, extract "No Recovery"</t>
  </si>
  <si>
    <t>If tenant paying for CAM but it is included in Rent, extract "No Recovery"</t>
  </si>
  <si>
    <t>Is tenant paying for CAM? If Yes and estimated CAM amount mentioned in Summary, extract clause</t>
  </si>
  <si>
    <t>Is CAM payable separately as Additional rent? If Yes:-</t>
  </si>
  <si>
    <t>Is it Fixed CAM(Flat Rate)</t>
  </si>
  <si>
    <t>Amount/Text</t>
  </si>
  <si>
    <t>Extract % with Base year</t>
  </si>
  <si>
    <t>If CAM is "None" in Summary, check main lease clause:-
If CAM payments available in main clause, extract language</t>
  </si>
  <si>
    <t>None in Summary and Main Clause</t>
  </si>
  <si>
    <t>If CAM is "None" in Summary, and main lease clause not available, extract "No Recovery"</t>
  </si>
  <si>
    <t>If base year amount specified, extract amount</t>
  </si>
  <si>
    <t>If no base year amount mentioned, record none</t>
  </si>
  <si>
    <t>If Base Year defined, extract base year</t>
  </si>
  <si>
    <t>Extract Year</t>
  </si>
  <si>
    <t>If base year defined in escalation clause, extract language</t>
  </si>
  <si>
    <t>If no base year mentioned, record none</t>
  </si>
  <si>
    <t>Is tenant paying for Advertising? If No, extract "No Recovery"</t>
  </si>
  <si>
    <t>If advertising/marketing contribution specified, extract amount</t>
  </si>
  <si>
    <t>If contribution based on % of sales, extract %</t>
  </si>
  <si>
    <t>If no advertising contribution mentioned, record none</t>
  </si>
  <si>
    <t>Is tenant paying for Admin fee? If No, extract "No Recovery"</t>
  </si>
  <si>
    <t>If estimated Admin Fee amount mentioned in Summary, extract clause</t>
  </si>
  <si>
    <t>If admin fee included in CAM, extract clause</t>
  </si>
  <si>
    <t>Dollar Amount / Percentage Stated</t>
  </si>
  <si>
    <t>If Administrative Fee specified, extract amount or %</t>
  </si>
  <si>
    <t>If admin fee subject to cap or condition, extract clause</t>
  </si>
  <si>
    <t>If no admin fee mentioned, record none</t>
  </si>
  <si>
    <t>No Sublease</t>
  </si>
  <si>
    <t>If no Sublease available, record "None"</t>
  </si>
  <si>
    <t>Subtenant Name</t>
  </si>
  <si>
    <t>If Sublease available, extract subtenant name</t>
  </si>
  <si>
    <t>Extract subtenant name</t>
  </si>
  <si>
    <t>Sublandlord Name</t>
  </si>
  <si>
    <t>Extract Sublandlord Name</t>
  </si>
  <si>
    <t>Sublease LCD</t>
  </si>
  <si>
    <t>Extract Sublease commencement date</t>
  </si>
  <si>
    <t>Sublease LED</t>
  </si>
  <si>
    <t>Extract Sublease expiry date</t>
  </si>
  <si>
    <t>Sublease Team</t>
  </si>
  <si>
    <t>Extract Sublease term</t>
  </si>
  <si>
    <t>Extract Sublease annual rent as of today's date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</si>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</sst>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9"/>
      <color indexed="81"/>
      <name val="Tahoma"/>
      <family val="2"/>
    </font>
    <font>
      <sz val="11"/>
      <color rgb="FF0000FF"/>
      <name val="Aptos Narrow"/>
      <family val="2"/>
      <scheme val="minor"/>
    </font>
    <font>
      <sz val="10"/>
      <name val="Arial"/>
      <family val="2"/>
    </font>
    <font>
      <b/>
      <sz val="11"/>
      <color rgb="FFFF0000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7" tint="-0.49998474074526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0" fillId="0" borderId="0"/>
  </cellStyleXfs>
  <cellXfs count="32">
    <xf numFmtId="0" fontId="0" fillId="0" borderId="0" xfId="0"/>
    <xf numFmtId="0" fontId="2" fillId="3" borderId="3" xfId="0" applyFont="1" applyFill="1" applyBorder="1"/>
    <xf numFmtId="0" fontId="0" fillId="4" borderId="3" xfId="0" applyFill="1" applyBorder="1"/>
    <xf numFmtId="0" fontId="0" fillId="0" borderId="3" xfId="0" applyBorder="1"/>
    <xf numFmtId="0" fontId="5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3" fillId="2" borderId="1" xfId="0" applyFont="1" applyFill="1" applyBorder="1"/>
    <xf numFmtId="0" fontId="0" fillId="0" borderId="0" xfId="0" applyAlignment="1">
      <alignment wrapText="1"/>
    </xf>
    <xf numFmtId="0" fontId="0" fillId="6" borderId="0" xfId="0" applyFill="1"/>
    <xf numFmtId="0" fontId="0" fillId="5" borderId="0" xfId="0" applyFill="1"/>
    <xf numFmtId="0" fontId="1" fillId="0" borderId="0" xfId="0" applyFont="1"/>
    <xf numFmtId="0" fontId="0" fillId="7" borderId="0" xfId="0" applyFill="1"/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9" borderId="4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0" fontId="11" fillId="0" borderId="0" xfId="0" applyFont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6" fillId="0" borderId="0" xfId="0" applyFont="1" applyAlignment="1">
      <alignment horizontal="center" vertical="center" wrapText="1"/>
    </xf>
    <xf numFmtId="0" fontId="4" fillId="0" borderId="0" xfId="0" applyFont="1"/>
    <xf numFmtId="0" fontId="6" fillId="0" borderId="0" xfId="0" applyFont="1"/>
    <xf numFmtId="0" fontId="4" fillId="0" borderId="0" xfId="0" applyFont="1" applyAlignment="1">
      <alignment wrapText="1"/>
    </xf>
  </cellXfs>
  <cellStyles count="2">
    <cellStyle name="Normal" xfId="0" builtinId="0"/>
    <cellStyle name="Normal 2" xfId="1" xr:uid="{4E6EDDDD-5784-4CC1-AA0A-51063A39E7DD}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4" Type="http://schemas.openxmlformats.org/officeDocument/2006/relationships/image" Target="../media/image4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333375</xdr:colOff>
      <xdr:row>1</xdr:row>
      <xdr:rowOff>152400</xdr:rowOff>
    </xdr:from>
    <xdr:to>
      <xdr:col>17</xdr:col>
      <xdr:colOff>104775</xdr:colOff>
      <xdr:row>13</xdr:row>
      <xdr:rowOff>133350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9A435C9-95BB-1D1F-7B45-F0EFE1952A13}"/>
            </a:ext>
          </a:extLst>
        </xdr:cNvPr>
        <xdr:cNvSpPr txBox="1"/>
      </xdr:nvSpPr>
      <xdr:spPr>
        <a:xfrm>
          <a:off x="10163175" y="342900"/>
          <a:ext cx="4038600" cy="26479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aseline="0"/>
            <a:t>- Filter and Sorting should be available</a:t>
          </a:r>
        </a:p>
        <a:p>
          <a:r>
            <a:rPr lang="en-US" sz="1400" baseline="0"/>
            <a:t>    - User should have an option to select the project names; one project at a time must be visible on screen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7</xdr:row>
      <xdr:rowOff>47625</xdr:rowOff>
    </xdr:from>
    <xdr:to>
      <xdr:col>4</xdr:col>
      <xdr:colOff>97155</xdr:colOff>
      <xdr:row>11</xdr:row>
      <xdr:rowOff>15240</xdr:rowOff>
    </xdr:to>
    <xdr:pic>
      <xdr:nvPicPr>
        <xdr:cNvPr id="3" name="Graphic 2" descr="Garbage outline">
          <a:extLst>
            <a:ext uri="{FF2B5EF4-FFF2-40B4-BE49-F238E27FC236}">
              <a16:creationId xmlns:a16="http://schemas.microsoft.com/office/drawing/2014/main" id="{8CEB2A0A-95C3-6558-A338-437D80D446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873115" y="952500"/>
          <a:ext cx="765810" cy="685800"/>
        </a:xfrm>
        <a:prstGeom prst="rect">
          <a:avLst/>
        </a:prstGeom>
      </xdr:spPr>
    </xdr:pic>
    <xdr:clientData/>
  </xdr:twoCellAnchor>
  <xdr:twoCellAnchor editAs="oneCell">
    <xdr:from>
      <xdr:col>4</xdr:col>
      <xdr:colOff>104775</xdr:colOff>
      <xdr:row>8</xdr:row>
      <xdr:rowOff>0</xdr:rowOff>
    </xdr:from>
    <xdr:to>
      <xdr:col>4</xdr:col>
      <xdr:colOff>548640</xdr:colOff>
      <xdr:row>10</xdr:row>
      <xdr:rowOff>57150</xdr:rowOff>
    </xdr:to>
    <xdr:pic>
      <xdr:nvPicPr>
        <xdr:cNvPr id="5" name="Graphic 4" descr="Pencil with solid fill">
          <a:extLst>
            <a:ext uri="{FF2B5EF4-FFF2-40B4-BE49-F238E27FC236}">
              <a16:creationId xmlns:a16="http://schemas.microsoft.com/office/drawing/2014/main" id="{99A344D4-A2F7-0445-9751-048757006C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5829300" y="1143000"/>
          <a:ext cx="438150" cy="438150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chit Gupta" refreshedDate="46105.689156134256" createdVersion="8" refreshedVersion="8" minRefreshableVersion="3" recordCount="1404" xr:uid="{BD5EFF42-623C-47AD-8D5C-091BC74C6F7A}">
  <cacheSource type="worksheet">
    <worksheetSource name="Questions"/>
  </cacheSource>
  <cacheFields count="9">
    <cacheField name="Main Fields" numFmtId="0">
      <sharedItems containsBlank="1" count="6">
        <s v="Basic Information"/>
        <s v="Critical Clauses"/>
        <s v="Financial Terms"/>
        <s v="Other Lease Clauses"/>
        <s v="Reimbursement"/>
        <m/>
      </sharedItems>
    </cacheField>
    <cacheField name="Fields" numFmtId="0">
      <sharedItems containsBlank="1" count="69">
        <s v="Tenant Name"/>
        <s v="Suite"/>
        <s v="Lease Guarantor"/>
        <s v="Lease Date"/>
        <s v="Landlord Name"/>
        <s v="Building"/>
        <s v="Tenant Termination"/>
        <s v="Sales Kick-Out"/>
        <s v="ROFR"/>
        <s v="ROFO"/>
        <s v="Right of Expansion"/>
        <s v="Renewal Options"/>
        <s v="Relocation"/>
        <s v="Purchase Option"/>
        <s v="Permitted Use"/>
        <s v="Landlord's Recapture Rights"/>
        <s v="Landlord Termination"/>
        <s v="Go-Dark"/>
        <s v="Exclusive Use"/>
        <s v="Co-Tenancy"/>
        <s v="Contraction Option"/>
        <s v="Continuous Operation"/>
        <s v="Term Commencement date"/>
        <s v="Security Deposit"/>
        <s v="Rent Commencement Date"/>
        <s v="Percentage Rent"/>
        <s v="Original Lease Commencement Date"/>
        <s v="Most Recent Lease Start"/>
        <s v="Leased RSF"/>
        <s v="Lease Term (yrs.)"/>
        <s v="Lease Expiration Date"/>
        <s v="Future Rent Steps"/>
        <s v="Breakpoint"/>
        <s v="Annual Base Rent"/>
        <s v="Subordination"/>
        <s v="Reporting of Gross Sales"/>
        <s v="Reporting of Financial Information"/>
        <s v="Repair and Maintenance"/>
        <s v="Parking"/>
        <s v="Non-Monetary Default"/>
        <s v="Monetary Default"/>
        <s v="Landlord Restriction"/>
        <s v="Holdover"/>
        <s v="Hazardous Materials"/>
        <s v="Condemnation"/>
        <s v="Casualty"/>
        <s v="Assignment and Subletting"/>
        <s v="Alteration"/>
        <s v="Allowance"/>
        <s v="Utilities"/>
        <s v="Tenant Insurance Requirements"/>
        <s v="RE Taxes"/>
        <s v="Pro Rata %"/>
        <s v="Other Income (Exterior Signage/ Storage)"/>
        <s v="Mgmt. Fee"/>
        <s v="Marketing"/>
        <s v="Landlord Insurance"/>
        <s v="Gross-up"/>
        <s v="Caps on CAM"/>
        <s v="CAM Inclusion"/>
        <s v="CAM Exclusion"/>
        <s v="CAM"/>
        <s v="Base Year Amount"/>
        <s v="Base Year"/>
        <s v="Advertisement"/>
        <s v="Admin Fee"/>
        <s v="Sublease Provision"/>
        <m/>
        <s v=""/>
      </sharedItems>
    </cacheField>
    <cacheField name="Condition Type" numFmtId="0">
      <sharedItems containsBlank="1"/>
    </cacheField>
    <cacheField name="Priority" numFmtId="0">
      <sharedItems containsString="0" containsBlank="1" containsNumber="1" containsInteger="1" minValue="1" maxValue="12"/>
    </cacheField>
    <cacheField name="Questions" numFmtId="0">
      <sharedItems containsBlank="1"/>
    </cacheField>
    <cacheField name="Extract" numFmtId="0">
      <sharedItems containsBlank="1"/>
    </cacheField>
    <cacheField name="Output" numFmtId="0">
      <sharedItems containsBlank="1"/>
    </cacheField>
    <cacheField name="Column1" numFmtId="0">
      <sharedItems containsBlank="1"/>
    </cacheField>
    <cacheField name="Column2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04">
  <r>
    <x v="0"/>
    <x v="0"/>
    <s v="Identification"/>
    <n v="1"/>
    <s v="Who is the Tenant under the lease?"/>
    <s v="Tenant legal name"/>
    <s v="Text"/>
    <m/>
    <m/>
  </r>
  <r>
    <x v="0"/>
    <x v="0"/>
    <s v="Trade Name Usage"/>
    <n v="2"/>
    <s v="Is Tenant operating under a trade name?"/>
    <s v="Trade name reference"/>
    <s v="Text"/>
    <m/>
    <m/>
  </r>
  <r>
    <x v="0"/>
    <x v="1"/>
    <s v="Identification"/>
    <n v="1"/>
    <s v="What is the current suite or unit number of leased premises?"/>
    <s v="Suite number"/>
    <s v="Text"/>
    <m/>
    <m/>
  </r>
  <r>
    <x v="0"/>
    <x v="2"/>
    <s v="Identification"/>
    <n v="1"/>
    <s v="Is there a Guarantor?"/>
    <s v="Guarantor name"/>
    <s v="Text"/>
    <m/>
    <m/>
  </r>
  <r>
    <x v="0"/>
    <x v="2"/>
    <s v="Duration"/>
    <n v="2"/>
    <s v="If yes, Is guaranty limited or ongoing?"/>
    <s v="Duration clause"/>
    <s v="Text"/>
    <m/>
    <m/>
  </r>
  <r>
    <x v="0"/>
    <x v="2"/>
    <s v="Scope of Guaranty"/>
    <n v="3"/>
    <s v="What obligations are guaranteed?"/>
    <s v="Guaranty scope"/>
    <s v="Text"/>
    <m/>
    <m/>
  </r>
  <r>
    <x v="0"/>
    <x v="2"/>
    <s v="Guarantor's Liability"/>
    <n v="4"/>
    <s v="Is there is any limitation on Guarantor's liability"/>
    <s v="Limitation on Liability"/>
    <s v="Text"/>
    <m/>
    <m/>
  </r>
  <r>
    <x v="0"/>
    <x v="3"/>
    <s v="Date on the top of the Page"/>
    <n v="1"/>
    <s v="lease date is generally available on the 1st page of the lease itself, update that in MM/DD/YYYY Format"/>
    <s v="Extract Date"/>
    <s v="Date"/>
    <m/>
    <m/>
  </r>
  <r>
    <x v="0"/>
    <x v="3"/>
    <s v="Explicit Date Mentioned in Summary Section"/>
    <n v="2"/>
    <s v="If lease date mentioned in summary section, extract date"/>
    <s v="Extract Date"/>
    <s v="Date"/>
    <m/>
    <m/>
  </r>
  <r>
    <x v="0"/>
    <x v="3"/>
    <s v="Defined Term Reference"/>
    <n v="3"/>
    <s v="If lease date defined in definitions section, extract date"/>
    <s v="Extract Date"/>
    <s v="Date"/>
    <m/>
    <m/>
  </r>
  <r>
    <x v="0"/>
    <x v="3"/>
    <s v="Silent"/>
    <n v="4"/>
    <s v="If no lease date mentioned, record &quot;undated&quot;"/>
    <s v="Record &quot;undated&quot;"/>
    <s v="Text"/>
    <m/>
    <m/>
  </r>
  <r>
    <x v="0"/>
    <x v="4"/>
    <s v="Identification"/>
    <n v="1"/>
    <s v="Who is the Landlord under the lease?"/>
    <s v="Landlord legal name"/>
    <s v="Text"/>
    <m/>
    <m/>
  </r>
  <r>
    <x v="0"/>
    <x v="4"/>
    <s v="Entity Type"/>
    <n v="2"/>
    <s v="What is Landlord entity type?"/>
    <s v="Entity description"/>
    <s v="Text"/>
    <m/>
    <m/>
  </r>
  <r>
    <x v="0"/>
    <x v="5"/>
    <s v="Identification"/>
    <n v="1"/>
    <s v="What is the legal name of the Building in which premises is located?"/>
    <s v="Building name"/>
    <s v="Text"/>
    <m/>
    <m/>
  </r>
  <r>
    <x v="0"/>
    <x v="5"/>
    <s v="Project Scope"/>
    <n v="2"/>
    <s v="Is Building part of a shopping center or multi-building project?"/>
    <s v="Project description"/>
    <s v="Text"/>
    <m/>
    <m/>
  </r>
  <r>
    <x v="0"/>
    <x v="5"/>
    <s v="Expansion Rights"/>
    <n v="3"/>
    <s v="Can Landlord expand or modify the Building?"/>
    <s v="Expansion clause"/>
    <s v="Text"/>
    <m/>
    <m/>
  </r>
  <r>
    <x v="1"/>
    <x v="6"/>
    <s v="Right Granted"/>
    <n v="1"/>
    <s v="Does Tenant have termination right?"/>
    <s v="Termination clause"/>
    <s v="Text"/>
    <m/>
    <m/>
  </r>
  <r>
    <x v="1"/>
    <x v="6"/>
    <s v="Right Time barred"/>
    <n v="2"/>
    <s v="Is the termination right depend on certain period or threshold"/>
    <s v="Trigger conditions"/>
    <s v="Text"/>
    <m/>
    <m/>
  </r>
  <r>
    <x v="1"/>
    <x v="6"/>
    <s v="Conditions"/>
    <n v="3"/>
    <s v="What conditions trigger termination?"/>
    <s v="Trigger conditions"/>
    <s v="Text"/>
    <m/>
    <m/>
  </r>
  <r>
    <x v="1"/>
    <x v="6"/>
    <s v="Termination Fee"/>
    <n v="4"/>
    <s v="Is termination fee required?"/>
    <s v="Fee amount"/>
    <s v="Currency"/>
    <m/>
    <m/>
  </r>
  <r>
    <x v="1"/>
    <x v="6"/>
    <s v="Notice Requirement"/>
    <n v="5"/>
    <s v="What notice period is required?"/>
    <s v="Notice period"/>
    <s v="Days"/>
    <m/>
    <m/>
  </r>
  <r>
    <x v="1"/>
    <x v="6"/>
    <s v="Silent"/>
    <n v="6"/>
    <s v="If no option is available in lease, update None."/>
    <s v="Update None"/>
    <s v="Text"/>
    <m/>
    <m/>
  </r>
  <r>
    <x v="1"/>
    <x v="7"/>
    <s v="Right Granted"/>
    <n v="1"/>
    <s v="Does Tenant have sales kick-out right?"/>
    <s v="Kick-out clause"/>
    <s v="Text"/>
    <m/>
    <m/>
  </r>
  <r>
    <x v="1"/>
    <x v="7"/>
    <s v="Sales Threshold"/>
    <n v="2"/>
    <s v="What sales threshold applies?"/>
    <s v="Sales threshold amount"/>
    <s v="Currency"/>
    <m/>
    <m/>
  </r>
  <r>
    <x v="1"/>
    <x v="7"/>
    <s v="Measurement Period"/>
    <n v="3"/>
    <s v="Over what period are sales measured?"/>
    <s v="Measurement period"/>
    <s v="Text"/>
    <m/>
    <m/>
  </r>
  <r>
    <x v="1"/>
    <x v="7"/>
    <s v="Notice Requirement"/>
    <n v="4"/>
    <s v="What notice is required to exercise kick-out?"/>
    <s v="Notice period"/>
    <s v="Days"/>
    <m/>
    <m/>
  </r>
  <r>
    <x v="1"/>
    <x v="7"/>
    <s v="Termination Right"/>
    <n v="5"/>
    <s v="Who will be required to terminate the Lease"/>
    <s v="Extract Clause"/>
    <s v="Text"/>
    <m/>
    <m/>
  </r>
  <r>
    <x v="1"/>
    <x v="7"/>
    <s v="Termination Fee"/>
    <n v="6"/>
    <s v="What will be the termination fee?"/>
    <s v="Extract $ amount"/>
    <s v="Text"/>
    <m/>
    <m/>
  </r>
  <r>
    <x v="1"/>
    <x v="7"/>
    <s v="Silent"/>
    <n v="7"/>
    <s v="If no option is available in lease, update None."/>
    <s v="Update None"/>
    <s v="Text"/>
    <m/>
    <m/>
  </r>
  <r>
    <x v="1"/>
    <x v="8"/>
    <s v="Right Granted"/>
    <n v="1"/>
    <s v="Does Tenant have Right of First Refusal?"/>
    <s v="ROFR clause"/>
    <s v="Text"/>
    <m/>
    <m/>
  </r>
  <r>
    <x v="1"/>
    <x v="8"/>
    <s v="Trigger Event"/>
    <n v="2"/>
    <s v="What transaction triggers ROFR?"/>
    <s v="Trigger event description"/>
    <s v="Text"/>
    <m/>
    <m/>
  </r>
  <r>
    <x v="1"/>
    <x v="8"/>
    <s v="Exercise Period"/>
    <n v="3"/>
    <s v="What is response period for ROFR?"/>
    <s v="Response timeline"/>
    <s v="Days"/>
    <m/>
    <m/>
  </r>
  <r>
    <x v="1"/>
    <x v="8"/>
    <s v="Matching Terms"/>
    <n v="4"/>
    <s v="Must Tenant match third-party offer exactly?"/>
    <s v="Matching clause"/>
    <s v="Text"/>
    <m/>
    <m/>
  </r>
  <r>
    <x v="1"/>
    <x v="8"/>
    <s v="ROFR Rent"/>
    <n v="5"/>
    <s v="What will be the rent for ROFR space?"/>
    <s v="ROFO Rent"/>
    <s v="Text"/>
    <m/>
    <m/>
  </r>
  <r>
    <x v="1"/>
    <x v="8"/>
    <s v="Silent"/>
    <n v="6"/>
    <s v="If no option is available in lease, update None."/>
    <s v="Update None"/>
    <s v="Text"/>
    <m/>
    <m/>
  </r>
  <r>
    <x v="1"/>
    <x v="9"/>
    <s v="Right Granted"/>
    <n v="1"/>
    <s v="Does Tenant have Right of First Offer?"/>
    <s v="ROFO clause"/>
    <s v="Text"/>
    <m/>
    <m/>
  </r>
  <r>
    <x v="1"/>
    <x v="9"/>
    <s v="Trigger Space"/>
    <n v="2"/>
    <s v="What space triggers ROFO?"/>
    <s v="Trigger space description"/>
    <s v="Text"/>
    <m/>
    <m/>
  </r>
  <r>
    <x v="1"/>
    <x v="9"/>
    <s v="Exercise Period"/>
    <n v="3"/>
    <s v="What is Tenant's response period?"/>
    <s v="Response timeline"/>
    <s v="Days"/>
    <m/>
    <m/>
  </r>
  <r>
    <x v="1"/>
    <x v="9"/>
    <s v="Conditions"/>
    <n v="4"/>
    <s v="Are there conditions to exercise ROFO?"/>
    <s v="Condition clause"/>
    <s v="Text"/>
    <m/>
    <m/>
  </r>
  <r>
    <x v="1"/>
    <x v="9"/>
    <s v="ROFO Rent"/>
    <n v="5"/>
    <s v="What will be the rent for ROFO space?"/>
    <s v="ROFO Rent"/>
    <s v="Text"/>
    <m/>
    <m/>
  </r>
  <r>
    <x v="1"/>
    <x v="9"/>
    <s v="Silent"/>
    <n v="6"/>
    <s v="If no option is available in lease, update None."/>
    <s v="Update None"/>
    <s v="Text"/>
    <m/>
    <m/>
  </r>
  <r>
    <x v="1"/>
    <x v="10"/>
    <s v="Right Granted"/>
    <n v="1"/>
    <s v="Does Tenant have expansion right?"/>
    <s v="Expansion clause"/>
    <s v="Text"/>
    <m/>
    <m/>
  </r>
  <r>
    <x v="1"/>
    <x v="10"/>
    <s v="Expansion Space"/>
    <n v="2"/>
    <s v="Which space qualifies for expansion?"/>
    <s v="Expansion space description"/>
    <s v="Text"/>
    <m/>
    <m/>
  </r>
  <r>
    <x v="1"/>
    <x v="10"/>
    <s v="Exercise Period"/>
    <n v="3"/>
    <s v="What is notice period for expansion?"/>
    <s v="Notice period"/>
    <s v="Days"/>
    <m/>
    <m/>
  </r>
  <r>
    <x v="1"/>
    <x v="10"/>
    <s v="Conditions"/>
    <n v="4"/>
    <s v="Are there conditions to exercise expansion?"/>
    <s v="Condition clause"/>
    <s v="Text"/>
    <m/>
    <m/>
  </r>
  <r>
    <x v="1"/>
    <x v="10"/>
    <s v="Rent"/>
    <n v="5"/>
    <s v="What will be the applicable rent"/>
    <s v="Rent clause"/>
    <s v="Text"/>
    <m/>
    <m/>
  </r>
  <r>
    <x v="1"/>
    <x v="10"/>
    <s v="Silent"/>
    <n v="6"/>
    <s v="If no option is available in lease, update None."/>
    <s v="Update None"/>
    <s v="Text"/>
    <m/>
    <m/>
  </r>
  <r>
    <x v="1"/>
    <x v="11"/>
    <s v="Right Granted"/>
    <n v="1"/>
    <s v="Does Tenant have renewal options?"/>
    <s v="Renewal clause"/>
    <s v="Text"/>
    <m/>
    <m/>
  </r>
  <r>
    <x v="1"/>
    <x v="11"/>
    <s v="Term Length"/>
    <n v="2"/>
    <s v="What is the duration of renewal term(s)?"/>
    <s v="Renewal term years"/>
    <s v="Number"/>
    <m/>
    <m/>
  </r>
  <r>
    <x v="1"/>
    <x v="11"/>
    <s v="Notice Requirement"/>
    <n v="3"/>
    <s v="Notice period required to exercise renewal option?"/>
    <s v="Notice period"/>
    <s v="Days"/>
    <m/>
    <m/>
  </r>
  <r>
    <x v="1"/>
    <x v="11"/>
    <s v="Renewal Rent"/>
    <n v="4"/>
    <s v="What is the rent for renewal term."/>
    <s v="rent for renewal term"/>
    <s v="Text/$amount"/>
    <m/>
    <m/>
  </r>
  <r>
    <x v="1"/>
    <x v="11"/>
    <s v="Silent"/>
    <n v="5"/>
    <s v="If no option is available in lease, update None."/>
    <s v="Update None"/>
    <s v="Text"/>
    <m/>
    <m/>
  </r>
  <r>
    <x v="1"/>
    <x v="12"/>
    <s v="Right Granted"/>
    <n v="1"/>
    <s v="Does Landlord have relocation right?"/>
    <s v="Relocation clause"/>
    <s v="Text"/>
    <m/>
    <m/>
  </r>
  <r>
    <x v="1"/>
    <x v="12"/>
    <s v="Cost Responsibility"/>
    <n v="2"/>
    <s v="Who bears relocation costs?"/>
    <s v="Cost allocation clause"/>
    <s v="Text"/>
    <m/>
    <m/>
  </r>
  <r>
    <x v="1"/>
    <x v="12"/>
    <s v="Space Comparison"/>
    <n v="3"/>
    <s v="is the replacement space be comparable?"/>
    <s v="Comparison clause"/>
    <s v="Text"/>
    <m/>
    <m/>
  </r>
  <r>
    <x v="1"/>
    <x v="12"/>
    <s v="Notice Period"/>
    <n v="4"/>
    <s v="What notice is required for relocation?"/>
    <s v="Notice period"/>
    <s v="Days"/>
    <m/>
    <m/>
  </r>
  <r>
    <x v="1"/>
    <x v="12"/>
    <s v="Silent"/>
    <n v="5"/>
    <s v="If no option is available in lease, update None."/>
    <s v="Update None"/>
    <s v="Text"/>
    <m/>
    <m/>
  </r>
  <r>
    <x v="1"/>
    <x v="13"/>
    <s v="Right Granted"/>
    <n v="1"/>
    <s v="Does Tenant have purchase option?"/>
    <s v="Purchase option clause"/>
    <s v="Text"/>
    <m/>
    <m/>
  </r>
  <r>
    <x v="1"/>
    <x v="13"/>
    <s v="Price"/>
    <n v="2"/>
    <s v="What is purchase price or formula?"/>
    <s v="Price/formula"/>
    <s v="Text"/>
    <m/>
    <m/>
  </r>
  <r>
    <x v="1"/>
    <x v="13"/>
    <s v="Exercise Period"/>
    <n v="3"/>
    <s v="When can purchase option be exercised?"/>
    <s v="Exercise timing"/>
    <s v="Text"/>
    <m/>
    <m/>
  </r>
  <r>
    <x v="1"/>
    <x v="13"/>
    <s v="Conditions"/>
    <n v="4"/>
    <s v="Are there preconditions to exercise?"/>
    <s v="Condition clause"/>
    <s v="Text"/>
    <m/>
    <m/>
  </r>
  <r>
    <x v="1"/>
    <x v="13"/>
    <s v="Silent"/>
    <n v="5"/>
    <s v="If no option is available in lease, update None."/>
    <s v="Update None"/>
    <s v="Text"/>
    <m/>
    <m/>
  </r>
  <r>
    <x v="1"/>
    <x v="13"/>
    <s v="Rent"/>
    <n v="6"/>
    <s v="What will be the applicable rent"/>
    <s v="Rent clause"/>
    <s v="Text"/>
    <m/>
    <m/>
  </r>
  <r>
    <x v="1"/>
    <x v="14"/>
    <s v="Defined Use"/>
    <n v="1"/>
    <s v="What is Tenant's permitted use?"/>
    <s v="Permitted use clause"/>
    <s v="Text"/>
    <m/>
    <m/>
  </r>
  <r>
    <x v="1"/>
    <x v="14"/>
    <s v="Restrictions"/>
    <n v="2"/>
    <s v="Are there operational limitations?"/>
    <s v="Restriction language"/>
    <s v="Text"/>
    <m/>
    <m/>
  </r>
  <r>
    <x v="1"/>
    <x v="15"/>
    <s v="Right Granted"/>
    <n v="1"/>
    <s v="Does Landlord have recapture right upon assignment/sublease?"/>
    <s v="Recapture clause"/>
    <s v="Text"/>
    <m/>
    <m/>
  </r>
  <r>
    <x v="1"/>
    <x v="15"/>
    <s v="Scope"/>
    <n v="2"/>
    <s v="Can Landlord recapture entire premises or partial?"/>
    <s v="Scope clause"/>
    <s v="Text"/>
    <m/>
    <m/>
  </r>
  <r>
    <x v="1"/>
    <x v="15"/>
    <s v="Timing"/>
    <n v="3"/>
    <s v="What notice/timing applies to recapture?"/>
    <s v="Notice period"/>
    <s v="Days"/>
    <m/>
    <m/>
  </r>
  <r>
    <x v="1"/>
    <x v="15"/>
    <s v="Effect"/>
    <n v="4"/>
    <s v="Does recapture terminate lease or amend it?"/>
    <s v="Effect clause"/>
    <s v="Text"/>
    <m/>
    <m/>
  </r>
  <r>
    <x v="1"/>
    <x v="15"/>
    <s v="Silent"/>
    <n v="5"/>
    <s v="If no option is available in lease, update None."/>
    <s v="Update None"/>
    <s v="Text"/>
    <m/>
    <m/>
  </r>
  <r>
    <x v="1"/>
    <x v="16"/>
    <s v="Right Granted"/>
    <n v="1"/>
    <s v="Does Landlord have termination right?"/>
    <s v="Termination clause"/>
    <s v="Text"/>
    <m/>
    <m/>
  </r>
  <r>
    <x v="1"/>
    <x v="16"/>
    <s v="Right Time barred"/>
    <n v="2"/>
    <s v="Is the termination right depend on certain period or threshold"/>
    <s v="Trigger conditions"/>
    <s v="Text"/>
    <m/>
    <m/>
  </r>
  <r>
    <x v="1"/>
    <x v="16"/>
    <s v="Conditions"/>
    <n v="3"/>
    <s v="What conditions trigger termination?"/>
    <s v="Trigger conditions"/>
    <s v="Text"/>
    <m/>
    <m/>
  </r>
  <r>
    <x v="1"/>
    <x v="16"/>
    <s v="Termination Fee"/>
    <n v="4"/>
    <s v="Is termination fee required?"/>
    <s v="Fee amount"/>
    <s v="Currency"/>
    <m/>
    <m/>
  </r>
  <r>
    <x v="1"/>
    <x v="16"/>
    <s v="Notice Requirement"/>
    <n v="5"/>
    <s v="What notice period is required?"/>
    <s v="Notice period"/>
    <s v="Days"/>
    <m/>
    <m/>
  </r>
  <r>
    <x v="1"/>
    <x v="16"/>
    <s v="Silent"/>
    <n v="6"/>
    <s v="If no option is available in lease, update None."/>
    <s v="Update None"/>
    <s v="Text"/>
    <m/>
    <m/>
  </r>
  <r>
    <x v="1"/>
    <x v="17"/>
    <s v="Right Granted"/>
    <n v="1"/>
    <s v="Does Tenant have Go-Dark right?"/>
    <s v="Go-Dark clause"/>
    <s v="Text"/>
    <m/>
    <m/>
  </r>
  <r>
    <x v="1"/>
    <x v="17"/>
    <s v="Conditions"/>
    <n v="2"/>
    <s v="Are conditions tied to exercising Go-Dark?"/>
    <s v="Condition language"/>
    <s v="Text"/>
    <m/>
    <m/>
  </r>
  <r>
    <x v="1"/>
    <x v="17"/>
    <s v="Continuous Operation Override"/>
    <n v="3"/>
    <s v="Does Go-Dark override continuous operation?"/>
    <s v="Override clause"/>
    <s v="Text"/>
    <m/>
    <m/>
  </r>
  <r>
    <x v="1"/>
    <x v="17"/>
    <s v="Rent Impact"/>
    <n v="4"/>
    <s v="Is rent affected during Go-Dark period?"/>
    <s v="Rent clause"/>
    <s v="Text"/>
    <m/>
    <m/>
  </r>
  <r>
    <x v="1"/>
    <x v="18"/>
    <s v="Right Granted"/>
    <n v="1"/>
    <s v="Does Tenant have an exclusive use right?"/>
    <s v="Exclusive use clause"/>
    <s v="Text"/>
    <m/>
    <m/>
  </r>
  <r>
    <x v="1"/>
    <x v="18"/>
    <s v="Scope"/>
    <n v="2"/>
    <s v="What specific use is protected?"/>
    <s v="Protected use language"/>
    <s v="Text"/>
    <m/>
    <m/>
  </r>
  <r>
    <x v="1"/>
    <x v="18"/>
    <s v="Enforcement"/>
    <n v="3"/>
    <s v="Is Landlord required to enforce exclusive use?"/>
    <s v="Enforcement clause"/>
    <s v="Text"/>
    <m/>
    <m/>
  </r>
  <r>
    <x v="1"/>
    <x v="18"/>
    <s v="Exceptions"/>
    <n v="4"/>
    <s v="Are carve-outs or exceptions listed?"/>
    <s v="Exception language"/>
    <s v="Text"/>
    <m/>
    <m/>
  </r>
  <r>
    <x v="1"/>
    <x v="19"/>
    <s v="Trigger"/>
    <n v="1"/>
    <s v="Is rent conditioned on anchor or occupancy requirement?"/>
    <s v="Trigger clause"/>
    <s v="Text"/>
    <m/>
    <m/>
  </r>
  <r>
    <x v="1"/>
    <x v="19"/>
    <s v="Threshold"/>
    <n v="2"/>
    <s v="What occupancy % or anchor requirement applies?"/>
    <s v="Threshold % / anchor"/>
    <s v="Text"/>
    <m/>
    <m/>
  </r>
  <r>
    <x v="1"/>
    <x v="19"/>
    <s v="Remedy"/>
    <n v="3"/>
    <s v="What is Tenant remedy if co-tenancy fails?"/>
    <s v="Remedy clause"/>
    <s v="Text"/>
    <m/>
    <m/>
  </r>
  <r>
    <x v="1"/>
    <x v="19"/>
    <s v="Cure Period"/>
    <n v="4"/>
    <s v="Is Landlord given cure period?"/>
    <s v="Cure language"/>
    <s v="Text"/>
    <m/>
    <m/>
  </r>
  <r>
    <x v="1"/>
    <x v="20"/>
    <s v="Right Granted"/>
    <n v="1"/>
    <s v="Does Tenant have a contraction option?"/>
    <s v="Option clause"/>
    <s v="Text"/>
    <m/>
    <m/>
  </r>
  <r>
    <x v="1"/>
    <x v="20"/>
    <s v="Area Reduction"/>
    <n v="2"/>
    <s v="What area (Suite or SF) can be reduced?"/>
    <s v="SF reduction amount"/>
    <s v="Number"/>
    <m/>
    <m/>
  </r>
  <r>
    <x v="1"/>
    <x v="20"/>
    <s v="Conditions"/>
    <n v="3"/>
    <s v="Are conditions required to exercise contraction option?"/>
    <s v="Condition language"/>
    <s v="Text"/>
    <m/>
    <m/>
  </r>
  <r>
    <x v="1"/>
    <x v="20"/>
    <s v="Timing"/>
    <n v="4"/>
    <s v="When can contraction option be exercised?"/>
    <s v="Notice/timing clause"/>
    <s v="Text"/>
    <m/>
    <m/>
  </r>
  <r>
    <x v="1"/>
    <x v="20"/>
    <s v="Silent"/>
    <n v="5"/>
    <s v="If no option is available in lease, update None."/>
    <s v="Update None"/>
    <s v="Text"/>
    <m/>
    <m/>
  </r>
  <r>
    <x v="1"/>
    <x v="21"/>
    <s v="Obligation"/>
    <n v="1"/>
    <s v="Is Tenant required to continuously operate?"/>
    <s v="Continuous operation clause"/>
    <s v="Text"/>
    <m/>
    <m/>
  </r>
  <r>
    <x v="1"/>
    <x v="21"/>
    <s v="Operating Hours"/>
    <n v="2"/>
    <s v="Are minimum operating hours specified?"/>
    <s v="Hours requirement"/>
    <s v="Text"/>
    <m/>
    <m/>
  </r>
  <r>
    <x v="1"/>
    <x v="21"/>
    <s v="Exceptions"/>
    <n v="3"/>
    <s v="Are there permitted closure exceptions?"/>
    <s v="Exception clause"/>
    <s v="Text"/>
    <m/>
    <m/>
  </r>
  <r>
    <x v="1"/>
    <x v="21"/>
    <s v="Remedies"/>
    <n v="4"/>
    <s v="Is there penalty for failure to operate? Like termination"/>
    <s v="Termination clause"/>
    <s v="Text"/>
    <m/>
    <m/>
  </r>
  <r>
    <x v="1"/>
    <x v="21"/>
    <s v="Remedies"/>
    <n v="5"/>
    <s v="Is Tenant can terminate the lease, if co-tenancy conditions prevails"/>
    <s v="Termination clause"/>
    <s v="Text"/>
    <m/>
    <m/>
  </r>
  <r>
    <x v="2"/>
    <x v="22"/>
    <s v="Explicit Date Mentioned"/>
    <n v="1"/>
    <s v="If term start date explicitly stated, extract date"/>
    <s v="Extract Date"/>
    <s v="Date"/>
    <m/>
    <m/>
  </r>
  <r>
    <x v="2"/>
    <x v="22"/>
    <s v="Defined Term Reference"/>
    <n v="2"/>
    <s v="If term start defined as x years from commencement date, extract language"/>
    <s v="Extract Clause"/>
    <s v="Text"/>
    <m/>
    <m/>
  </r>
  <r>
    <x v="2"/>
    <x v="22"/>
    <s v="Conditional Event Based"/>
    <n v="3"/>
    <s v="If term start date tied to substantial completion or possession, extract condition"/>
    <s v="Extract Clause"/>
    <s v="Text"/>
    <m/>
    <m/>
  </r>
  <r>
    <x v="2"/>
    <x v="22"/>
    <s v="Silent"/>
    <n v="4"/>
    <s v="If no term start date mentioned, record &quot;LCD&quot;"/>
    <s v="Record &quot;Date&quot;"/>
    <s v="Date"/>
    <m/>
    <m/>
  </r>
  <r>
    <x v="2"/>
    <x v="23"/>
    <s v="Dollar Amount"/>
    <n v="1"/>
    <s v="If security deposit amount specified, extract amount"/>
    <s v="Extract Amount"/>
    <s v="Currency"/>
    <m/>
    <m/>
  </r>
  <r>
    <x v="2"/>
    <x v="23"/>
    <s v="Form of Security Deposit"/>
    <n v="2"/>
    <s v="Form of Security deposit - cash or as letter of credit, mention that"/>
    <s v="Extract Clause"/>
    <s v="Text"/>
    <m/>
    <m/>
  </r>
  <r>
    <x v="2"/>
    <x v="23"/>
    <s v="Conditional language"/>
    <n v="3"/>
    <s v="If deposit subject to increase/reduction, extract clause"/>
    <s v="Extract Clause"/>
    <s v="Text"/>
    <m/>
    <m/>
  </r>
  <r>
    <x v="2"/>
    <x v="23"/>
    <s v="Disbursement Terms"/>
    <n v="4"/>
    <s v="If refund timeline or adjustment terms mentioned, extract language"/>
    <s v="Extract Clause"/>
    <s v="Text"/>
    <m/>
    <m/>
  </r>
  <r>
    <x v="2"/>
    <x v="23"/>
    <s v="Event Based"/>
    <n v="5"/>
    <s v="If deposit applied upon default, extract relevant clause"/>
    <s v="Extract Clause"/>
    <s v="Text"/>
    <m/>
    <m/>
  </r>
  <r>
    <x v="2"/>
    <x v="23"/>
    <s v="Silent"/>
    <n v="6"/>
    <s v="If no security deposit mentioned, record &quot;None&quot;"/>
    <s v="Record &quot;None&quot;"/>
    <s v="Text"/>
    <m/>
    <m/>
  </r>
  <r>
    <x v="2"/>
    <x v="24"/>
    <s v="Explicit Date Mentioned in Summary"/>
    <n v="1"/>
    <s v="If Explicit Date mentioned in Summary, extract date."/>
    <s v="Extract Date"/>
    <s v="Date"/>
    <m/>
    <m/>
  </r>
  <r>
    <x v="2"/>
    <x v="24"/>
    <s v="Explicit Date Mentioned in Main Lease"/>
    <n v="2"/>
    <s v="If Explicit Date mentioned in commencement date section, extract date."/>
    <s v="Extract Date"/>
    <s v="Date"/>
    <m/>
    <m/>
  </r>
  <r>
    <x v="2"/>
    <x v="24"/>
    <s v="Defined Term Reference"/>
    <n v="3"/>
    <s v="If Rent Commencement Date is defined as a specific period after Lease Start Date (e.g. X days after possession), extract the language."/>
    <s v="Extract language"/>
    <s v="Text"/>
    <m/>
    <m/>
  </r>
  <r>
    <x v="2"/>
    <x v="24"/>
    <s v="Possession Based"/>
    <n v="4"/>
    <s v="If it is linked to Delivery / Possession Date, extract the possession clause."/>
    <s v="Extract linked clause"/>
    <s v="Text"/>
    <m/>
    <m/>
  </r>
  <r>
    <x v="2"/>
    <x v="24"/>
    <s v="Conditional Event Based"/>
    <n v="5"/>
    <s v="If no Explicit date given, check for conditional language."/>
    <s v="Extract language"/>
    <s v="Text"/>
    <m/>
    <m/>
  </r>
  <r>
    <x v="2"/>
    <x v="24"/>
    <s v="Silent in Lease"/>
    <n v="6"/>
    <s v="If lease is silent but Base Rent schedule is given in lease, extract first rent payment date."/>
    <s v="Extract first rent payment date."/>
    <s v="Date"/>
    <m/>
    <m/>
  </r>
  <r>
    <x v="2"/>
    <x v="24"/>
    <s v="Multiple date mentioned"/>
    <n v="7"/>
    <s v="If multiple potential commencement dates mentioned, extract all and flag."/>
    <s v="Extract all"/>
    <s v="Date/Text"/>
    <m/>
    <m/>
  </r>
  <r>
    <x v="2"/>
    <x v="25"/>
    <s v="Percentage Stated"/>
    <n v="1"/>
    <s v="If Percentage Rent Clause is given in Lease, extract % of gross sales"/>
    <s v="Extract %"/>
    <s v="Numeric"/>
    <m/>
    <m/>
  </r>
  <r>
    <x v="2"/>
    <x v="25"/>
    <s v="Dollar Amount"/>
    <n v="2"/>
    <s v="If Breakpoint amount mentioned, extract definition language"/>
    <s v="Extract Amount"/>
    <s v="Currency"/>
    <m/>
    <m/>
  </r>
  <r>
    <x v="2"/>
    <x v="25"/>
    <s v="Definition Based"/>
    <n v="3"/>
    <s v="If gross sales defined, extract definition language"/>
    <s v="Extract Clause"/>
    <s v="Text"/>
    <m/>
    <m/>
  </r>
  <r>
    <x v="2"/>
    <x v="25"/>
    <s v="Disbursement Terms"/>
    <n v="4"/>
    <s v="If payment frequency mentioned, extract payment terms"/>
    <s v="Extract Clause"/>
    <s v="Text"/>
    <m/>
    <m/>
  </r>
  <r>
    <x v="2"/>
    <x v="25"/>
    <s v="Silent"/>
    <n v="5"/>
    <s v="If lease is silent, record None"/>
    <s v="Record None"/>
    <s v="Text"/>
    <m/>
    <m/>
  </r>
  <r>
    <x v="2"/>
    <x v="25"/>
    <s v="N/A (for Office and Industrial lease)"/>
    <n v="6"/>
    <s v="If Lease type is office and industrial, Percentage rent would be N/A"/>
    <s v="Record N/A"/>
    <s v="Text"/>
    <m/>
    <m/>
  </r>
  <r>
    <x v="2"/>
    <x v="26"/>
    <s v="Commencement Letter"/>
    <n v="1"/>
    <s v="If commencement letter is available, then capture LCD from Commencement Date."/>
    <s v="Extract Date"/>
    <s v="Date"/>
    <s v="If yes, please ignore other steps"/>
    <m/>
  </r>
  <r>
    <x v="2"/>
    <x v="26"/>
    <s v="Explicit Date mentioned in Summary"/>
    <n v="2"/>
    <s v="If Explicit Date mentioned in Summary, extract date."/>
    <s v="Extract Date"/>
    <s v="Date"/>
    <m/>
    <m/>
  </r>
  <r>
    <x v="2"/>
    <x v="26"/>
    <s v="Estimated LCD mentioned in Summary"/>
    <n v="3"/>
    <s v="If Estimated LCD mentioned in Summary, extract clause/date"/>
    <s v="Extract language"/>
    <s v="Text"/>
    <m/>
    <m/>
  </r>
  <r>
    <x v="2"/>
    <x v="26"/>
    <s v="Explicit Date mentioned in Main Lease"/>
    <n v="4"/>
    <s v="If Explicit Date mentioned in commencement date section, extract date."/>
    <s v="Extract Date"/>
    <s v="Date"/>
    <m/>
    <m/>
  </r>
  <r>
    <x v="2"/>
    <x v="26"/>
    <s v="Conditional language"/>
    <n v="5"/>
    <s v="If no Explicit date given, check for conditional language."/>
    <s v="Extract language"/>
    <s v="Text"/>
    <m/>
    <m/>
  </r>
  <r>
    <x v="2"/>
    <x v="26"/>
    <s v="Silent but Term defined"/>
    <n v="6"/>
    <s v="If section not available but Term defined, extract term language."/>
    <s v="Extract Term language"/>
    <s v="Text"/>
    <m/>
    <m/>
  </r>
  <r>
    <x v="2"/>
    <x v="27"/>
    <s v="Explicit Date Mentioned"/>
    <n v="1"/>
    <s v="If amended or restated commencement date specified, extract the latest date"/>
    <s v="Extract Date"/>
    <s v="Date"/>
    <m/>
    <m/>
  </r>
  <r>
    <x v="2"/>
    <x v="27"/>
    <s v="Extension Commencement Date"/>
    <n v="2"/>
    <s v="If extension commencement date specified, extract the latest renewal/extension date"/>
    <s v="Extract Date"/>
    <s v="Date"/>
    <m/>
    <m/>
  </r>
  <r>
    <x v="2"/>
    <x v="27"/>
    <s v="Expansion/Reduction LCD"/>
    <n v="3"/>
    <s v="If extension/renewal LCD are not available, then capture Expansion/Reduction LCD, if available"/>
    <s v="Extract Date"/>
    <s v="Date"/>
    <m/>
    <m/>
  </r>
  <r>
    <x v="2"/>
    <x v="27"/>
    <s v="Conditional Event Based"/>
    <n v="4"/>
    <s v="If latest commencement date/expansion date/reduction date explicit dates are not available, extract conditional language"/>
    <s v="Extract Clause"/>
    <s v="Text"/>
    <m/>
    <m/>
  </r>
  <r>
    <x v="2"/>
    <x v="27"/>
    <s v="Silent"/>
    <n v="5"/>
    <s v="If no revised/latest commencement date/expansion/reduction dates are available, extract original commencement date."/>
    <s v="Extract Date"/>
    <s v="Date"/>
    <m/>
    <m/>
  </r>
  <r>
    <x v="2"/>
    <x v="28"/>
    <s v="Measurement"/>
    <n v="1"/>
    <s v="What is the leased rentable square footage (RSF)?"/>
    <s v="RSF value"/>
    <s v="Number"/>
    <m/>
    <m/>
  </r>
  <r>
    <x v="2"/>
    <x v="28"/>
    <s v="Adjustment Rights"/>
    <n v="2"/>
    <s v="Can RSF adjusted?"/>
    <s v="Remeasurement clause"/>
    <s v="Text"/>
    <m/>
    <m/>
  </r>
  <r>
    <x v="2"/>
    <x v="29"/>
    <s v="Term based"/>
    <n v="1"/>
    <s v="If lease term defined in years, extract number of years"/>
    <s v="Extract Number of years"/>
    <s v="Numeric"/>
    <m/>
    <m/>
  </r>
  <r>
    <x v="2"/>
    <x v="29"/>
    <s v="Explicit Date Mentioned"/>
    <n v="2"/>
    <s v="If commencement and expiration dates mentioned, calculate term (LED-LCD). For Ex. LCD is 01/01/2025 and LED is 12/31/2025, Term will be 1 year (12/31/2025-01/01/2025)"/>
    <s v="Extract Number of years"/>
    <s v="Numeric"/>
    <m/>
    <m/>
  </r>
  <r>
    <x v="2"/>
    <x v="29"/>
    <s v="Defined Term Reference"/>
    <n v="3"/>
    <s v="If term defined as x years from commencement date, extract language"/>
    <s v="Extract Clause"/>
    <s v="Text"/>
    <m/>
    <m/>
  </r>
  <r>
    <x v="2"/>
    <x v="29"/>
    <s v="Silent"/>
    <n v="4"/>
    <s v="If lease term not defined, record None"/>
    <s v="Record None"/>
    <s v="Text"/>
    <m/>
    <m/>
  </r>
  <r>
    <x v="2"/>
    <x v="30"/>
    <s v="Commencement Letter"/>
    <n v="1"/>
    <s v="If commencement letter is available, then capture LED from Commencement Date."/>
    <s v="Extract Date"/>
    <s v="Date"/>
    <s v="If yes, please ignore other steps"/>
    <m/>
  </r>
  <r>
    <x v="2"/>
    <x v="30"/>
    <s v="Explicit Date Mentioned in Summary"/>
    <n v="2"/>
    <s v="If Explicit Date mentioned in Summary, extract date."/>
    <s v="Extract Date"/>
    <s v="Date"/>
    <m/>
    <m/>
  </r>
  <r>
    <x v="2"/>
    <x v="30"/>
    <s v="Explicit Date Mentioned in Main Lease"/>
    <n v="3"/>
    <s v="If Explicit Date mentioned in the main lease, extract the date."/>
    <s v="Extract Date"/>
    <s v="Date"/>
    <m/>
    <m/>
  </r>
  <r>
    <x v="2"/>
    <x v="30"/>
    <s v="Term Based/Conditional language"/>
    <n v="4"/>
    <s v="If expiration is defined as X years from commencement, extract term language."/>
    <s v="Extract term language"/>
    <s v="Text"/>
    <m/>
    <m/>
  </r>
  <r>
    <x v="2"/>
    <x v="30"/>
    <s v="Silent"/>
    <n v="5"/>
    <s v="If no explicit date given, extract lease term definition"/>
    <s v="Extract term language"/>
    <s v="Text"/>
    <m/>
    <m/>
  </r>
  <r>
    <x v="2"/>
    <x v="31"/>
    <s v="Fixed Rent"/>
    <n v="1"/>
    <s v="If fixed annual rent is mentioned, extract amount applicable after abstraction date"/>
    <s v="Extract Amount"/>
    <s v="Currency"/>
    <m/>
    <m/>
  </r>
  <r>
    <x v="2"/>
    <x v="31"/>
    <s v="Monthly Stated"/>
    <n v="2"/>
    <s v="If monthly rent stated, calculate annual (monthly *12) and extract future amount applicable after abstraction date"/>
    <s v="Extract Amount"/>
    <s v="Currency"/>
    <m/>
    <m/>
  </r>
  <r>
    <x v="2"/>
    <x v="31"/>
    <s v="Rent Table in Summary or Main Lease"/>
    <n v="3"/>
    <s v="If rent schedule is provided, extract future rent dates and amounts"/>
    <s v="Extract dates and Amounts"/>
    <s v="Date/Currency"/>
    <m/>
    <m/>
  </r>
  <r>
    <x v="2"/>
    <x v="31"/>
    <s v="Escalation Fixed in Summary Lease or Main lease"/>
    <n v="4"/>
    <s v="If fixed annual increases, extract %"/>
    <s v="Extract Percentage"/>
    <s v="Numeric"/>
    <m/>
    <m/>
  </r>
  <r>
    <x v="2"/>
    <x v="31"/>
    <s v="CPI Based"/>
    <n v="5"/>
    <s v="If CPI-based escalation, extract language"/>
    <s v="Extract language"/>
    <s v="Text"/>
    <m/>
    <m/>
  </r>
  <r>
    <x v="2"/>
    <x v="31"/>
    <s v="Silent"/>
    <n v="6"/>
    <s v="If no future rent steps mentioned, record &quot;None&quot;"/>
    <s v="Record None"/>
    <s v="Text"/>
    <m/>
    <m/>
  </r>
  <r>
    <x v="2"/>
    <x v="31"/>
    <s v="Initial Amount in Summary and Adjustments in Main Lease"/>
    <n v="7"/>
    <s v="If initial rent (rent for 1st year) is given in Summary Section and adjustment is given in Main Lease - Extract both"/>
    <s v="Extract Clause"/>
    <s v="Currency and Text"/>
    <m/>
    <m/>
  </r>
  <r>
    <x v="2"/>
    <x v="32"/>
    <s v="Dollar Amount"/>
    <n v="1"/>
    <s v="If Breakpoint amount mentioned, extract definition language"/>
    <s v="Extract Amount"/>
    <s v="Currency"/>
    <m/>
    <m/>
  </r>
  <r>
    <x v="2"/>
    <x v="32"/>
    <s v="Definition Based"/>
    <n v="2"/>
    <s v="If Breakpoint defined as natural or artificial, extract type"/>
    <s v="Extract Clause"/>
    <s v="Text"/>
    <m/>
    <m/>
  </r>
  <r>
    <x v="2"/>
    <x v="32"/>
    <s v="Formula based"/>
    <n v="3"/>
    <s v="If natural breakpoint calculation mentioned, extract formula language"/>
    <s v="Extract Clause"/>
    <s v="Text"/>
    <m/>
    <m/>
  </r>
  <r>
    <x v="2"/>
    <x v="32"/>
    <s v="Silent"/>
    <n v="4"/>
    <s v="If lease is silent, record None"/>
    <s v="Record None"/>
    <s v="Text"/>
    <m/>
    <m/>
  </r>
  <r>
    <x v="2"/>
    <x v="32"/>
    <s v="N/A (for Office and Industrial lease)"/>
    <n v="5"/>
    <s v="If Lease type is office and industrial, BP would be N/A"/>
    <s v="Record N/A"/>
    <s v="Text"/>
    <m/>
    <m/>
  </r>
  <r>
    <x v="2"/>
    <x v="33"/>
    <s v="Fixed Rent"/>
    <n v="1"/>
    <s v="If fixed annual rent is mentioned, extract amount as of abstraction date"/>
    <s v="Extract Amount"/>
    <s v="Currency"/>
    <m/>
    <m/>
  </r>
  <r>
    <x v="2"/>
    <x v="33"/>
    <s v="Monthly Stated"/>
    <n v="2"/>
    <s v="If monthly rent stated, calculate annual (monthly*12) and extract amount as of abstraction date"/>
    <s v="Extract Amount"/>
    <s v="Currency"/>
    <m/>
    <m/>
  </r>
  <r>
    <x v="2"/>
    <x v="33"/>
    <s v="Rent Table in Summary or Main Lease"/>
    <n v="3"/>
    <s v="If rent schedule is provided, extract current rent amount as of abstraction date"/>
    <s v="Extract rent as of abstraction date"/>
    <s v="Currency"/>
    <m/>
    <m/>
  </r>
  <r>
    <x v="2"/>
    <x v="33"/>
    <s v="Initial Amount in Summary and Adjustments in Main Lease"/>
    <n v="4"/>
    <s v="If initial rent (rent for 1st year) is given in Summary Section and adjustment is given in Main Lease - Extract both"/>
    <s v="Extract Clause"/>
    <s v="Currency and Text"/>
    <m/>
    <m/>
  </r>
  <r>
    <x v="2"/>
    <x v="33"/>
    <s v="Conditional"/>
    <n v="5"/>
    <s v="If rent is subject to adjustment, extract adjustment clause like rent to be increased based on CPI."/>
    <s v="Extract Clause"/>
    <s v="Text"/>
    <m/>
    <m/>
  </r>
  <r>
    <x v="3"/>
    <x v="34"/>
    <s v="Automatic"/>
    <n v="1"/>
    <s v="If automatic subordination, extract language"/>
    <s v="Extract Clause"/>
    <s v="Text"/>
    <m/>
    <m/>
  </r>
  <r>
    <x v="3"/>
    <x v="34"/>
    <s v="SNDA Required"/>
    <n v="2"/>
    <s v="If non disturbance conditions are given, extract SNDA requirements"/>
    <s v="Extract Clause"/>
    <s v="Text"/>
    <m/>
    <m/>
  </r>
  <r>
    <x v="3"/>
    <x v="34"/>
    <s v="Attornment"/>
    <n v="3"/>
    <s v="If Attornment available, extract clause"/>
    <s v="Extract Clause"/>
    <s v="Text"/>
    <m/>
    <m/>
  </r>
  <r>
    <x v="3"/>
    <x v="34"/>
    <s v="Silent"/>
    <n v="4"/>
    <s v="If no Subordination clause is mentioned in the lease, record as None."/>
    <s v="Record None"/>
    <s v="Text"/>
    <m/>
    <m/>
  </r>
  <r>
    <x v="3"/>
    <x v="35"/>
    <s v="Definition Based"/>
    <n v="1"/>
    <s v="If Reporting of Gross Sales clause is explicitly defined, extract full clause language."/>
    <s v="Extract Clause"/>
    <s v="Text"/>
    <m/>
    <m/>
  </r>
  <r>
    <x v="3"/>
    <x v="35"/>
    <s v="Conditional / Limitation"/>
    <n v="2"/>
    <s v="If Reporting of Gross Sales contains conditions, thresholds, or limitations, extract relevant language."/>
    <s v="Extract Clause"/>
    <s v="Text"/>
    <m/>
    <m/>
  </r>
  <r>
    <x v="3"/>
    <x v="35"/>
    <s v="Silent"/>
    <n v="3"/>
    <s v="If no Reporting of Gross Sales clause is mentioned in the lease, record as None."/>
    <s v="Record None"/>
    <s v="Text"/>
    <m/>
    <m/>
  </r>
  <r>
    <x v="3"/>
    <x v="36"/>
    <s v="Definition Based"/>
    <n v="1"/>
    <s v="If Reporting of Financial Information clause is explicitly defined, extract full clause language."/>
    <s v="Extract Clause"/>
    <s v="Text"/>
    <m/>
    <m/>
  </r>
  <r>
    <x v="3"/>
    <x v="36"/>
    <s v="Conditional / Limitation"/>
    <n v="2"/>
    <s v="If Reporting of Financial Information contains conditions, thresholds, or limitations, extract relevant language."/>
    <s v="Extract Clause"/>
    <s v="Text"/>
    <m/>
    <m/>
  </r>
  <r>
    <x v="3"/>
    <x v="36"/>
    <s v="Silent"/>
    <n v="3"/>
    <s v="If no Reporting of Financial Information clause is mentioned in the lease, record as None."/>
    <s v="Record None"/>
    <s v="Text"/>
    <m/>
    <m/>
  </r>
  <r>
    <x v="3"/>
    <x v="37"/>
    <s v="Definition Based"/>
    <n v="1"/>
    <s v="If Repair and Maintenance clause is explicitly defined, extract full clause language."/>
    <s v="Extract Clause"/>
    <s v="Text"/>
    <m/>
    <m/>
  </r>
  <r>
    <x v="3"/>
    <x v="37"/>
    <s v="Conditional / Limitation"/>
    <n v="2"/>
    <s v="If Repair and Maintenance contains conditions, thresholds, or limitations, extract relevant language."/>
    <s v="Extract Clause"/>
    <s v="Text"/>
    <m/>
    <m/>
  </r>
  <r>
    <x v="3"/>
    <x v="37"/>
    <s v="Silent"/>
    <n v="3"/>
    <s v="If no Repair and Maintenance clause is mentioned in the lease, record as None."/>
    <s v="Record None"/>
    <s v="Text"/>
    <m/>
    <m/>
  </r>
  <r>
    <x v="3"/>
    <x v="38"/>
    <s v="Definition Based"/>
    <n v="1"/>
    <s v="If Parking clause is explicitly defined, extract full clause language."/>
    <s v="Extract Clause"/>
    <s v="Text"/>
    <m/>
    <m/>
  </r>
  <r>
    <x v="3"/>
    <x v="38"/>
    <s v="Conditional / Limitation"/>
    <n v="2"/>
    <s v="If Parking contains conditions regarding parking spaces, parking fees, thresholds, or limitations, extract relevant language."/>
    <s v="Extract Clause"/>
    <s v="Text"/>
    <m/>
    <m/>
  </r>
  <r>
    <x v="3"/>
    <x v="38"/>
    <s v="Silent"/>
    <n v="3"/>
    <s v="If no Parking clause is mentioned in the lease, record as None."/>
    <s v="Record None"/>
    <s v="Text"/>
    <m/>
    <m/>
  </r>
  <r>
    <x v="3"/>
    <x v="39"/>
    <s v="Definition Based"/>
    <n v="1"/>
    <s v="If Non-Monetary Default clause is explicitly defined, extract full clause language."/>
    <s v="Extract Clause"/>
    <s v="Text"/>
    <m/>
    <m/>
  </r>
  <r>
    <x v="3"/>
    <x v="39"/>
    <s v="Conditional / Limitation"/>
    <n v="2"/>
    <s v="If Non-Monetary Default contains conditions, thresholds, or limitations, extract relevant language."/>
    <s v="Extract Clause"/>
    <s v="Text"/>
    <m/>
    <m/>
  </r>
  <r>
    <x v="3"/>
    <x v="39"/>
    <s v="Silent"/>
    <n v="3"/>
    <s v="If no Non-Monetary Default clause is mentioned in the lease, record as None."/>
    <s v="Record None"/>
    <s v="Text"/>
    <m/>
    <m/>
  </r>
  <r>
    <x v="3"/>
    <x v="40"/>
    <s v="Definition Based"/>
    <n v="1"/>
    <s v="If Monetary Default clause is explicitly defined, extract full clause language."/>
    <s v="Extract Clause"/>
    <s v="Text"/>
    <m/>
    <m/>
  </r>
  <r>
    <x v="3"/>
    <x v="40"/>
    <s v="Conditional / Limitation"/>
    <n v="2"/>
    <s v="If Monetary Default contains conditions, thresholds, or limitations, extract relevant language."/>
    <s v="Extract Clause"/>
    <s v="Text"/>
    <m/>
    <m/>
  </r>
  <r>
    <x v="3"/>
    <x v="40"/>
    <s v="Silent"/>
    <n v="3"/>
    <s v="If no Monetary Default clause is mentioned in the lease, record as None."/>
    <s v="Record None"/>
    <s v="Text"/>
    <m/>
    <m/>
  </r>
  <r>
    <x v="3"/>
    <x v="41"/>
    <s v="Definition Based"/>
    <n v="1"/>
    <s v="If Landlord Restriction clause is explicitly defined, extract full clause language."/>
    <s v="Extract Clause"/>
    <s v="Text"/>
    <m/>
    <m/>
  </r>
  <r>
    <x v="3"/>
    <x v="41"/>
    <s v="Conditional / Limitation"/>
    <n v="2"/>
    <s v="If Landlord Restriction contains conditions, thresholds, or limitations, extract relevant language."/>
    <s v="Extract Clause"/>
    <s v="Text"/>
    <m/>
    <m/>
  </r>
  <r>
    <x v="3"/>
    <x v="41"/>
    <s v="Silent"/>
    <n v="3"/>
    <s v="If no Landlord Restriction clause is mentioned in the lease, record as None."/>
    <s v="Record None"/>
    <s v="Text"/>
    <m/>
    <m/>
  </r>
  <r>
    <x v="3"/>
    <x v="42"/>
    <s v="Definition Based"/>
    <n v="1"/>
    <s v="If Holdover clause is explicitly defined, extract full clause language."/>
    <s v="Extract Clause"/>
    <s v="Text"/>
    <m/>
    <m/>
  </r>
  <r>
    <x v="3"/>
    <x v="42"/>
    <s v="Conditional / Limitation"/>
    <n v="2"/>
    <s v="If Holdover contains conditions, thresholds, or limitations, extract relevant language."/>
    <s v="Extract Clause"/>
    <s v="Text"/>
    <m/>
    <m/>
  </r>
  <r>
    <x v="3"/>
    <x v="42"/>
    <s v="Silent"/>
    <n v="3"/>
    <s v="If no Holdover clause is mentioned in the lease, record as None."/>
    <s v="Record None"/>
    <s v="Text"/>
    <m/>
    <m/>
  </r>
  <r>
    <x v="3"/>
    <x v="43"/>
    <s v="Definition Based"/>
    <n v="1"/>
    <s v="If Hazardous Materials clause is explicitly defined, extract full clause language."/>
    <s v="Extract Clause"/>
    <s v="Text"/>
    <m/>
    <m/>
  </r>
  <r>
    <x v="3"/>
    <x v="43"/>
    <s v="Conditional / Limitation"/>
    <n v="2"/>
    <s v="If Hazardous Materials contains conditions, thresholds, or limitations, extract relevant language."/>
    <s v="Extract Clause"/>
    <s v="Text"/>
    <m/>
    <m/>
  </r>
  <r>
    <x v="3"/>
    <x v="43"/>
    <s v="Silent"/>
    <n v="3"/>
    <s v="If no Hazardous Materials clause is mentioned in the lease, record as None."/>
    <s v="Record None"/>
    <s v="Text"/>
    <m/>
    <m/>
  </r>
  <r>
    <x v="3"/>
    <x v="44"/>
    <s v="Definition Based"/>
    <n v="1"/>
    <s v="If Condemnation clause is explicitly defined, extract full clause language."/>
    <s v="Extract Clause"/>
    <s v="Text"/>
    <m/>
    <m/>
  </r>
  <r>
    <x v="3"/>
    <x v="44"/>
    <s v="Conditional / Limitation"/>
    <n v="2"/>
    <s v="If Condemnation contains conditions, thresholds, or limitations, extract relevant language."/>
    <s v="Extract Clause"/>
    <s v="Text"/>
    <m/>
    <m/>
  </r>
  <r>
    <x v="3"/>
    <x v="44"/>
    <s v="Silent"/>
    <n v="3"/>
    <s v="If no Condemnation clause is mentioned in the lease, record as None."/>
    <s v="Record None"/>
    <s v="Text"/>
    <m/>
    <m/>
  </r>
  <r>
    <x v="3"/>
    <x v="45"/>
    <s v="Definition Based"/>
    <n v="1"/>
    <s v="If Casualty clause is explicitly defined, extract full clause language."/>
    <s v="Extract Clause"/>
    <s v="Text"/>
    <m/>
    <m/>
  </r>
  <r>
    <x v="3"/>
    <x v="45"/>
    <s v="Conditional / Limitation"/>
    <n v="2"/>
    <s v="If Casualty contains conditions, thresholds, or limitations, extract relevant language."/>
    <s v="Extract Clause"/>
    <s v="Text"/>
    <m/>
    <m/>
  </r>
  <r>
    <x v="3"/>
    <x v="45"/>
    <s v="Silent"/>
    <n v="3"/>
    <s v="If no Casualty clause is mentioned in the lease, record as None."/>
    <s v="Record None"/>
    <s v="Text"/>
    <m/>
    <m/>
  </r>
  <r>
    <x v="3"/>
    <x v="46"/>
    <s v="Permitted with Consent"/>
    <n v="1"/>
    <s v="Extract consent requirement"/>
    <s v="Extract Clause"/>
    <s v="Text"/>
    <m/>
    <m/>
  </r>
  <r>
    <x v="3"/>
    <x v="46"/>
    <s v="Permitted transfers"/>
    <n v="2"/>
    <s v="Extract transfers without consent requirement"/>
    <s v="Extract Clause"/>
    <s v="Text"/>
    <m/>
    <m/>
  </r>
  <r>
    <x v="3"/>
    <x v="46"/>
    <s v="Absolute Prohibition"/>
    <n v="3"/>
    <s v="If prohibited, extract restrictions"/>
    <s v="Extract Clause"/>
    <s v="Text"/>
    <m/>
    <m/>
  </r>
  <r>
    <x v="3"/>
    <x v="46"/>
    <s v="Recapture Right"/>
    <n v="4"/>
    <s v="Extract landlord recapture rights"/>
    <s v="Extract Clause"/>
    <s v="Text"/>
    <m/>
    <m/>
  </r>
  <r>
    <x v="3"/>
    <x v="46"/>
    <s v="Profit Sharing"/>
    <n v="5"/>
    <s v="Extract profit sharing terms"/>
    <s v="Extract Clause"/>
    <s v="Text"/>
    <m/>
    <m/>
  </r>
  <r>
    <x v="3"/>
    <x v="46"/>
    <s v="Tenant Liability"/>
    <n v="6"/>
    <s v="Extract tenant liability post assignment/subletting"/>
    <s v="Extract Clause"/>
    <s v="Text"/>
    <m/>
    <m/>
  </r>
  <r>
    <x v="3"/>
    <x v="46"/>
    <s v="Definition Based"/>
    <n v="7"/>
    <s v="If Assignment and Subletting clause is explicitly defined, extract full clause language."/>
    <s v="Extract Clause"/>
    <s v="Text"/>
    <m/>
    <m/>
  </r>
  <r>
    <x v="3"/>
    <x v="46"/>
    <s v="Silent"/>
    <n v="8"/>
    <s v="If no Assignment and Subletting clause is mentioned in the lease, record as None."/>
    <s v="Record None"/>
    <s v="Text"/>
    <m/>
    <m/>
  </r>
  <r>
    <x v="3"/>
    <x v="47"/>
    <s v="Definition Based"/>
    <n v="1"/>
    <s v="If Alteration clause is explicitly defined, extract full clause language."/>
    <s v="Extract Clause"/>
    <s v="Text"/>
    <m/>
    <m/>
  </r>
  <r>
    <x v="3"/>
    <x v="47"/>
    <s v="Conditional / Limitation"/>
    <n v="2"/>
    <s v="If Alteration contains conditions, thresholds, or limitations, extract relevant language."/>
    <s v="Extract Clause"/>
    <s v="Text"/>
    <m/>
    <m/>
  </r>
  <r>
    <x v="3"/>
    <x v="47"/>
    <s v="Silent"/>
    <n v="3"/>
    <s v="If no Alteration clause is mentioned in the lease, record as None."/>
    <s v="Record None"/>
    <s v="Text"/>
    <m/>
    <m/>
  </r>
  <r>
    <x v="3"/>
    <x v="48"/>
    <s v="Dollar Amount"/>
    <n v="1"/>
    <s v="If Tenant Improvement Allowance is given in lease, extract amount"/>
    <s v="Extract Amount"/>
    <s v="Currency"/>
    <m/>
    <m/>
  </r>
  <r>
    <x v="3"/>
    <x v="48"/>
    <s v="Per SF basis"/>
    <n v="2"/>
    <s v="If allowance PSF (Per Square Footage) is given, extract amount per sf"/>
    <s v="Extract Rate"/>
    <s v="Currency"/>
    <m/>
    <m/>
  </r>
  <r>
    <x v="3"/>
    <x v="48"/>
    <s v="Disbursement Terms"/>
    <n v="3"/>
    <s v="If Lease Commencement Date is within one year, Extract Payment Condition language like LL to pay 60% of allowance to Tenant with 30 days from LCD."/>
    <s v="Extract Clause"/>
    <s v="Text"/>
    <m/>
    <m/>
  </r>
  <r>
    <x v="4"/>
    <x v="49"/>
    <s v="No Payments"/>
    <n v="1"/>
    <s v="Is tenant paying for Utilities? If No, record &quot;None&quot;"/>
    <s v="Record None"/>
    <s v="Text"/>
    <m/>
    <m/>
  </r>
  <r>
    <x v="4"/>
    <x v="49"/>
    <s v="Included in CAM"/>
    <n v="2"/>
    <s v="If tenant paying for Utilities but it is included in CAM, extract &quot;Included in CAM&quot;"/>
    <s v="Extract &quot;Included in CAM&quot;"/>
    <s v="Text"/>
    <m/>
    <m/>
  </r>
  <r>
    <x v="4"/>
    <x v="49"/>
    <s v="Dollar Amount / Per SF"/>
    <n v="3"/>
    <s v="If utilities charged separately, extract amount or rate"/>
    <s v="Extract Amount / Rate"/>
    <s v="Currency"/>
    <m/>
    <m/>
  </r>
  <r>
    <x v="4"/>
    <x v="49"/>
    <s v="Separately maintained"/>
    <n v="4"/>
    <s v="If tenant is paying separately for utilities directly to the provider, extract clause"/>
    <s v="Extract Clause"/>
    <s v="Text"/>
    <m/>
    <m/>
  </r>
  <r>
    <x v="4"/>
    <x v="49"/>
    <s v="Silent"/>
    <n v="5"/>
    <s v="If no utilities clause mentioned, record none"/>
    <s v="Record None"/>
    <s v="Text"/>
    <m/>
    <m/>
  </r>
  <r>
    <x v="4"/>
    <x v="50"/>
    <s v="Definition Based"/>
    <n v="1"/>
    <s v="If Tenant Insurance Requirement clause is explicitly defined, extract full clause language."/>
    <s v="Extract Clause"/>
    <s v="Text"/>
    <m/>
    <m/>
  </r>
  <r>
    <x v="4"/>
    <x v="50"/>
    <s v="Self Insurance"/>
    <n v="2"/>
    <s v="If Self-Insurance clause is explicitly defined, extract full clause language."/>
    <s v="Extract Clause"/>
    <s v="Text"/>
    <m/>
    <m/>
  </r>
  <r>
    <x v="4"/>
    <x v="50"/>
    <s v="Conditional / Limitation"/>
    <n v="3"/>
    <s v="If Self-Insurance contains conditions, thresholds, or limitations, extract relevant language."/>
    <s v="Extract Clause"/>
    <s v="Text"/>
    <m/>
    <m/>
  </r>
  <r>
    <x v="4"/>
    <x v="50"/>
    <s v="Silent"/>
    <n v="4"/>
    <s v="If no Self-Insurance clause is mentioned in the lease, record as None."/>
    <s v="Record None"/>
    <s v="Text"/>
    <m/>
    <m/>
  </r>
  <r>
    <x v="4"/>
    <x v="51"/>
    <s v="No Payments"/>
    <n v="1"/>
    <s v="Is tenant paying for RE Taxes? If No, extract &quot;No Recovery&quot;"/>
    <s v="Extract &quot;No Recovery&quot;"/>
    <s v="Text"/>
    <m/>
    <m/>
  </r>
  <r>
    <x v="4"/>
    <x v="51"/>
    <s v="Included in Rent"/>
    <n v="2"/>
    <s v="If tenant paying for RE Taxes but it is included in Rent, extract &quot;No Recovery&quot;"/>
    <s v="Extract &quot;No Recovery&quot;"/>
    <s v="Text"/>
    <m/>
    <m/>
  </r>
  <r>
    <x v="4"/>
    <x v="51"/>
    <s v="Estimated Amount"/>
    <n v="3"/>
    <s v="Is tenant paying for taxes? If Yes and estimated RE Taxes amount mentioned in Summary, extract clause"/>
    <s v="Extract Clause"/>
    <s v="Text"/>
    <m/>
    <m/>
  </r>
  <r>
    <x v="4"/>
    <x v="51"/>
    <s v="Included in CAM"/>
    <n v="4"/>
    <s v="If RE Taxes included in CAM, extract clause"/>
    <s v="Extract Clause"/>
    <s v="Text"/>
    <m/>
    <m/>
  </r>
  <r>
    <x v="4"/>
    <x v="51"/>
    <s v="Separate Charge"/>
    <n v="5"/>
    <s v="Is RE TAXES payable separately as Additional rent? If Yes:-"/>
    <s v="Extract Clause"/>
    <s v="Text"/>
    <m/>
    <m/>
  </r>
  <r>
    <x v="4"/>
    <x v="51"/>
    <s v="Fixed Payments"/>
    <n v="6"/>
    <s v="Is it Fixed Payment (Flat Rate)"/>
    <s v="Extract rate per SF with annual increases percentage"/>
    <s v="Amount"/>
    <m/>
    <m/>
  </r>
  <r>
    <x v="4"/>
    <x v="51"/>
    <s v="Net Payments"/>
    <n v="7"/>
    <s v="Is it Pro Rata Share?"/>
    <s v="Extract %"/>
    <s v="Numeric"/>
    <m/>
    <m/>
  </r>
  <r>
    <x v="4"/>
    <x v="51"/>
    <s v="Mod. Gross Payments"/>
    <n v="8"/>
    <s v="Is it Pro Rata Share over Base year/Base year amount"/>
    <s v="Extract % with Base year/Base year amount"/>
    <s v="Numeric/Text"/>
    <m/>
    <m/>
  </r>
  <r>
    <x v="4"/>
    <x v="51"/>
    <s v="Definition Based"/>
    <n v="9"/>
    <s v="If tax inclusion/exclusion defined, extract clause"/>
    <s v="Extract Clause"/>
    <s v="Text"/>
    <m/>
    <m/>
  </r>
  <r>
    <x v="4"/>
    <x v="51"/>
    <s v="None in Summary, main clause available"/>
    <n v="10"/>
    <s v="If RE Taxes is &quot;None&quot; in Summary, check main lease clause:-_x000a_If CAM payments available in main clause, extract language"/>
    <s v="Extract Clause"/>
    <s v="Text"/>
    <m/>
    <m/>
  </r>
  <r>
    <x v="4"/>
    <x v="51"/>
    <s v="None in Summary and Main Clause not available"/>
    <n v="11"/>
    <s v="If RE Taxes is &quot;None&quot; in Summary, and main lease clause not available, extract &quot;No Recovery&quot;"/>
    <s v="Extract &quot;No Recovery&quot;"/>
    <s v="Text"/>
    <m/>
    <m/>
  </r>
  <r>
    <x v="4"/>
    <x v="51"/>
    <s v="Silent"/>
    <n v="12"/>
    <s v="If no RE tax clause mentioned, record none"/>
    <s v="Record None"/>
    <s v="Text"/>
    <m/>
    <m/>
  </r>
  <r>
    <x v="4"/>
    <x v="52"/>
    <s v="Percentage Stated"/>
    <n v="1"/>
    <s v="If tenant pro rata share specified, extract %"/>
    <s v="Extract Percentage"/>
    <s v="Numeric"/>
    <m/>
    <m/>
  </r>
  <r>
    <x v="4"/>
    <x v="52"/>
    <s v="Silent"/>
    <n v="2"/>
    <s v="If no pro rata % mentioned, record none"/>
    <s v="Record None"/>
    <s v="Text"/>
    <m/>
    <m/>
  </r>
  <r>
    <x v="4"/>
    <x v="52"/>
    <s v="PRS inclusions"/>
    <n v="3"/>
    <s v="If Tenant is paying ProRata Share, extract what costs are included in ProRata Share"/>
    <s v="Extract Clause"/>
    <s v="Text"/>
    <m/>
    <m/>
  </r>
  <r>
    <x v="4"/>
    <x v="52"/>
    <s v="PRS exclusions"/>
    <n v="4"/>
    <s v="If Tenant is paying ProRata Share, extract what costs are excluded in ProRata Share"/>
    <s v="Extract Clause"/>
    <s v="Text"/>
    <m/>
    <m/>
  </r>
  <r>
    <x v="4"/>
    <x v="52"/>
    <s v="T's share denominator"/>
    <n v="5"/>
    <s v="If Tenant is paying ProRata Share, extract what is the denominator used  to calculate Tenant's Pro Rata Share"/>
    <s v="Extract Clause"/>
    <s v="Text"/>
    <m/>
    <m/>
  </r>
  <r>
    <x v="4"/>
    <x v="52"/>
    <s v="Anchor Tenant Definition"/>
    <n v="6"/>
    <s v="How is Anchor Tenant defined?"/>
    <s v="Anchor Definition language"/>
    <s v="Text"/>
    <m/>
    <m/>
  </r>
  <r>
    <x v="4"/>
    <x v="52"/>
    <s v="Minimum SF"/>
    <n v="7"/>
    <s v="Is minimum SF specified for anchor? If Yes, extract language"/>
    <s v="Extract Clause"/>
    <s v="Number"/>
    <m/>
    <m/>
  </r>
  <r>
    <x v="4"/>
    <x v="52"/>
    <s v="Named Anchor Tenant"/>
    <n v="8"/>
    <s v="Is specific tenant named as anchor? If Yes, extract language"/>
    <s v="Anchor Tenant name"/>
    <s v="Text"/>
    <m/>
    <m/>
  </r>
  <r>
    <x v="4"/>
    <x v="52"/>
    <s v="Major Tenant Definition"/>
    <n v="9"/>
    <s v="How is Major Tenant defined?"/>
    <s v="Major Tenant Definition language"/>
    <s v="Text"/>
    <m/>
    <m/>
  </r>
  <r>
    <x v="4"/>
    <x v="52"/>
    <s v="Named Major Tenant"/>
    <n v="10"/>
    <s v="Is specific tenant designated as major tenant?"/>
    <s v="Major Tenant name"/>
    <s v="Text"/>
    <m/>
    <m/>
  </r>
  <r>
    <x v="4"/>
    <x v="53"/>
    <s v="Dollar Amount"/>
    <n v="1"/>
    <s v="If signage/storage or any other income initial amount specified, extract amount"/>
    <s v="Extract Amount"/>
    <s v="Currency"/>
    <m/>
    <m/>
  </r>
  <r>
    <x v="4"/>
    <x v="53"/>
    <s v="Conditional language"/>
    <n v="2"/>
    <s v="If signage or any other income payment language available, extract language"/>
    <s v="Extract Clause"/>
    <s v="Text"/>
    <m/>
    <m/>
  </r>
  <r>
    <x v="4"/>
    <x v="53"/>
    <s v="Annual Increases"/>
    <n v="3"/>
    <s v="If signage/storage or any other income is subject to annual increases, mention that"/>
    <s v="Extract Clause"/>
    <s v="Text"/>
    <m/>
    <m/>
  </r>
  <r>
    <x v="4"/>
    <x v="53"/>
    <s v="Silent"/>
    <n v="4"/>
    <s v="If no other income clause mentioned, record &quot;None&quot;"/>
    <s v="Record &quot;None&quot;"/>
    <s v="Text"/>
    <m/>
    <m/>
  </r>
  <r>
    <x v="4"/>
    <x v="54"/>
    <s v="No Payments"/>
    <n v="1"/>
    <s v="Is tenant paying for Management fee? If No, extract &quot;No Recovery&quot;"/>
    <s v="Extract &quot;No Recovery&quot;"/>
    <s v="Text"/>
    <m/>
    <m/>
  </r>
  <r>
    <x v="4"/>
    <x v="54"/>
    <s v="Estimated Amount"/>
    <n v="2"/>
    <s v="If estimated Mgmt. Fee amount mentioned in Summary, extract clause"/>
    <s v="Extract Clause"/>
    <s v="Text"/>
    <m/>
    <m/>
  </r>
  <r>
    <x v="4"/>
    <x v="54"/>
    <s v="Included in CAM"/>
    <n v="3"/>
    <s v="If management fee included in CAM, extract clause"/>
    <s v="Extract Clause"/>
    <s v="Text"/>
    <m/>
    <m/>
  </r>
  <r>
    <x v="4"/>
    <x v="54"/>
    <s v="Percentage Stated"/>
    <n v="4"/>
    <s v="If management fee % specified, extract %"/>
    <s v="Extract Percentage"/>
    <s v="Numeric"/>
    <m/>
    <m/>
  </r>
  <r>
    <x v="4"/>
    <x v="54"/>
    <s v="Dollar Amount"/>
    <n v="5"/>
    <s v="If management fee amount specified, extract amount"/>
    <s v="Extract Amount"/>
    <s v="Currency"/>
    <m/>
    <m/>
  </r>
  <r>
    <x v="4"/>
    <x v="54"/>
    <s v="Silent"/>
    <n v="6"/>
    <s v="If no management fee mentioned, record none"/>
    <s v="Record None"/>
    <s v="Text"/>
    <m/>
    <m/>
  </r>
  <r>
    <x v="4"/>
    <x v="55"/>
    <s v="No Payments"/>
    <n v="1"/>
    <s v="Is tenant paying for Marketing? If No, extract &quot;No Recovery&quot;"/>
    <s v="Extract &quot;No Recovery&quot;"/>
    <s v="Text"/>
    <m/>
    <m/>
  </r>
  <r>
    <x v="4"/>
    <x v="55"/>
    <s v="Dollar Amount / Percentage"/>
    <n v="2"/>
    <s v="If marketing fee specified, extract amount or %"/>
    <s v="Extract Amount / Percentage"/>
    <s v="Currency / Numeric"/>
    <m/>
    <m/>
  </r>
  <r>
    <x v="4"/>
    <x v="55"/>
    <s v="Estimated Amount"/>
    <n v="3"/>
    <s v="If estimated amount mentioned in Summary, extract clause"/>
    <s v="Extract Clause"/>
    <s v="Text"/>
    <m/>
    <m/>
  </r>
  <r>
    <x v="4"/>
    <x v="55"/>
    <s v="Silent"/>
    <n v="4"/>
    <s v="If no marketing fee mentioned, record none"/>
    <s v="Record None"/>
    <s v="Text"/>
    <m/>
    <m/>
  </r>
  <r>
    <x v="4"/>
    <x v="56"/>
    <s v="No Payments"/>
    <n v="1"/>
    <s v="Is tenant paying for Insurance? If No, extract &quot;No Recovery&quot;"/>
    <s v="Extract &quot;No Recovery&quot;"/>
    <s v="Text"/>
    <m/>
    <m/>
  </r>
  <r>
    <x v="4"/>
    <x v="56"/>
    <s v="Included in Rent"/>
    <n v="2"/>
    <s v="If tenant paying for insurance but it is included in Rent, extract &quot;No Recovery&quot;"/>
    <s v="Extract &quot;No Recovery&quot;"/>
    <s v="Text"/>
    <m/>
    <m/>
  </r>
  <r>
    <x v="4"/>
    <x v="56"/>
    <s v="Estimated Amount"/>
    <n v="3"/>
    <s v="Is tenant paying for insurance? If Yes and estimated  Insurance amount mentioned in Summary, extract clause"/>
    <s v="Extract Clause"/>
    <s v="Text"/>
    <m/>
    <m/>
  </r>
  <r>
    <x v="4"/>
    <x v="56"/>
    <s v="Included in CAM"/>
    <n v="4"/>
    <s v="If insurance included in CAM, extract clause"/>
    <s v="Extract Clause"/>
    <s v="Text"/>
    <m/>
    <m/>
  </r>
  <r>
    <x v="4"/>
    <x v="56"/>
    <s v="Separate Charge"/>
    <n v="5"/>
    <s v="Is insurance payable separately as Additional rent? If Yes:-"/>
    <s v="Extract Clause"/>
    <s v="Text"/>
    <m/>
    <m/>
  </r>
  <r>
    <x v="4"/>
    <x v="56"/>
    <s v="Fixed Payments"/>
    <n v="6"/>
    <s v="Is it Fixed Payment (Flat Rate)"/>
    <s v="Extract rate per SF with annual increases percentage"/>
    <s v="Amount"/>
    <m/>
    <m/>
  </r>
  <r>
    <x v="4"/>
    <x v="56"/>
    <s v="Net Payments"/>
    <n v="7"/>
    <s v="Is it Pro Rata Share?"/>
    <s v="Extract %"/>
    <s v="Numeric"/>
    <m/>
    <m/>
  </r>
  <r>
    <x v="4"/>
    <x v="56"/>
    <s v="Mod. Gross Payments"/>
    <n v="8"/>
    <s v="Is it Pro Rata Share over Base year/Base year amount"/>
    <s v="Extract % with Base year/Base year amount"/>
    <s v="Numeric/Text"/>
    <m/>
    <m/>
  </r>
  <r>
    <x v="4"/>
    <x v="56"/>
    <s v="Definition Based"/>
    <n v="9"/>
    <s v="If tax inclusion/exclusion defined, extract clause"/>
    <s v="Extract Clause"/>
    <s v="Text"/>
    <m/>
    <m/>
  </r>
  <r>
    <x v="4"/>
    <x v="56"/>
    <s v="None in Summary, main clause available"/>
    <n v="10"/>
    <s v="If Insurance is &quot;None&quot; in Summary, check main lease clause:-_x000a_If CAM payments available in main clause, extract language"/>
    <s v="Extract Clause"/>
    <s v="Text"/>
    <m/>
    <m/>
  </r>
  <r>
    <x v="4"/>
    <x v="56"/>
    <s v="None in Summary and Main Clause not available"/>
    <n v="11"/>
    <s v="If Insurance is &quot;None&quot; in Summary, and main lease clause not available, extract &quot;No Recovery&quot;"/>
    <s v="Extract &quot;No Recovery&quot;"/>
    <s v="Text"/>
    <m/>
    <m/>
  </r>
  <r>
    <x v="4"/>
    <x v="56"/>
    <s v="Silent"/>
    <n v="12"/>
    <s v="If no RE tax clause mentioned, record none"/>
    <s v="Record None"/>
    <s v="Text"/>
    <m/>
    <m/>
  </r>
  <r>
    <x v="4"/>
    <x v="57"/>
    <s v="Conditional Language"/>
    <n v="1"/>
    <s v="If gross-up provision defined, extract clause"/>
    <s v="Extract Clause"/>
    <s v="Text"/>
    <m/>
    <m/>
  </r>
  <r>
    <x v="4"/>
    <x v="57"/>
    <s v="Percentage Stated"/>
    <n v="2"/>
    <s v="If gross-up % stated, extract %"/>
    <s v="Extract Percentage"/>
    <s v="Numeric"/>
    <m/>
    <m/>
  </r>
  <r>
    <x v="4"/>
    <x v="57"/>
    <s v="Silent"/>
    <n v="3"/>
    <s v="If no gross-up mentioned, record none"/>
    <s v="Record None"/>
    <s v="Text"/>
    <m/>
    <m/>
  </r>
  <r>
    <x v="4"/>
    <x v="58"/>
    <s v="Percentage Stated"/>
    <n v="1"/>
    <s v="If CAM cap % specified, extract %"/>
    <s v="Extract Percentage"/>
    <s v="Numeric"/>
    <m/>
    <m/>
  </r>
  <r>
    <x v="4"/>
    <x v="58"/>
    <s v="Conditional Language"/>
    <n v="2"/>
    <s v="If cap subject to exclusions, extract clause"/>
    <s v="Extract Clause"/>
    <s v="Text"/>
    <m/>
    <m/>
  </r>
  <r>
    <x v="4"/>
    <x v="58"/>
    <s v="Silent"/>
    <n v="3"/>
    <s v="If no cap mentioned, record none"/>
    <s v="Record None"/>
    <s v="Text"/>
    <m/>
    <m/>
  </r>
  <r>
    <x v="4"/>
    <x v="59"/>
    <s v="Definition Based"/>
    <n v="1"/>
    <s v="If CAM inclusions listed, extract inclusion language (for example- CAM includes/Operating Expenses means/Project Expenses consists of etc.)"/>
    <s v="Extract Clause"/>
    <s v="Text"/>
    <m/>
    <m/>
  </r>
  <r>
    <x v="4"/>
    <x v="59"/>
    <s v="Silent"/>
    <n v="2"/>
    <s v="If no inclusions mentioned, record none"/>
    <s v="Record None"/>
    <s v="Text"/>
    <m/>
    <m/>
  </r>
  <r>
    <x v="4"/>
    <x v="60"/>
    <s v="Definition Based"/>
    <n v="1"/>
    <s v="If CAM exclusions listed, extract exclusion language (for example- CAM excludes/Operating Expenses do not include/excludes/The following are not part of Operating expenses payments)"/>
    <s v="Extract Clause"/>
    <s v="Text"/>
    <m/>
    <m/>
  </r>
  <r>
    <x v="4"/>
    <x v="60"/>
    <s v="Silent"/>
    <n v="2"/>
    <s v="If no exclusions mentioned, record none"/>
    <s v="Record None"/>
    <s v="Text"/>
    <m/>
    <m/>
  </r>
  <r>
    <x v="4"/>
    <x v="61"/>
    <s v="No Payments"/>
    <n v="1"/>
    <s v="Is tenant paying for CAM? If No, extract &quot;No Recovery&quot;"/>
    <s v="Extract &quot;No Recovery&quot;"/>
    <s v="Text"/>
    <m/>
    <m/>
  </r>
  <r>
    <x v="4"/>
    <x v="61"/>
    <s v="Included in Rent"/>
    <n v="2"/>
    <s v="If tenant paying for CAM but it is included in Rent, extract &quot;No Recovery&quot;"/>
    <s v="Extract &quot;No Recovery&quot;"/>
    <s v="Text"/>
    <m/>
    <m/>
  </r>
  <r>
    <x v="4"/>
    <x v="61"/>
    <s v="Estimated Amount"/>
    <n v="3"/>
    <s v="Is tenant paying for CAM? If Yes and estimated CAM amount mentioned in Summary, extract clause"/>
    <s v="Extract Clause"/>
    <s v="Text"/>
    <m/>
    <m/>
  </r>
  <r>
    <x v="4"/>
    <x v="61"/>
    <s v="Separate Charge"/>
    <n v="4"/>
    <s v="Is CAM payable separately as Additional rent? If Yes:-"/>
    <s v="Extract Clause"/>
    <s v="Text"/>
    <m/>
    <m/>
  </r>
  <r>
    <x v="4"/>
    <x v="61"/>
    <s v="Fixed Payments"/>
    <n v="5"/>
    <s v="Is it Fixed CAM(Flat Rate)"/>
    <s v="Extract rate per SF with annual increases percentage"/>
    <s v="Amount/Text"/>
    <m/>
    <m/>
  </r>
  <r>
    <x v="4"/>
    <x v="61"/>
    <s v="Net Payments"/>
    <n v="6"/>
    <s v="Is it Pro Rata Share?"/>
    <s v="Extract %"/>
    <s v="Numeric"/>
    <m/>
    <m/>
  </r>
  <r>
    <x v="4"/>
    <x v="61"/>
    <s v="Mod. Gross Payments"/>
    <n v="7"/>
    <s v="Is it Pro Rata Share over Base year/Base year amount"/>
    <s v="Extract % with Base year"/>
    <s v="Numeric/Text"/>
    <m/>
    <m/>
  </r>
  <r>
    <x v="4"/>
    <x v="61"/>
    <s v="None in Summary, main clause available"/>
    <n v="8"/>
    <s v="If CAM is &quot;None&quot; in Summary, check main lease clause:-_x000a_If CAM payments available in main clause, extract language"/>
    <s v="Extract Clause"/>
    <s v="Text"/>
    <m/>
    <m/>
  </r>
  <r>
    <x v="4"/>
    <x v="61"/>
    <s v="None in Summary and Main Clause"/>
    <n v="9"/>
    <s v="If CAM is &quot;None&quot; in Summary, and main lease clause not available, extract &quot;No Recovery&quot;"/>
    <s v="Extract &quot;No Recovery&quot;"/>
    <s v="Text"/>
    <m/>
    <m/>
  </r>
  <r>
    <x v="4"/>
    <x v="61"/>
    <s v="Silent"/>
    <n v="10"/>
    <s v="If lease is silent, record None"/>
    <s v="Record None"/>
    <s v="Text"/>
    <m/>
    <m/>
  </r>
  <r>
    <x v="4"/>
    <x v="62"/>
    <s v="Dollar Amount"/>
    <n v="1"/>
    <s v="If base year amount specified, extract amount"/>
    <s v="Extract Amount"/>
    <s v="Currency"/>
    <m/>
    <m/>
  </r>
  <r>
    <x v="4"/>
    <x v="62"/>
    <s v="Silent"/>
    <n v="2"/>
    <s v="If no base year amount mentioned, record none"/>
    <s v="Record None"/>
    <s v="Text"/>
    <m/>
    <m/>
  </r>
  <r>
    <x v="4"/>
    <x v="63"/>
    <s v="Explicit Date Mentioned"/>
    <n v="1"/>
    <s v="If Base Year defined, extract base year"/>
    <s v="Extract Year"/>
    <s v="Numeric"/>
    <m/>
    <m/>
  </r>
  <r>
    <x v="4"/>
    <x v="63"/>
    <s v="Defined Term Reference"/>
    <n v="2"/>
    <s v="If base year defined in escalation clause, extract language"/>
    <s v="Extract Clause"/>
    <s v="Text"/>
    <m/>
    <m/>
  </r>
  <r>
    <x v="4"/>
    <x v="63"/>
    <s v="Silent"/>
    <n v="3"/>
    <s v="If no base year mentioned, record none"/>
    <s v="Record None"/>
    <s v="Text"/>
    <m/>
    <m/>
  </r>
  <r>
    <x v="4"/>
    <x v="64"/>
    <s v="No Payments"/>
    <n v="1"/>
    <s v="Is tenant paying for Advertising? If No, extract &quot;No Recovery&quot;"/>
    <s v="Extract &quot;No Recovery&quot;"/>
    <s v="Text"/>
    <m/>
    <m/>
  </r>
  <r>
    <x v="4"/>
    <x v="64"/>
    <s v="Dollar Amount"/>
    <n v="2"/>
    <s v="If advertising/marketing contribution specified, extract amount"/>
    <s v="Extract Amount"/>
    <s v="Currency"/>
    <m/>
    <m/>
  </r>
  <r>
    <x v="4"/>
    <x v="64"/>
    <s v="Percentage Stated"/>
    <n v="3"/>
    <s v="If contribution based on % of sales, extract %"/>
    <s v="Extract Percentage"/>
    <s v="Numeric"/>
    <m/>
    <m/>
  </r>
  <r>
    <x v="4"/>
    <x v="64"/>
    <s v="Estimated Amount"/>
    <n v="4"/>
    <s v="If estimated amount mentioned in Summary, extract clause"/>
    <s v="Extract Clause"/>
    <s v="Text"/>
    <m/>
    <m/>
  </r>
  <r>
    <x v="4"/>
    <x v="64"/>
    <s v="Silent"/>
    <n v="5"/>
    <s v="If no advertising contribution mentioned, record none"/>
    <s v="Record None"/>
    <s v="Text"/>
    <m/>
    <m/>
  </r>
  <r>
    <x v="4"/>
    <x v="65"/>
    <s v="No Payments"/>
    <n v="1"/>
    <s v="Is tenant paying for Admin fee? If No, extract &quot;No Recovery&quot;"/>
    <s v="Extract &quot;No Recovery&quot;"/>
    <s v="Text"/>
    <m/>
    <m/>
  </r>
  <r>
    <x v="4"/>
    <x v="65"/>
    <s v="Estimated Amount"/>
    <n v="2"/>
    <s v="If estimated Admin Fee amount mentioned in Summary, extract clause"/>
    <s v="Extract Clause"/>
    <s v="Text"/>
    <m/>
    <m/>
  </r>
  <r>
    <x v="4"/>
    <x v="65"/>
    <s v="Included in CAM"/>
    <n v="3"/>
    <s v="If admin fee included in CAM, extract clause"/>
    <s v="Extract Clause"/>
    <s v="Text"/>
    <m/>
    <m/>
  </r>
  <r>
    <x v="4"/>
    <x v="65"/>
    <s v="Dollar Amount / Percentage Stated"/>
    <n v="4"/>
    <s v="If Administrative Fee specified, extract amount or %"/>
    <s v="Extract Amount / Percentage"/>
    <s v="Currency / Numeric"/>
    <m/>
    <m/>
  </r>
  <r>
    <x v="4"/>
    <x v="65"/>
    <s v="Conditional Language"/>
    <n v="5"/>
    <s v="If admin fee subject to cap or condition, extract clause"/>
    <s v="Extract Clause"/>
    <s v="Text"/>
    <m/>
    <m/>
  </r>
  <r>
    <x v="4"/>
    <x v="65"/>
    <s v="Silent"/>
    <n v="6"/>
    <s v="If no admin fee mentioned, record none"/>
    <s v="Record None"/>
    <s v="Text"/>
    <m/>
    <m/>
  </r>
  <r>
    <x v="3"/>
    <x v="66"/>
    <s v="No Sublease"/>
    <n v="1"/>
    <s v="If no Sublease available, record &quot;None&quot;"/>
    <s v="Record None"/>
    <s v="Text"/>
    <m/>
    <m/>
  </r>
  <r>
    <x v="3"/>
    <x v="66"/>
    <s v="Subtenant Name"/>
    <n v="2"/>
    <s v="If Sublease available, extract subtenant name"/>
    <s v="Extract subtenant name"/>
    <s v="Text"/>
    <m/>
    <m/>
  </r>
  <r>
    <x v="3"/>
    <x v="66"/>
    <s v="Sublandlord Name"/>
    <n v="3"/>
    <s v="Extract Sublandlord Name"/>
    <s v="Extract Sublandlord Name"/>
    <s v="Text"/>
    <m/>
    <m/>
  </r>
  <r>
    <x v="3"/>
    <x v="66"/>
    <s v="Sublease LCD"/>
    <n v="4"/>
    <s v="Extract Sublease commencement date"/>
    <s v="Extract Sublease commencement date"/>
    <s v="Text"/>
    <m/>
    <m/>
  </r>
  <r>
    <x v="3"/>
    <x v="66"/>
    <s v="Sublease LED"/>
    <n v="5"/>
    <s v="Extract Sublease expiry date"/>
    <s v="Extract Sublease expiry date"/>
    <s v="Text"/>
    <m/>
    <m/>
  </r>
  <r>
    <x v="3"/>
    <x v="66"/>
    <s v="Sublease Team"/>
    <n v="6"/>
    <s v="Extract Sublease term"/>
    <s v="Extract Sublease term"/>
    <s v="Text"/>
    <m/>
    <m/>
  </r>
  <r>
    <x v="3"/>
    <x v="66"/>
    <s v="Sublease Rent"/>
    <n v="7"/>
    <s v="Extract Sublease annual rent as of today's date"/>
    <s v="Extract Sublease annual rent as of today's date"/>
    <s v="Text"/>
    <m/>
    <m/>
  </r>
  <r>
    <x v="5"/>
    <x v="67"/>
    <m/>
    <m/>
    <m/>
    <m/>
    <m/>
    <m/>
    <m/>
  </r>
  <r>
    <x v="5"/>
    <x v="67"/>
    <m/>
    <m/>
    <m/>
    <m/>
    <m/>
    <m/>
    <m/>
  </r>
  <r>
    <x v="5"/>
    <x v="67"/>
    <m/>
    <m/>
    <m/>
    <m/>
    <m/>
    <m/>
    <m/>
  </r>
  <r>
    <x v="5"/>
    <x v="67"/>
    <m/>
    <m/>
    <m/>
    <m/>
    <m/>
    <m/>
    <m/>
  </r>
  <r>
    <x v="5"/>
    <x v="67"/>
    <m/>
    <m/>
    <m/>
    <m/>
    <m/>
    <m/>
    <m/>
  </r>
  <r>
    <x v="5"/>
    <x v="67"/>
    <m/>
    <m/>
    <m/>
    <m/>
    <m/>
    <m/>
    <m/>
  </r>
  <r>
    <x v="5"/>
    <x v="67"/>
    <m/>
    <m/>
    <m/>
    <m/>
    <m/>
    <m/>
    <m/>
  </r>
  <r>
    <x v="5"/>
    <x v="67"/>
    <m/>
    <m/>
    <m/>
    <m/>
    <m/>
    <m/>
    <m/>
  </r>
  <r>
    <x v="5"/>
    <x v="67"/>
    <m/>
    <m/>
    <m/>
    <m/>
    <m/>
    <m/>
    <m/>
  </r>
  <r>
    <x v="5"/>
    <x v="67"/>
    <m/>
    <m/>
    <m/>
    <m/>
    <m/>
    <m/>
    <m/>
  </r>
  <r>
    <x v="5"/>
    <x v="67"/>
    <m/>
    <m/>
    <m/>
    <m/>
    <m/>
    <m/>
    <m/>
  </r>
  <r>
    <x v="5"/>
    <x v="67"/>
    <m/>
    <m/>
    <m/>
    <m/>
    <m/>
    <m/>
    <m/>
  </r>
  <r>
    <x v="5"/>
    <x v="67"/>
    <m/>
    <m/>
    <m/>
    <m/>
    <m/>
    <m/>
    <m/>
  </r>
  <r>
    <x v="5"/>
    <x v="67"/>
    <m/>
    <m/>
    <m/>
    <m/>
    <m/>
    <m/>
    <m/>
  </r>
  <r>
    <x v="5"/>
    <x v="67"/>
    <m/>
    <m/>
    <m/>
    <m/>
    <m/>
    <m/>
    <m/>
  </r>
  <r>
    <x v="5"/>
    <x v="67"/>
    <m/>
    <m/>
    <m/>
    <m/>
    <m/>
    <m/>
    <m/>
  </r>
  <r>
    <x v="5"/>
    <x v="67"/>
    <m/>
    <m/>
    <m/>
    <m/>
    <m/>
    <m/>
    <m/>
  </r>
  <r>
    <x v="5"/>
    <x v="67"/>
    <m/>
    <m/>
    <m/>
    <m/>
    <m/>
    <m/>
    <m/>
  </r>
  <r>
    <x v="5"/>
    <x v="67"/>
    <m/>
    <m/>
    <m/>
    <m/>
    <m/>
    <m/>
    <m/>
  </r>
  <r>
    <x v="5"/>
    <x v="67"/>
    <m/>
    <m/>
    <m/>
    <m/>
    <m/>
    <m/>
    <m/>
  </r>
  <r>
    <x v="5"/>
    <x v="67"/>
    <m/>
    <m/>
    <m/>
    <m/>
    <m/>
    <m/>
    <m/>
  </r>
  <r>
    <x v="5"/>
    <x v="67"/>
    <m/>
    <m/>
    <m/>
    <m/>
    <m/>
    <m/>
    <m/>
  </r>
  <r>
    <x v="5"/>
    <x v="67"/>
    <m/>
    <m/>
    <m/>
    <m/>
    <m/>
    <m/>
    <m/>
  </r>
  <r>
    <x v="5"/>
    <x v="67"/>
    <m/>
    <m/>
    <m/>
    <m/>
    <m/>
    <m/>
    <m/>
  </r>
  <r>
    <x v="5"/>
    <x v="67"/>
    <m/>
    <m/>
    <m/>
    <m/>
    <m/>
    <m/>
    <m/>
  </r>
  <r>
    <x v="5"/>
    <x v="67"/>
    <m/>
    <m/>
    <m/>
    <m/>
    <m/>
    <m/>
    <m/>
  </r>
  <r>
    <x v="5"/>
    <x v="67"/>
    <m/>
    <m/>
    <m/>
    <m/>
    <m/>
    <m/>
    <m/>
  </r>
  <r>
    <x v="5"/>
    <x v="67"/>
    <m/>
    <m/>
    <m/>
    <m/>
    <m/>
    <m/>
    <m/>
  </r>
  <r>
    <x v="5"/>
    <x v="67"/>
    <m/>
    <m/>
    <m/>
    <m/>
    <m/>
    <m/>
    <m/>
  </r>
  <r>
    <x v="5"/>
    <x v="67"/>
    <m/>
    <m/>
    <m/>
    <m/>
    <m/>
    <m/>
    <m/>
  </r>
  <r>
    <x v="5"/>
    <x v="67"/>
    <m/>
    <m/>
    <m/>
    <m/>
    <m/>
    <m/>
    <m/>
  </r>
  <r>
    <x v="5"/>
    <x v="67"/>
    <m/>
    <m/>
    <m/>
    <m/>
    <m/>
    <m/>
    <m/>
  </r>
  <r>
    <x v="5"/>
    <x v="67"/>
    <m/>
    <m/>
    <m/>
    <m/>
    <m/>
    <m/>
    <m/>
  </r>
  <r>
    <x v="5"/>
    <x v="67"/>
    <m/>
    <m/>
    <m/>
    <m/>
    <m/>
    <m/>
    <m/>
  </r>
  <r>
    <x v="5"/>
    <x v="67"/>
    <m/>
    <m/>
    <m/>
    <m/>
    <m/>
    <m/>
    <m/>
  </r>
  <r>
    <x v="5"/>
    <x v="67"/>
    <m/>
    <m/>
    <m/>
    <m/>
    <m/>
    <m/>
    <m/>
  </r>
  <r>
    <x v="5"/>
    <x v="67"/>
    <m/>
    <m/>
    <m/>
    <m/>
    <m/>
    <m/>
    <m/>
  </r>
  <r>
    <x v="5"/>
    <x v="67"/>
    <m/>
    <m/>
    <m/>
    <m/>
    <m/>
    <m/>
    <m/>
  </r>
  <r>
    <x v="5"/>
    <x v="67"/>
    <m/>
    <m/>
    <m/>
    <m/>
    <m/>
    <m/>
    <m/>
  </r>
  <r>
    <x v="5"/>
    <x v="67"/>
    <m/>
    <m/>
    <m/>
    <m/>
    <m/>
    <m/>
    <m/>
  </r>
  <r>
    <x v="5"/>
    <x v="67"/>
    <m/>
    <m/>
    <m/>
    <m/>
    <m/>
    <m/>
    <m/>
  </r>
  <r>
    <x v="5"/>
    <x v="67"/>
    <m/>
    <m/>
    <m/>
    <m/>
    <m/>
    <m/>
    <m/>
  </r>
  <r>
    <x v="5"/>
    <x v="67"/>
    <m/>
    <m/>
    <m/>
    <m/>
    <m/>
    <m/>
    <m/>
  </r>
  <r>
    <x v="5"/>
    <x v="67"/>
    <m/>
    <m/>
    <m/>
    <m/>
    <m/>
    <m/>
    <m/>
  </r>
  <r>
    <x v="5"/>
    <x v="67"/>
    <m/>
    <m/>
    <m/>
    <m/>
    <m/>
    <m/>
    <m/>
  </r>
  <r>
    <x v="5"/>
    <x v="67"/>
    <m/>
    <m/>
    <m/>
    <m/>
    <m/>
    <m/>
    <m/>
  </r>
  <r>
    <x v="5"/>
    <x v="67"/>
    <m/>
    <m/>
    <m/>
    <m/>
    <m/>
    <m/>
    <m/>
  </r>
  <r>
    <x v="5"/>
    <x v="67"/>
    <m/>
    <m/>
    <m/>
    <m/>
    <m/>
    <m/>
    <m/>
  </r>
  <r>
    <x v="5"/>
    <x v="67"/>
    <m/>
    <m/>
    <m/>
    <m/>
    <m/>
    <m/>
    <m/>
  </r>
  <r>
    <x v="5"/>
    <x v="67"/>
    <m/>
    <m/>
    <m/>
    <m/>
    <m/>
    <m/>
    <m/>
  </r>
  <r>
    <x v="5"/>
    <x v="67"/>
    <m/>
    <m/>
    <m/>
    <m/>
    <m/>
    <m/>
    <m/>
  </r>
  <r>
    <x v="5"/>
    <x v="67"/>
    <m/>
    <m/>
    <m/>
    <m/>
    <m/>
    <m/>
    <m/>
  </r>
  <r>
    <x v="5"/>
    <x v="67"/>
    <m/>
    <m/>
    <m/>
    <m/>
    <m/>
    <m/>
    <m/>
  </r>
  <r>
    <x v="5"/>
    <x v="67"/>
    <m/>
    <m/>
    <m/>
    <m/>
    <m/>
    <m/>
    <m/>
  </r>
  <r>
    <x v="5"/>
    <x v="67"/>
    <m/>
    <m/>
    <m/>
    <m/>
    <m/>
    <m/>
    <m/>
  </r>
  <r>
    <x v="5"/>
    <x v="67"/>
    <m/>
    <m/>
    <m/>
    <m/>
    <m/>
    <m/>
    <m/>
  </r>
  <r>
    <x v="5"/>
    <x v="67"/>
    <m/>
    <m/>
    <m/>
    <m/>
    <m/>
    <m/>
    <m/>
  </r>
  <r>
    <x v="5"/>
    <x v="67"/>
    <m/>
    <m/>
    <m/>
    <m/>
    <m/>
    <m/>
    <m/>
  </r>
  <r>
    <x v="5"/>
    <x v="67"/>
    <m/>
    <m/>
    <m/>
    <m/>
    <m/>
    <m/>
    <m/>
  </r>
  <r>
    <x v="5"/>
    <x v="67"/>
    <m/>
    <m/>
    <m/>
    <m/>
    <m/>
    <m/>
    <m/>
  </r>
  <r>
    <x v="5"/>
    <x v="67"/>
    <m/>
    <m/>
    <m/>
    <m/>
    <m/>
    <m/>
    <m/>
  </r>
  <r>
    <x v="5"/>
    <x v="67"/>
    <m/>
    <m/>
    <m/>
    <m/>
    <m/>
    <m/>
    <m/>
  </r>
  <r>
    <x v="5"/>
    <x v="67"/>
    <m/>
    <m/>
    <m/>
    <m/>
    <m/>
    <m/>
    <m/>
  </r>
  <r>
    <x v="5"/>
    <x v="67"/>
    <m/>
    <m/>
    <m/>
    <m/>
    <m/>
    <m/>
    <m/>
  </r>
  <r>
    <x v="5"/>
    <x v="67"/>
    <m/>
    <m/>
    <m/>
    <m/>
    <m/>
    <m/>
    <m/>
  </r>
  <r>
    <x v="5"/>
    <x v="67"/>
    <m/>
    <m/>
    <m/>
    <m/>
    <m/>
    <m/>
    <m/>
  </r>
  <r>
    <x v="5"/>
    <x v="67"/>
    <m/>
    <m/>
    <m/>
    <m/>
    <m/>
    <m/>
    <m/>
  </r>
  <r>
    <x v="5"/>
    <x v="67"/>
    <m/>
    <m/>
    <m/>
    <m/>
    <m/>
    <m/>
    <m/>
  </r>
  <r>
    <x v="5"/>
    <x v="67"/>
    <m/>
    <m/>
    <m/>
    <m/>
    <m/>
    <m/>
    <m/>
  </r>
  <r>
    <x v="5"/>
    <x v="67"/>
    <m/>
    <m/>
    <m/>
    <m/>
    <m/>
    <m/>
    <m/>
  </r>
  <r>
    <x v="5"/>
    <x v="67"/>
    <m/>
    <m/>
    <m/>
    <m/>
    <m/>
    <m/>
    <m/>
  </r>
  <r>
    <x v="5"/>
    <x v="67"/>
    <m/>
    <m/>
    <m/>
    <m/>
    <m/>
    <m/>
    <m/>
  </r>
  <r>
    <x v="5"/>
    <x v="67"/>
    <m/>
    <m/>
    <m/>
    <m/>
    <m/>
    <m/>
    <m/>
  </r>
  <r>
    <x v="5"/>
    <x v="67"/>
    <m/>
    <m/>
    <m/>
    <m/>
    <m/>
    <m/>
    <m/>
  </r>
  <r>
    <x v="5"/>
    <x v="67"/>
    <m/>
    <m/>
    <m/>
    <m/>
    <m/>
    <m/>
    <m/>
  </r>
  <r>
    <x v="5"/>
    <x v="67"/>
    <m/>
    <m/>
    <m/>
    <m/>
    <m/>
    <m/>
    <m/>
  </r>
  <r>
    <x v="5"/>
    <x v="67"/>
    <m/>
    <m/>
    <m/>
    <m/>
    <m/>
    <m/>
    <m/>
  </r>
  <r>
    <x v="5"/>
    <x v="67"/>
    <m/>
    <m/>
    <m/>
    <m/>
    <m/>
    <m/>
    <m/>
  </r>
  <r>
    <x v="5"/>
    <x v="67"/>
    <m/>
    <m/>
    <m/>
    <m/>
    <m/>
    <m/>
    <m/>
  </r>
  <r>
    <x v="5"/>
    <x v="67"/>
    <m/>
    <m/>
    <m/>
    <m/>
    <m/>
    <m/>
    <m/>
  </r>
  <r>
    <x v="5"/>
    <x v="67"/>
    <m/>
    <m/>
    <m/>
    <m/>
    <m/>
    <m/>
    <m/>
  </r>
  <r>
    <x v="5"/>
    <x v="67"/>
    <m/>
    <m/>
    <m/>
    <m/>
    <m/>
    <m/>
    <m/>
  </r>
  <r>
    <x v="5"/>
    <x v="67"/>
    <m/>
    <m/>
    <m/>
    <m/>
    <m/>
    <m/>
    <m/>
  </r>
  <r>
    <x v="5"/>
    <x v="67"/>
    <m/>
    <m/>
    <m/>
    <m/>
    <m/>
    <m/>
    <m/>
  </r>
  <r>
    <x v="5"/>
    <x v="67"/>
    <m/>
    <m/>
    <m/>
    <m/>
    <m/>
    <m/>
    <m/>
  </r>
  <r>
    <x v="5"/>
    <x v="67"/>
    <m/>
    <m/>
    <m/>
    <m/>
    <m/>
    <m/>
    <m/>
  </r>
  <r>
    <x v="5"/>
    <x v="67"/>
    <m/>
    <m/>
    <m/>
    <m/>
    <m/>
    <m/>
    <m/>
  </r>
  <r>
    <x v="5"/>
    <x v="67"/>
    <m/>
    <m/>
    <m/>
    <m/>
    <m/>
    <m/>
    <m/>
  </r>
  <r>
    <x v="5"/>
    <x v="67"/>
    <m/>
    <m/>
    <m/>
    <m/>
    <m/>
    <m/>
    <m/>
  </r>
  <r>
    <x v="5"/>
    <x v="67"/>
    <m/>
    <m/>
    <m/>
    <m/>
    <m/>
    <m/>
    <m/>
  </r>
  <r>
    <x v="5"/>
    <x v="67"/>
    <m/>
    <m/>
    <m/>
    <m/>
    <m/>
    <m/>
    <m/>
  </r>
  <r>
    <x v="5"/>
    <x v="67"/>
    <m/>
    <m/>
    <m/>
    <m/>
    <m/>
    <m/>
    <m/>
  </r>
  <r>
    <x v="5"/>
    <x v="67"/>
    <m/>
    <m/>
    <m/>
    <m/>
    <m/>
    <m/>
    <m/>
  </r>
  <r>
    <x v="5"/>
    <x v="67"/>
    <m/>
    <m/>
    <m/>
    <m/>
    <m/>
    <m/>
    <m/>
  </r>
  <r>
    <x v="5"/>
    <x v="67"/>
    <m/>
    <m/>
    <m/>
    <m/>
    <m/>
    <m/>
    <m/>
  </r>
  <r>
    <x v="5"/>
    <x v="67"/>
    <m/>
    <m/>
    <m/>
    <m/>
    <m/>
    <m/>
    <m/>
  </r>
  <r>
    <x v="5"/>
    <x v="67"/>
    <m/>
    <m/>
    <m/>
    <m/>
    <m/>
    <m/>
    <m/>
  </r>
  <r>
    <x v="5"/>
    <x v="67"/>
    <m/>
    <m/>
    <m/>
    <m/>
    <m/>
    <m/>
    <m/>
  </r>
  <r>
    <x v="5"/>
    <x v="67"/>
    <m/>
    <m/>
    <m/>
    <m/>
    <m/>
    <m/>
    <m/>
  </r>
  <r>
    <x v="5"/>
    <x v="67"/>
    <m/>
    <m/>
    <m/>
    <m/>
    <m/>
    <m/>
    <m/>
  </r>
  <r>
    <x v="5"/>
    <x v="67"/>
    <m/>
    <m/>
    <m/>
    <m/>
    <m/>
    <m/>
    <m/>
  </r>
  <r>
    <x v="5"/>
    <x v="67"/>
    <m/>
    <m/>
    <m/>
    <m/>
    <m/>
    <m/>
    <m/>
  </r>
  <r>
    <x v="5"/>
    <x v="67"/>
    <m/>
    <m/>
    <m/>
    <m/>
    <m/>
    <m/>
    <m/>
  </r>
  <r>
    <x v="5"/>
    <x v="67"/>
    <m/>
    <m/>
    <m/>
    <m/>
    <m/>
    <m/>
    <m/>
  </r>
  <r>
    <x v="5"/>
    <x v="67"/>
    <m/>
    <m/>
    <m/>
    <m/>
    <m/>
    <m/>
    <m/>
  </r>
  <r>
    <x v="5"/>
    <x v="67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8"/>
    <m/>
    <m/>
    <m/>
    <m/>
    <m/>
    <m/>
    <m/>
  </r>
  <r>
    <x v="5"/>
    <x v="67"/>
    <m/>
    <m/>
    <m/>
    <m/>
    <m/>
    <m/>
    <m/>
  </r>
  <r>
    <x v="5"/>
    <x v="67"/>
    <m/>
    <m/>
    <m/>
    <m/>
    <m/>
    <m/>
    <m/>
  </r>
  <r>
    <x v="5"/>
    <x v="67"/>
    <m/>
    <m/>
    <m/>
    <m/>
    <m/>
    <m/>
    <m/>
  </r>
  <r>
    <x v="5"/>
    <x v="67"/>
    <m/>
    <m/>
    <m/>
    <m/>
    <m/>
    <m/>
    <m/>
  </r>
  <r>
    <x v="5"/>
    <x v="67"/>
    <m/>
    <m/>
    <m/>
    <m/>
    <m/>
    <m/>
    <m/>
  </r>
  <r>
    <x v="5"/>
    <x v="67"/>
    <m/>
    <m/>
    <m/>
    <m/>
    <m/>
    <m/>
    <m/>
  </r>
  <r>
    <x v="5"/>
    <x v="67"/>
    <m/>
    <m/>
    <m/>
    <m/>
    <m/>
    <m/>
    <m/>
  </r>
  <r>
    <x v="5"/>
    <x v="67"/>
    <m/>
    <m/>
    <m/>
    <m/>
    <m/>
    <m/>
    <m/>
  </r>
  <r>
    <x v="5"/>
    <x v="67"/>
    <m/>
    <m/>
    <m/>
    <m/>
    <m/>
    <m/>
    <m/>
  </r>
  <r>
    <x v="5"/>
    <x v="67"/>
    <m/>
    <m/>
    <m/>
    <m/>
    <m/>
    <m/>
    <m/>
  </r>
  <r>
    <x v="5"/>
    <x v="67"/>
    <m/>
    <m/>
    <m/>
    <m/>
    <m/>
    <m/>
    <m/>
  </r>
  <r>
    <x v="5"/>
    <x v="67"/>
    <m/>
    <m/>
    <m/>
    <m/>
    <m/>
    <m/>
    <m/>
  </r>
  <r>
    <x v="5"/>
    <x v="67"/>
    <m/>
    <m/>
    <m/>
    <m/>
    <m/>
    <m/>
    <m/>
  </r>
  <r>
    <x v="5"/>
    <x v="67"/>
    <m/>
    <m/>
    <m/>
    <m/>
    <m/>
    <m/>
    <m/>
  </r>
  <r>
    <x v="5"/>
    <x v="67"/>
    <m/>
    <m/>
    <m/>
    <m/>
    <m/>
    <m/>
    <m/>
  </r>
  <r>
    <x v="5"/>
    <x v="67"/>
    <m/>
    <m/>
    <m/>
    <m/>
    <m/>
    <m/>
    <m/>
  </r>
  <r>
    <x v="5"/>
    <x v="67"/>
    <m/>
    <m/>
    <m/>
    <m/>
    <m/>
    <m/>
    <m/>
  </r>
  <r>
    <x v="5"/>
    <x v="67"/>
    <m/>
    <m/>
    <m/>
    <m/>
    <m/>
    <m/>
    <m/>
  </r>
  <r>
    <x v="5"/>
    <x v="67"/>
    <m/>
    <m/>
    <m/>
    <m/>
    <m/>
    <m/>
    <m/>
  </r>
  <r>
    <x v="5"/>
    <x v="67"/>
    <m/>
    <m/>
    <m/>
    <m/>
    <m/>
    <m/>
    <m/>
  </r>
  <r>
    <x v="5"/>
    <x v="67"/>
    <m/>
    <m/>
    <m/>
    <m/>
    <m/>
    <m/>
    <m/>
  </r>
  <r>
    <x v="5"/>
    <x v="67"/>
    <m/>
    <m/>
    <m/>
    <m/>
    <m/>
    <m/>
    <m/>
  </r>
  <r>
    <x v="5"/>
    <x v="67"/>
    <m/>
    <m/>
    <m/>
    <m/>
    <m/>
    <m/>
    <m/>
  </r>
  <r>
    <x v="5"/>
    <x v="67"/>
    <m/>
    <m/>
    <m/>
    <m/>
    <m/>
    <m/>
    <m/>
  </r>
  <r>
    <x v="5"/>
    <x v="67"/>
    <m/>
    <m/>
    <m/>
    <m/>
    <m/>
    <m/>
    <m/>
  </r>
  <r>
    <x v="5"/>
    <x v="67"/>
    <m/>
    <m/>
    <m/>
    <m/>
    <m/>
    <m/>
    <m/>
  </r>
  <r>
    <x v="5"/>
    <x v="67"/>
    <m/>
    <m/>
    <m/>
    <m/>
    <m/>
    <m/>
    <m/>
  </r>
  <r>
    <x v="5"/>
    <x v="67"/>
    <m/>
    <m/>
    <m/>
    <m/>
    <m/>
    <m/>
    <m/>
  </r>
  <r>
    <x v="5"/>
    <x v="67"/>
    <m/>
    <m/>
    <m/>
    <m/>
    <m/>
    <m/>
    <m/>
  </r>
  <r>
    <x v="5"/>
    <x v="67"/>
    <m/>
    <m/>
    <m/>
    <m/>
    <m/>
    <m/>
    <m/>
  </r>
  <r>
    <x v="5"/>
    <x v="67"/>
    <m/>
    <m/>
    <m/>
    <m/>
    <m/>
    <m/>
    <m/>
  </r>
  <r>
    <x v="5"/>
    <x v="67"/>
    <m/>
    <m/>
    <m/>
    <m/>
    <m/>
    <m/>
    <m/>
  </r>
  <r>
    <x v="5"/>
    <x v="67"/>
    <m/>
    <m/>
    <m/>
    <m/>
    <m/>
    <m/>
    <m/>
  </r>
  <r>
    <x v="5"/>
    <x v="67"/>
    <m/>
    <m/>
    <m/>
    <m/>
    <m/>
    <m/>
    <m/>
  </r>
  <r>
    <x v="5"/>
    <x v="67"/>
    <m/>
    <m/>
    <m/>
    <m/>
    <m/>
    <m/>
    <m/>
  </r>
  <r>
    <x v="5"/>
    <x v="67"/>
    <m/>
    <m/>
    <m/>
    <m/>
    <m/>
    <m/>
    <m/>
  </r>
  <r>
    <x v="5"/>
    <x v="67"/>
    <m/>
    <m/>
    <m/>
    <m/>
    <m/>
    <m/>
    <m/>
  </r>
  <r>
    <x v="5"/>
    <x v="67"/>
    <m/>
    <m/>
    <m/>
    <m/>
    <m/>
    <m/>
    <m/>
  </r>
  <r>
    <x v="5"/>
    <x v="67"/>
    <m/>
    <m/>
    <m/>
    <m/>
    <m/>
    <m/>
    <m/>
  </r>
  <r>
    <x v="5"/>
    <x v="67"/>
    <m/>
    <m/>
    <m/>
    <m/>
    <m/>
    <m/>
    <m/>
  </r>
  <r>
    <x v="5"/>
    <x v="67"/>
    <m/>
    <m/>
    <m/>
    <m/>
    <m/>
    <m/>
    <m/>
  </r>
  <r>
    <x v="5"/>
    <x v="67"/>
    <m/>
    <m/>
    <m/>
    <m/>
    <m/>
    <m/>
    <m/>
  </r>
  <r>
    <x v="5"/>
    <x v="67"/>
    <m/>
    <m/>
    <m/>
    <m/>
    <m/>
    <m/>
    <m/>
  </r>
  <r>
    <x v="5"/>
    <x v="67"/>
    <m/>
    <m/>
    <m/>
    <m/>
    <m/>
    <m/>
    <m/>
  </r>
  <r>
    <x v="5"/>
    <x v="67"/>
    <m/>
    <m/>
    <m/>
    <m/>
    <m/>
    <m/>
    <m/>
  </r>
  <r>
    <x v="5"/>
    <x v="67"/>
    <m/>
    <m/>
    <m/>
    <m/>
    <m/>
    <m/>
    <m/>
  </r>
  <r>
    <x v="5"/>
    <x v="67"/>
    <m/>
    <m/>
    <m/>
    <m/>
    <m/>
    <m/>
    <m/>
  </r>
  <r>
    <x v="5"/>
    <x v="67"/>
    <m/>
    <m/>
    <m/>
    <m/>
    <m/>
    <m/>
    <m/>
  </r>
  <r>
    <x v="5"/>
    <x v="67"/>
    <m/>
    <m/>
    <m/>
    <m/>
    <m/>
    <m/>
    <m/>
  </r>
  <r>
    <x v="5"/>
    <x v="67"/>
    <m/>
    <m/>
    <m/>
    <m/>
    <m/>
    <m/>
    <m/>
  </r>
  <r>
    <x v="5"/>
    <x v="67"/>
    <m/>
    <m/>
    <m/>
    <m/>
    <m/>
    <m/>
    <m/>
  </r>
  <r>
    <x v="5"/>
    <x v="67"/>
    <m/>
    <m/>
    <m/>
    <m/>
    <m/>
    <m/>
    <m/>
  </r>
  <r>
    <x v="5"/>
    <x v="67"/>
    <m/>
    <m/>
    <m/>
    <m/>
    <m/>
    <m/>
    <m/>
  </r>
  <r>
    <x v="5"/>
    <x v="67"/>
    <m/>
    <m/>
    <m/>
    <m/>
    <m/>
    <m/>
    <m/>
  </r>
  <r>
    <x v="5"/>
    <x v="67"/>
    <m/>
    <m/>
    <m/>
    <m/>
    <m/>
    <m/>
    <m/>
  </r>
  <r>
    <x v="5"/>
    <x v="67"/>
    <m/>
    <m/>
    <m/>
    <m/>
    <m/>
    <m/>
    <m/>
  </r>
  <r>
    <x v="5"/>
    <x v="67"/>
    <m/>
    <m/>
    <m/>
    <m/>
    <m/>
    <m/>
    <m/>
  </r>
  <r>
    <x v="5"/>
    <x v="67"/>
    <m/>
    <m/>
    <m/>
    <m/>
    <m/>
    <m/>
    <m/>
  </r>
  <r>
    <x v="5"/>
    <x v="67"/>
    <m/>
    <m/>
    <m/>
    <m/>
    <m/>
    <m/>
    <m/>
  </r>
  <r>
    <x v="5"/>
    <x v="67"/>
    <m/>
    <m/>
    <m/>
    <m/>
    <m/>
    <m/>
    <m/>
  </r>
  <r>
    <x v="5"/>
    <x v="67"/>
    <m/>
    <m/>
    <m/>
    <m/>
    <m/>
    <m/>
    <m/>
  </r>
  <r>
    <x v="5"/>
    <x v="67"/>
    <m/>
    <m/>
    <m/>
    <m/>
    <m/>
    <m/>
    <m/>
  </r>
  <r>
    <x v="5"/>
    <x v="67"/>
    <m/>
    <m/>
    <m/>
    <m/>
    <m/>
    <m/>
    <m/>
  </r>
  <r>
    <x v="5"/>
    <x v="67"/>
    <m/>
    <m/>
    <m/>
    <m/>
    <m/>
    <m/>
    <m/>
  </r>
  <r>
    <x v="5"/>
    <x v="67"/>
    <m/>
    <m/>
    <m/>
    <m/>
    <m/>
    <m/>
    <m/>
  </r>
  <r>
    <x v="5"/>
    <x v="67"/>
    <m/>
    <m/>
    <m/>
    <m/>
    <m/>
    <m/>
    <m/>
  </r>
  <r>
    <x v="5"/>
    <x v="67"/>
    <m/>
    <m/>
    <m/>
    <m/>
    <m/>
    <m/>
    <m/>
  </r>
  <r>
    <x v="5"/>
    <x v="67"/>
    <m/>
    <m/>
    <m/>
    <m/>
    <m/>
    <m/>
    <m/>
  </r>
  <r>
    <x v="5"/>
    <x v="67"/>
    <m/>
    <m/>
    <m/>
    <m/>
    <m/>
    <m/>
    <m/>
  </r>
  <r>
    <x v="5"/>
    <x v="67"/>
    <m/>
    <m/>
    <m/>
    <m/>
    <m/>
    <m/>
    <m/>
  </r>
  <r>
    <x v="5"/>
    <x v="67"/>
    <m/>
    <m/>
    <m/>
    <m/>
    <m/>
    <m/>
    <m/>
  </r>
  <r>
    <x v="5"/>
    <x v="67"/>
    <m/>
    <m/>
    <m/>
    <m/>
    <m/>
    <m/>
    <m/>
  </r>
  <r>
    <x v="5"/>
    <x v="67"/>
    <m/>
    <m/>
    <m/>
    <m/>
    <m/>
    <m/>
    <m/>
  </r>
  <r>
    <x v="5"/>
    <x v="67"/>
    <m/>
    <m/>
    <m/>
    <m/>
    <m/>
    <m/>
    <m/>
  </r>
  <r>
    <x v="5"/>
    <x v="67"/>
    <m/>
    <m/>
    <m/>
    <m/>
    <m/>
    <m/>
    <m/>
  </r>
  <r>
    <x v="5"/>
    <x v="67"/>
    <m/>
    <m/>
    <m/>
    <m/>
    <m/>
    <m/>
    <m/>
  </r>
  <r>
    <x v="5"/>
    <x v="67"/>
    <m/>
    <m/>
    <m/>
    <m/>
    <m/>
    <m/>
    <m/>
  </r>
  <r>
    <x v="5"/>
    <x v="67"/>
    <m/>
    <m/>
    <m/>
    <m/>
    <m/>
    <m/>
    <m/>
  </r>
  <r>
    <x v="5"/>
    <x v="67"/>
    <m/>
    <m/>
    <m/>
    <m/>
    <m/>
    <m/>
    <m/>
  </r>
  <r>
    <x v="5"/>
    <x v="67"/>
    <m/>
    <m/>
    <m/>
    <m/>
    <m/>
    <m/>
    <m/>
  </r>
  <r>
    <x v="5"/>
    <x v="67"/>
    <m/>
    <m/>
    <m/>
    <m/>
    <m/>
    <m/>
    <m/>
  </r>
  <r>
    <x v="5"/>
    <x v="67"/>
    <m/>
    <m/>
    <m/>
    <m/>
    <m/>
    <m/>
    <m/>
  </r>
  <r>
    <x v="5"/>
    <x v="67"/>
    <m/>
    <m/>
    <m/>
    <m/>
    <m/>
    <m/>
    <m/>
  </r>
  <r>
    <x v="5"/>
    <x v="67"/>
    <m/>
    <m/>
    <m/>
    <m/>
    <m/>
    <m/>
    <m/>
  </r>
  <r>
    <x v="5"/>
    <x v="67"/>
    <m/>
    <m/>
    <m/>
    <m/>
    <m/>
    <m/>
    <m/>
  </r>
  <r>
    <x v="5"/>
    <x v="67"/>
    <m/>
    <m/>
    <m/>
    <m/>
    <m/>
    <m/>
    <m/>
  </r>
  <r>
    <x v="5"/>
    <x v="67"/>
    <m/>
    <m/>
    <m/>
    <m/>
    <m/>
    <m/>
    <m/>
  </r>
  <r>
    <x v="5"/>
    <x v="67"/>
    <m/>
    <m/>
    <m/>
    <m/>
    <m/>
    <m/>
    <m/>
  </r>
  <r>
    <x v="5"/>
    <x v="67"/>
    <m/>
    <m/>
    <m/>
    <m/>
    <m/>
    <m/>
    <m/>
  </r>
  <r>
    <x v="5"/>
    <x v="67"/>
    <m/>
    <m/>
    <m/>
    <m/>
    <m/>
    <m/>
    <m/>
  </r>
  <r>
    <x v="5"/>
    <x v="67"/>
    <m/>
    <m/>
    <m/>
    <m/>
    <m/>
    <m/>
    <m/>
  </r>
  <r>
    <x v="5"/>
    <x v="67"/>
    <m/>
    <m/>
    <m/>
    <m/>
    <m/>
    <m/>
    <m/>
  </r>
  <r>
    <x v="5"/>
    <x v="67"/>
    <m/>
    <m/>
    <m/>
    <m/>
    <m/>
    <m/>
    <m/>
  </r>
  <r>
    <x v="5"/>
    <x v="67"/>
    <m/>
    <m/>
    <m/>
    <m/>
    <m/>
    <m/>
    <m/>
  </r>
  <r>
    <x v="5"/>
    <x v="67"/>
    <m/>
    <m/>
    <m/>
    <m/>
    <m/>
    <m/>
    <m/>
  </r>
  <r>
    <x v="5"/>
    <x v="67"/>
    <m/>
    <m/>
    <m/>
    <m/>
    <m/>
    <m/>
    <m/>
  </r>
  <r>
    <x v="5"/>
    <x v="67"/>
    <m/>
    <m/>
    <m/>
    <m/>
    <m/>
    <m/>
    <m/>
  </r>
  <r>
    <x v="5"/>
    <x v="67"/>
    <m/>
    <m/>
    <m/>
    <m/>
    <m/>
    <m/>
    <m/>
  </r>
  <r>
    <x v="5"/>
    <x v="67"/>
    <m/>
    <m/>
    <m/>
    <m/>
    <m/>
    <m/>
    <m/>
  </r>
  <r>
    <x v="5"/>
    <x v="67"/>
    <m/>
    <m/>
    <m/>
    <m/>
    <m/>
    <m/>
    <m/>
  </r>
  <r>
    <x v="5"/>
    <x v="67"/>
    <m/>
    <m/>
    <m/>
    <m/>
    <m/>
    <m/>
    <m/>
  </r>
  <r>
    <x v="5"/>
    <x v="67"/>
    <m/>
    <m/>
    <m/>
    <m/>
    <m/>
    <m/>
    <m/>
  </r>
  <r>
    <x v="5"/>
    <x v="67"/>
    <m/>
    <m/>
    <m/>
    <m/>
    <m/>
    <m/>
    <m/>
  </r>
  <r>
    <x v="5"/>
    <x v="67"/>
    <m/>
    <m/>
    <m/>
    <m/>
    <m/>
    <m/>
    <m/>
  </r>
  <r>
    <x v="5"/>
    <x v="67"/>
    <m/>
    <m/>
    <m/>
    <m/>
    <m/>
    <m/>
    <m/>
  </r>
  <r>
    <x v="5"/>
    <x v="67"/>
    <m/>
    <m/>
    <m/>
    <m/>
    <m/>
    <m/>
    <m/>
  </r>
  <r>
    <x v="5"/>
    <x v="67"/>
    <m/>
    <m/>
    <m/>
    <m/>
    <m/>
    <m/>
    <m/>
  </r>
  <r>
    <x v="5"/>
    <x v="67"/>
    <m/>
    <m/>
    <m/>
    <m/>
    <m/>
    <m/>
    <m/>
  </r>
  <r>
    <x v="5"/>
    <x v="67"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51E57E-45D8-4CB0-9348-9A8E76CBDF93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3" firstHeaderRow="1" firstDataRow="1" firstDataCol="1"/>
  <pivotFields count="9">
    <pivotField showAll="0">
      <items count="7">
        <item x="0"/>
        <item x="1"/>
        <item x="2"/>
        <item x="3"/>
        <item x="4"/>
        <item x="5"/>
        <item t="default"/>
      </items>
    </pivotField>
    <pivotField axis="axisRow" dataField="1" showAll="0">
      <items count="70">
        <item x="68"/>
        <item x="65"/>
        <item x="64"/>
        <item x="48"/>
        <item x="47"/>
        <item x="33"/>
        <item x="46"/>
        <item x="63"/>
        <item x="62"/>
        <item x="32"/>
        <item x="5"/>
        <item x="61"/>
        <item x="60"/>
        <item x="59"/>
        <item x="58"/>
        <item x="45"/>
        <item x="44"/>
        <item x="21"/>
        <item x="20"/>
        <item x="19"/>
        <item x="18"/>
        <item x="31"/>
        <item x="17"/>
        <item x="57"/>
        <item x="43"/>
        <item x="42"/>
        <item x="56"/>
        <item x="4"/>
        <item x="41"/>
        <item x="16"/>
        <item x="15"/>
        <item x="3"/>
        <item x="30"/>
        <item x="2"/>
        <item x="29"/>
        <item x="28"/>
        <item x="55"/>
        <item x="54"/>
        <item x="40"/>
        <item x="27"/>
        <item x="39"/>
        <item x="26"/>
        <item x="53"/>
        <item x="38"/>
        <item x="25"/>
        <item x="14"/>
        <item x="52"/>
        <item x="13"/>
        <item x="51"/>
        <item x="12"/>
        <item x="11"/>
        <item x="24"/>
        <item x="37"/>
        <item x="36"/>
        <item x="35"/>
        <item x="10"/>
        <item x="9"/>
        <item x="8"/>
        <item x="7"/>
        <item x="23"/>
        <item x="66"/>
        <item x="34"/>
        <item x="1"/>
        <item x="50"/>
        <item x="0"/>
        <item x="6"/>
        <item x="22"/>
        <item x="49"/>
        <item x="67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7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 t="grand">
      <x/>
    </i>
  </rowItems>
  <colItems count="1">
    <i/>
  </colItems>
  <dataFields count="1">
    <dataField name="Count of Fields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D9C26068-EF68-4A80-95E9-5FD77430FE5B}" autoFormatId="16" applyNumberFormats="0" applyBorderFormats="0" applyFontFormats="0" applyPatternFormats="0" applyAlignmentFormats="0" applyWidthHeightFormats="0">
  <queryTableRefresh nextId="4">
    <queryTableFields count="2">
      <queryTableField id="1" name="Fields" tableColumnId="1"/>
      <queryTableField id="3" name="Property_Type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9A2E8B0C-1DD8-46EB-B829-CCA59AF2FDA7}" autoFormatId="16" applyNumberFormats="0" applyBorderFormats="0" applyFontFormats="0" applyPatternFormats="0" applyAlignmentFormats="0" applyWidthHeightFormats="0">
  <queryTableRefresh nextId="4">
    <queryTableFields count="2">
      <queryTableField id="1" name="Fields" tableColumnId="1"/>
      <queryTableField id="3" name="Output_Type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B846FF8-AA0B-418D-9AAC-7B9B1C1DF908}" autoFormatId="16" applyNumberFormats="0" applyBorderFormats="0" applyFontFormats="0" applyPatternFormats="0" applyAlignmentFormats="0" applyWidthHeightFormats="0">
  <queryTableRefresh nextId="4">
    <queryTableFields count="2">
      <queryTableField id="1" name="Fields" tableColumnId="1"/>
      <queryTableField id="3" name="Keywords_Mapping" tableColumnId="2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152E6C9B-5250-4957-A293-713B12E67D91}" name="Table12" displayName="Table12" ref="I4:K74" totalsRowShown="0">
  <autoFilter ref="I4:K74" xr:uid="{8D33F252-74F1-4054-8082-C5F5F35A4598}"/>
  <tableColumns count="3">
    <tableColumn id="1" xr3:uid="{B041E266-E709-4830-B1F6-04E098CEEBCE}" name="Fields"/>
    <tableColumn id="2" xr3:uid="{0DCCA2EA-1648-4600-AEA7-8994AF4DA45A}" name="Type"/>
    <tableColumn id="3" xr3:uid="{7F71C675-59B2-40D1-9060-530C0DF59A28}" name="Column1" dataDxfId="7">
      <calculatedColumnFormula>MATCH(Table12[[#This Row],[Fields]], $N$3:$N$72, 0)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242EA0C-0758-40F4-A392-4EC37E6F5009}" name="Property_Type" displayName="Property_Type" ref="A1:B192" tableType="queryTable" totalsRowShown="0">
  <autoFilter ref="A1:B192" xr:uid="{F242EA0C-0758-40F4-A392-4EC37E6F5009}"/>
  <tableColumns count="2">
    <tableColumn id="1" xr3:uid="{551D2076-3E3E-418F-A510-306C617F5D53}" uniqueName="1" name="Fields" queryTableFieldId="1" dataDxfId="6"/>
    <tableColumn id="2" xr3:uid="{D2E79E2F-73CF-46AB-B66F-882192BA63B3}" uniqueName="2" name="Property_Type" queryTableFieldId="3" dataDxfId="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7117E35-26F0-4DDD-9B39-70F012BEBDAD}" name="Output_Type" displayName="Output_Type" ref="A1:B84" tableType="queryTable" totalsRowShown="0">
  <autoFilter ref="A1:B84" xr:uid="{97117E35-26F0-4DDD-9B39-70F012BEBDAD}">
    <filterColumn colId="0">
      <filters>
        <filter val="Suite"/>
      </filters>
    </filterColumn>
  </autoFilter>
  <tableColumns count="2">
    <tableColumn id="1" xr3:uid="{16FF7C68-D11A-4761-85C0-D113C5A44B3A}" uniqueName="1" name="Fields" queryTableFieldId="1" dataDxfId="4"/>
    <tableColumn id="2" xr3:uid="{B672087E-6AD2-4FD0-A054-71A67F076E1F}" uniqueName="2" name="Output_Type" queryTableFieldId="3" dataDxfId="3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EDF30C37-5BDA-4D85-9222-BDCDF3392ECD}" name="Keywords_Mapping" displayName="Keywords_Mapping" ref="A1:B988" tableType="queryTable" totalsRowShown="0">
  <autoFilter ref="A1:B988" xr:uid="{EDF30C37-5BDA-4D85-9222-BDCDF3392ECD}"/>
  <tableColumns count="2">
    <tableColumn id="1" xr3:uid="{8770F5B3-9D36-4D65-89A9-A75B3983B1F5}" uniqueName="1" name="Fields" queryTableFieldId="1" dataDxfId="2"/>
    <tableColumn id="2" xr3:uid="{B3DF01CD-ED15-45E7-987D-3ED4DA015E93}" uniqueName="2" name="Keywords_Mapping" queryTableFieldId="3" dataDxfId="1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B1B6D5C-89AB-43F8-9622-7490895D0637}" name="Questions" displayName="Questions" ref="A3:I1407" totalsRowShown="0">
  <tableColumns count="9">
    <tableColumn id="9" xr3:uid="{13913306-585E-4B35-958F-BFC4BD29684A}" name="Main Fields"/>
    <tableColumn id="1" xr3:uid="{F411C707-AA85-47F5-9D78-58CDF9949400}" name="Fields"/>
    <tableColumn id="2" xr3:uid="{BD6F09CB-8863-4A27-A01E-793092CC28BB}" name="Condition Type"/>
    <tableColumn id="3" xr3:uid="{B4BA5D30-690E-476F-8D3E-73A6305EDCD5}" name="Priority"/>
    <tableColumn id="4" xr3:uid="{1321832A-5DAB-46F2-A8AD-52FBFDEBB468}" name="Questions"/>
    <tableColumn id="5" xr3:uid="{4B1B10E7-A93B-4FBF-ABBE-39A176D56E47}" name="Extract"/>
    <tableColumn id="6" xr3:uid="{35B85CF3-6C9D-4685-BA2C-63AB98D5F367}" name="Output"/>
    <tableColumn id="7" xr3:uid="{F3A9BD2C-45CF-4ADD-956B-E55EB6E73FAE}" name="Column1"/>
    <tableColumn id="8" xr3:uid="{387A663D-5A41-4F32-897A-ACA5CB3782F4}" name="Column2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91EED-C3EB-433F-82E9-4EFEE5FCD632}">
  <sheetPr>
    <tabColor rgb="FF92D050"/>
  </sheetPr>
  <dimension ref="A2:K5"/>
  <sheetViews>
    <sheetView zoomScale="120" zoomScaleNormal="120" workbookViewId="0">
      <selection activeCell="B2" sqref="B2"/>
    </sheetView>
  </sheetViews>
  <sheetFormatPr defaultColWidth="9.140625" defaultRowHeight="15" x14ac:dyDescent="0.25"/>
  <cols>
    <col min="1" max="1" width="9.140625" style="13"/>
    <col min="2" max="3" width="16.140625" style="13" customWidth="1"/>
    <col min="4" max="9" width="16.140625" style="14" customWidth="1"/>
    <col min="10" max="16384" width="9.140625" style="13"/>
  </cols>
  <sheetData>
    <row r="2" spans="1:11" ht="45" x14ac:dyDescent="0.25">
      <c r="A2" s="15"/>
      <c r="B2" s="25" t="s">
        <v>1085</v>
      </c>
      <c r="C2" s="25" t="s">
        <v>1084</v>
      </c>
      <c r="D2" s="26" t="s">
        <v>1114</v>
      </c>
      <c r="E2" s="26" t="s">
        <v>1115</v>
      </c>
      <c r="F2" s="26" t="s">
        <v>1118</v>
      </c>
      <c r="G2" s="26" t="s">
        <v>1119</v>
      </c>
      <c r="H2" s="26" t="s">
        <v>1116</v>
      </c>
      <c r="I2" s="26" t="s">
        <v>1117</v>
      </c>
      <c r="J2" s="15"/>
      <c r="K2" s="15"/>
    </row>
    <row r="3" spans="1:11" x14ac:dyDescent="0.25">
      <c r="B3" s="27" t="s">
        <v>1120</v>
      </c>
      <c r="C3" s="27" t="s">
        <v>1121</v>
      </c>
      <c r="D3" s="28">
        <v>7</v>
      </c>
      <c r="E3" s="28">
        <v>2</v>
      </c>
      <c r="F3" s="28">
        <v>1</v>
      </c>
      <c r="G3" s="28">
        <v>2</v>
      </c>
      <c r="H3" s="28">
        <v>1</v>
      </c>
      <c r="I3" s="28">
        <f>D3-SUM(E3:H3)</f>
        <v>1</v>
      </c>
    </row>
    <row r="4" spans="1:11" x14ac:dyDescent="0.25">
      <c r="B4" s="27" t="s">
        <v>1120</v>
      </c>
      <c r="C4" s="27" t="s">
        <v>1122</v>
      </c>
      <c r="D4" s="28">
        <v>6</v>
      </c>
      <c r="E4" s="28">
        <v>2</v>
      </c>
      <c r="F4" s="28">
        <v>2</v>
      </c>
      <c r="G4" s="28">
        <v>2</v>
      </c>
      <c r="H4" s="28">
        <v>0</v>
      </c>
      <c r="I4" s="28">
        <f t="shared" ref="I4:I5" si="0">D4-SUM(E4:H4)</f>
        <v>0</v>
      </c>
    </row>
    <row r="5" spans="1:11" x14ac:dyDescent="0.25">
      <c r="B5" s="27" t="s">
        <v>1120</v>
      </c>
      <c r="C5" s="27" t="s">
        <v>1123</v>
      </c>
      <c r="D5" s="28">
        <v>3</v>
      </c>
      <c r="E5" s="28">
        <v>3</v>
      </c>
      <c r="F5" s="28">
        <v>0</v>
      </c>
      <c r="G5" s="28">
        <v>0</v>
      </c>
      <c r="H5" s="28">
        <v>0</v>
      </c>
      <c r="I5" s="28">
        <f t="shared" si="0"/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F1244-FBD7-4DB3-85A6-5845E366EEB7}">
  <sheetPr>
    <tabColor rgb="FF92D050"/>
  </sheetPr>
  <dimension ref="B1:G12"/>
  <sheetViews>
    <sheetView showGridLines="0" workbookViewId="0"/>
  </sheetViews>
  <sheetFormatPr defaultColWidth="9.140625" defaultRowHeight="15" x14ac:dyDescent="0.25"/>
  <cols>
    <col min="1" max="1" width="9.140625" style="17"/>
    <col min="2" max="2" width="25.85546875" style="18" customWidth="1"/>
    <col min="3" max="3" width="22" style="18" customWidth="1"/>
    <col min="4" max="5" width="9.140625" style="18"/>
    <col min="6" max="6" width="9.140625" style="17"/>
    <col min="7" max="7" width="14.42578125" style="17" customWidth="1"/>
    <col min="8" max="16384" width="9.140625" style="17"/>
  </cols>
  <sheetData>
    <row r="1" spans="2:7" ht="15.75" thickBot="1" x14ac:dyDescent="0.3">
      <c r="G1" s="20" t="s">
        <v>1086</v>
      </c>
    </row>
    <row r="2" spans="2:7" x14ac:dyDescent="0.25">
      <c r="B2" s="24"/>
      <c r="C2" s="21"/>
      <c r="D2" s="14"/>
      <c r="E2" s="14"/>
    </row>
    <row r="3" spans="2:7" x14ac:dyDescent="0.25">
      <c r="B3" s="24"/>
      <c r="C3" s="21"/>
      <c r="D3" s="14"/>
      <c r="E3" s="14"/>
    </row>
    <row r="4" spans="2:7" x14ac:dyDescent="0.25">
      <c r="B4" s="24"/>
      <c r="C4" s="21"/>
      <c r="D4" s="14"/>
      <c r="E4" s="14"/>
    </row>
    <row r="5" spans="2:7" ht="30" x14ac:dyDescent="0.25">
      <c r="B5" s="22" t="s">
        <v>473</v>
      </c>
      <c r="C5" s="22" t="s">
        <v>1082</v>
      </c>
      <c r="D5" s="22" t="s">
        <v>1081</v>
      </c>
      <c r="E5" s="22" t="s">
        <v>1080</v>
      </c>
    </row>
    <row r="6" spans="2:7" x14ac:dyDescent="0.25">
      <c r="B6" s="23" t="s">
        <v>1087</v>
      </c>
      <c r="C6" s="16" t="s">
        <v>1083</v>
      </c>
      <c r="D6" s="16"/>
      <c r="E6" s="16"/>
    </row>
    <row r="7" spans="2:7" x14ac:dyDescent="0.25">
      <c r="B7" s="23" t="s">
        <v>1087</v>
      </c>
      <c r="C7" s="16" t="s">
        <v>1083</v>
      </c>
      <c r="D7" s="16"/>
      <c r="E7" s="16"/>
    </row>
    <row r="8" spans="2:7" x14ac:dyDescent="0.25">
      <c r="B8" s="23" t="s">
        <v>1087</v>
      </c>
      <c r="C8" s="16" t="s">
        <v>1078</v>
      </c>
      <c r="D8" s="16"/>
      <c r="E8" s="16"/>
    </row>
    <row r="9" spans="2:7" x14ac:dyDescent="0.25">
      <c r="B9" s="23" t="s">
        <v>1088</v>
      </c>
      <c r="C9" s="16" t="s">
        <v>1083</v>
      </c>
      <c r="D9" s="16"/>
      <c r="E9" s="16"/>
    </row>
    <row r="10" spans="2:7" x14ac:dyDescent="0.25">
      <c r="B10" s="23" t="s">
        <v>1089</v>
      </c>
      <c r="C10" s="16" t="s">
        <v>1083</v>
      </c>
      <c r="D10" s="16"/>
      <c r="E10" s="16"/>
    </row>
    <row r="11" spans="2:7" x14ac:dyDescent="0.25">
      <c r="B11" s="23" t="s">
        <v>1089</v>
      </c>
      <c r="C11" s="16" t="s">
        <v>1078</v>
      </c>
      <c r="D11" s="19"/>
      <c r="E11" s="19"/>
    </row>
    <row r="12" spans="2:7" x14ac:dyDescent="0.25">
      <c r="B12" s="23" t="s">
        <v>1089</v>
      </c>
      <c r="C12" s="16" t="s">
        <v>1079</v>
      </c>
      <c r="D12" s="19"/>
      <c r="E12" s="19"/>
    </row>
  </sheetData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3F252-74F1-4054-8082-C5F5F35A4598}">
  <dimension ref="B1:O150"/>
  <sheetViews>
    <sheetView topLeftCell="A78" zoomScale="110" zoomScaleNormal="110" workbookViewId="0">
      <selection activeCell="J150" sqref="I80:J150"/>
    </sheetView>
  </sheetViews>
  <sheetFormatPr defaultRowHeight="15" x14ac:dyDescent="0.25"/>
  <cols>
    <col min="2" max="2" width="27" customWidth="1"/>
    <col min="9" max="9" width="25.7109375" customWidth="1"/>
    <col min="10" max="10" width="35.28515625" customWidth="1"/>
    <col min="13" max="13" width="32" bestFit="1" customWidth="1"/>
    <col min="14" max="14" width="27.85546875" customWidth="1"/>
  </cols>
  <sheetData>
    <row r="1" spans="2:15" x14ac:dyDescent="0.25">
      <c r="D1" t="s">
        <v>623</v>
      </c>
    </row>
    <row r="2" spans="2:15" x14ac:dyDescent="0.25">
      <c r="D2">
        <f>COUNTA(_xlfn.ANCHORARRAY(B5))</f>
        <v>71</v>
      </c>
    </row>
    <row r="3" spans="2:15" x14ac:dyDescent="0.25">
      <c r="N3" t="s">
        <v>786</v>
      </c>
      <c r="O3">
        <v>1</v>
      </c>
    </row>
    <row r="4" spans="2:15" x14ac:dyDescent="0.25">
      <c r="B4" s="1" t="s">
        <v>619</v>
      </c>
      <c r="I4" t="s">
        <v>619</v>
      </c>
      <c r="J4" t="s">
        <v>784</v>
      </c>
      <c r="K4" t="s">
        <v>736</v>
      </c>
      <c r="N4" t="s">
        <v>162</v>
      </c>
      <c r="O4">
        <f>O3+1</f>
        <v>2</v>
      </c>
    </row>
    <row r="5" spans="2:15" x14ac:dyDescent="0.25">
      <c r="B5" s="2" t="str" cm="1">
        <f t="array" ref="B5:B75">TRIM(_xlfn.UNIQUE(Output_Type[Fields]))</f>
        <v>Admin Fee</v>
      </c>
      <c r="I5" t="s">
        <v>786</v>
      </c>
      <c r="J5" t="s">
        <v>807</v>
      </c>
      <c r="K5">
        <f>MATCH(Table12[[#This Row],[Fields]], $N$3:$N$72, 0)</f>
        <v>1</v>
      </c>
      <c r="N5" t="s">
        <v>752</v>
      </c>
      <c r="O5">
        <f t="shared" ref="O5:O68" si="0">O4+1</f>
        <v>3</v>
      </c>
    </row>
    <row r="6" spans="2:15" x14ac:dyDescent="0.25">
      <c r="B6" s="3" t="str">
        <v>Allowance</v>
      </c>
      <c r="I6" t="s">
        <v>162</v>
      </c>
      <c r="J6" t="s">
        <v>785</v>
      </c>
      <c r="K6">
        <f>MATCH(Table12[[#This Row],[Fields]], $N$3:$N$72, 0)</f>
        <v>2</v>
      </c>
      <c r="N6" t="s">
        <v>174</v>
      </c>
      <c r="O6">
        <f t="shared" si="0"/>
        <v>4</v>
      </c>
    </row>
    <row r="7" spans="2:15" x14ac:dyDescent="0.25">
      <c r="B7" s="2" t="str">
        <v>Alteration</v>
      </c>
      <c r="I7" t="s">
        <v>752</v>
      </c>
      <c r="J7" t="s">
        <v>808</v>
      </c>
      <c r="K7">
        <f>MATCH(Table12[[#This Row],[Fields]], $N$3:$N$72, 0)</f>
        <v>3</v>
      </c>
      <c r="N7" t="s">
        <v>194</v>
      </c>
      <c r="O7">
        <f t="shared" si="0"/>
        <v>5</v>
      </c>
    </row>
    <row r="8" spans="2:15" x14ac:dyDescent="0.25">
      <c r="B8" s="3" t="str">
        <v>Annual Base Rent</v>
      </c>
      <c r="I8" t="s">
        <v>174</v>
      </c>
      <c r="J8" t="s">
        <v>785</v>
      </c>
      <c r="K8">
        <f>MATCH(Table12[[#This Row],[Fields]], $N$3:$N$72, 0)</f>
        <v>4</v>
      </c>
      <c r="N8" t="s">
        <v>209</v>
      </c>
      <c r="O8">
        <f t="shared" si="0"/>
        <v>6</v>
      </c>
    </row>
    <row r="9" spans="2:15" x14ac:dyDescent="0.25">
      <c r="B9" s="2" t="str">
        <v>Assignment and Subletting</v>
      </c>
      <c r="I9" t="s">
        <v>194</v>
      </c>
      <c r="J9" t="s">
        <v>808</v>
      </c>
      <c r="K9">
        <f>MATCH(Table12[[#This Row],[Fields]], $N$3:$N$72, 0)</f>
        <v>5</v>
      </c>
      <c r="N9" t="s">
        <v>9</v>
      </c>
      <c r="O9">
        <f t="shared" si="0"/>
        <v>7</v>
      </c>
    </row>
    <row r="10" spans="2:15" x14ac:dyDescent="0.25">
      <c r="B10" s="3" t="str">
        <v>Building</v>
      </c>
      <c r="I10" t="s">
        <v>209</v>
      </c>
      <c r="J10" t="s">
        <v>809</v>
      </c>
      <c r="K10">
        <f>MATCH(Table12[[#This Row],[Fields]], $N$3:$N$72, 0)</f>
        <v>6</v>
      </c>
      <c r="N10" t="s">
        <v>778</v>
      </c>
      <c r="O10">
        <f t="shared" si="0"/>
        <v>8</v>
      </c>
    </row>
    <row r="11" spans="2:15" x14ac:dyDescent="0.25">
      <c r="B11" s="2" t="str">
        <v>Base Year</v>
      </c>
      <c r="I11" t="s">
        <v>9</v>
      </c>
      <c r="J11" t="s">
        <v>807</v>
      </c>
      <c r="K11">
        <f>MATCH(Table12[[#This Row],[Fields]], $N$3:$N$72, 0)</f>
        <v>7</v>
      </c>
      <c r="N11" t="s">
        <v>11</v>
      </c>
      <c r="O11">
        <f t="shared" si="0"/>
        <v>9</v>
      </c>
    </row>
    <row r="12" spans="2:15" x14ac:dyDescent="0.25">
      <c r="B12" s="3" t="str">
        <v>CAM</v>
      </c>
      <c r="I12" t="s">
        <v>778</v>
      </c>
      <c r="J12" t="s">
        <v>807</v>
      </c>
      <c r="K12">
        <f>MATCH(Table12[[#This Row],[Fields]], $N$3:$N$72, 0)</f>
        <v>8</v>
      </c>
      <c r="N12" t="s">
        <v>12</v>
      </c>
      <c r="O12">
        <f t="shared" si="0"/>
        <v>10</v>
      </c>
    </row>
    <row r="13" spans="2:15" x14ac:dyDescent="0.25">
      <c r="B13" s="2" t="str">
        <v>CAM Inclusion</v>
      </c>
      <c r="I13" t="s">
        <v>11</v>
      </c>
      <c r="J13" t="s">
        <v>807</v>
      </c>
      <c r="K13">
        <f>MATCH(Table12[[#This Row],[Fields]], $N$3:$N$72, 0)</f>
        <v>9</v>
      </c>
      <c r="N13" t="s">
        <v>779</v>
      </c>
      <c r="O13">
        <f t="shared" si="0"/>
        <v>11</v>
      </c>
    </row>
    <row r="14" spans="2:15" x14ac:dyDescent="0.25">
      <c r="B14" s="3" t="str">
        <v>CAM Exclusion</v>
      </c>
      <c r="I14" t="s">
        <v>12</v>
      </c>
      <c r="J14" t="s">
        <v>807</v>
      </c>
      <c r="K14">
        <f>MATCH(Table12[[#This Row],[Fields]], $N$3:$N$72, 0)</f>
        <v>10</v>
      </c>
      <c r="N14" t="s">
        <v>248</v>
      </c>
      <c r="O14">
        <f t="shared" si="0"/>
        <v>12</v>
      </c>
    </row>
    <row r="15" spans="2:15" x14ac:dyDescent="0.25">
      <c r="B15" s="2" t="str">
        <v>Caps on CAM</v>
      </c>
      <c r="I15" t="s">
        <v>779</v>
      </c>
      <c r="J15" t="s">
        <v>807</v>
      </c>
      <c r="K15">
        <f>MATCH(Table12[[#This Row],[Fields]], $N$3:$N$72, 0)</f>
        <v>11</v>
      </c>
      <c r="N15" t="s">
        <v>268</v>
      </c>
      <c r="O15">
        <f t="shared" si="0"/>
        <v>13</v>
      </c>
    </row>
    <row r="16" spans="2:15" x14ac:dyDescent="0.25">
      <c r="B16" s="3" t="str">
        <v>Casualty</v>
      </c>
      <c r="I16" t="s">
        <v>248</v>
      </c>
      <c r="J16" t="s">
        <v>808</v>
      </c>
      <c r="K16">
        <f>MATCH(Table12[[#This Row],[Fields]], $N$3:$N$72, 0)</f>
        <v>12</v>
      </c>
      <c r="N16" t="s">
        <v>314</v>
      </c>
      <c r="O16">
        <f t="shared" si="0"/>
        <v>14</v>
      </c>
    </row>
    <row r="17" spans="2:15" x14ac:dyDescent="0.25">
      <c r="B17" s="2" t="str">
        <v>Condemnation</v>
      </c>
      <c r="I17" t="s">
        <v>268</v>
      </c>
      <c r="J17" t="s">
        <v>808</v>
      </c>
      <c r="K17">
        <f>MATCH(Table12[[#This Row],[Fields]], $N$3:$N$72, 0)</f>
        <v>13</v>
      </c>
      <c r="N17" t="s">
        <v>787</v>
      </c>
      <c r="O17">
        <f t="shared" si="0"/>
        <v>15</v>
      </c>
    </row>
    <row r="18" spans="2:15" x14ac:dyDescent="0.25">
      <c r="B18" s="3" t="str">
        <v>Continuous Operation</v>
      </c>
      <c r="I18" t="s">
        <v>314</v>
      </c>
      <c r="J18" t="s">
        <v>382</v>
      </c>
      <c r="K18">
        <f>MATCH(Table12[[#This Row],[Fields]], $N$3:$N$72, 0)</f>
        <v>14</v>
      </c>
      <c r="N18" t="s">
        <v>598</v>
      </c>
      <c r="O18">
        <f t="shared" si="0"/>
        <v>16</v>
      </c>
    </row>
    <row r="19" spans="2:15" x14ac:dyDescent="0.25">
      <c r="B19" s="2" t="str">
        <v>Contraction Option</v>
      </c>
      <c r="I19" t="s">
        <v>787</v>
      </c>
      <c r="J19" t="s">
        <v>810</v>
      </c>
      <c r="K19">
        <f>MATCH(Table12[[#This Row],[Fields]], $N$3:$N$72, 0)</f>
        <v>15</v>
      </c>
      <c r="N19" t="s">
        <v>795</v>
      </c>
      <c r="O19">
        <f t="shared" si="0"/>
        <v>17</v>
      </c>
    </row>
    <row r="20" spans="2:15" x14ac:dyDescent="0.25">
      <c r="B20" s="3" t="str">
        <v>Co-Tenancy</v>
      </c>
      <c r="I20" t="s">
        <v>598</v>
      </c>
      <c r="J20" t="s">
        <v>382</v>
      </c>
      <c r="K20">
        <f>MATCH(Table12[[#This Row],[Fields]], $N$3:$N$72, 0)</f>
        <v>16</v>
      </c>
      <c r="N20" t="s">
        <v>21</v>
      </c>
      <c r="O20">
        <f t="shared" si="0"/>
        <v>18</v>
      </c>
    </row>
    <row r="21" spans="2:15" x14ac:dyDescent="0.25">
      <c r="B21" s="2" t="str">
        <v>Monetary Default</v>
      </c>
      <c r="I21" t="s">
        <v>795</v>
      </c>
      <c r="J21" t="s">
        <v>808</v>
      </c>
      <c r="K21">
        <f>MATCH(Table12[[#This Row],[Fields]], $N$3:$N$72, 0)</f>
        <v>17</v>
      </c>
      <c r="N21" t="s">
        <v>22</v>
      </c>
      <c r="O21">
        <f t="shared" si="0"/>
        <v>19</v>
      </c>
    </row>
    <row r="22" spans="2:15" x14ac:dyDescent="0.25">
      <c r="B22" s="3" t="str">
        <v>Non-Monetary Default</v>
      </c>
      <c r="I22" t="s">
        <v>21</v>
      </c>
      <c r="J22" t="s">
        <v>808</v>
      </c>
      <c r="K22">
        <f>MATCH(Table12[[#This Row],[Fields]], $N$3:$N$72, 0)</f>
        <v>18</v>
      </c>
      <c r="N22" t="s">
        <v>777</v>
      </c>
      <c r="O22">
        <f t="shared" si="0"/>
        <v>20</v>
      </c>
    </row>
    <row r="23" spans="2:15" x14ac:dyDescent="0.25">
      <c r="B23" s="2" t="str">
        <v>Exclusive Use</v>
      </c>
      <c r="I23" t="s">
        <v>22</v>
      </c>
      <c r="J23" t="s">
        <v>382</v>
      </c>
      <c r="K23">
        <f>MATCH(Table12[[#This Row],[Fields]], $N$3:$N$72, 0)</f>
        <v>19</v>
      </c>
      <c r="N23" t="s">
        <v>788</v>
      </c>
      <c r="O23">
        <f t="shared" si="0"/>
        <v>21</v>
      </c>
    </row>
    <row r="24" spans="2:15" x14ac:dyDescent="0.25">
      <c r="B24" s="3" t="str">
        <v>Future Rent Steps</v>
      </c>
      <c r="I24" t="s">
        <v>777</v>
      </c>
      <c r="J24" t="s">
        <v>785</v>
      </c>
      <c r="K24">
        <f>MATCH(Table12[[#This Row],[Fields]], $N$3:$N$72, 0)</f>
        <v>20</v>
      </c>
      <c r="N24" t="s">
        <v>789</v>
      </c>
      <c r="O24">
        <f t="shared" si="0"/>
        <v>22</v>
      </c>
    </row>
    <row r="25" spans="2:15" x14ac:dyDescent="0.25">
      <c r="B25" s="2" t="str">
        <v>Go-Dark</v>
      </c>
      <c r="I25" t="s">
        <v>788</v>
      </c>
      <c r="J25" t="s">
        <v>382</v>
      </c>
      <c r="K25">
        <f>MATCH(Table12[[#This Row],[Fields]], $N$3:$N$72, 0)</f>
        <v>21</v>
      </c>
      <c r="N25" t="s">
        <v>790</v>
      </c>
      <c r="O25">
        <f t="shared" si="0"/>
        <v>23</v>
      </c>
    </row>
    <row r="26" spans="2:15" x14ac:dyDescent="0.25">
      <c r="B26" s="3" t="str">
        <v>Gross-up</v>
      </c>
      <c r="I26" t="s">
        <v>790</v>
      </c>
      <c r="J26" t="s">
        <v>807</v>
      </c>
      <c r="K26">
        <f>MATCH(Table12[[#This Row],[Fields]], $N$3:$N$72, 0)</f>
        <v>23</v>
      </c>
      <c r="N26" t="s">
        <v>322</v>
      </c>
      <c r="O26">
        <f t="shared" si="0"/>
        <v>24</v>
      </c>
    </row>
    <row r="27" spans="2:15" x14ac:dyDescent="0.25">
      <c r="B27" s="2" t="str">
        <v>Hazardous Materials</v>
      </c>
      <c r="I27" t="s">
        <v>322</v>
      </c>
      <c r="J27" t="s">
        <v>808</v>
      </c>
      <c r="K27">
        <f>MATCH(Table12[[#This Row],[Fields]], $N$3:$N$72, 0)</f>
        <v>24</v>
      </c>
      <c r="N27" t="s">
        <v>335</v>
      </c>
      <c r="O27">
        <f t="shared" si="0"/>
        <v>25</v>
      </c>
    </row>
    <row r="28" spans="2:15" x14ac:dyDescent="0.25">
      <c r="B28" s="3" t="str">
        <v>Holdover</v>
      </c>
      <c r="I28" t="s">
        <v>335</v>
      </c>
      <c r="J28" t="s">
        <v>808</v>
      </c>
      <c r="K28">
        <f>MATCH(Table12[[#This Row],[Fields]], $N$3:$N$72, 0)</f>
        <v>25</v>
      </c>
      <c r="N28" t="s">
        <v>342</v>
      </c>
      <c r="O28">
        <f t="shared" si="0"/>
        <v>26</v>
      </c>
    </row>
    <row r="29" spans="2:15" x14ac:dyDescent="0.25">
      <c r="B29" s="2" t="str">
        <v>Landlord Insurance</v>
      </c>
      <c r="I29" t="s">
        <v>342</v>
      </c>
      <c r="J29" t="s">
        <v>807</v>
      </c>
      <c r="K29">
        <f>MATCH(Table12[[#This Row],[Fields]], $N$3:$N$72, 0)</f>
        <v>26</v>
      </c>
      <c r="N29" t="s">
        <v>352</v>
      </c>
      <c r="O29">
        <f t="shared" si="0"/>
        <v>27</v>
      </c>
    </row>
    <row r="30" spans="2:15" x14ac:dyDescent="0.25">
      <c r="B30" s="3" t="str">
        <v>Lease Expiration Date</v>
      </c>
      <c r="I30" t="s">
        <v>352</v>
      </c>
      <c r="J30" t="s">
        <v>785</v>
      </c>
      <c r="K30">
        <f>MATCH(Table12[[#This Row],[Fields]], $N$3:$N$72, 0)</f>
        <v>27</v>
      </c>
      <c r="N30" t="s">
        <v>363</v>
      </c>
      <c r="O30">
        <f t="shared" si="0"/>
        <v>28</v>
      </c>
    </row>
    <row r="31" spans="2:15" x14ac:dyDescent="0.25">
      <c r="B31" s="2" t="str">
        <v>Lease Guarantor</v>
      </c>
      <c r="I31" t="s">
        <v>363</v>
      </c>
      <c r="J31" t="s">
        <v>809</v>
      </c>
      <c r="K31">
        <f>MATCH(Table12[[#This Row],[Fields]], $N$3:$N$72, 0)</f>
        <v>28</v>
      </c>
      <c r="N31" t="s">
        <v>792</v>
      </c>
      <c r="O31">
        <f t="shared" si="0"/>
        <v>29</v>
      </c>
    </row>
    <row r="32" spans="2:15" x14ac:dyDescent="0.25">
      <c r="B32" s="3" t="str">
        <v>Lease Term (yrs.)</v>
      </c>
      <c r="I32" t="s">
        <v>792</v>
      </c>
      <c r="J32" t="s">
        <v>785</v>
      </c>
      <c r="K32">
        <f>MATCH(Table12[[#This Row],[Fields]], $N$3:$N$72, 0)</f>
        <v>29</v>
      </c>
      <c r="N32" t="s">
        <v>793</v>
      </c>
      <c r="O32">
        <f t="shared" si="0"/>
        <v>30</v>
      </c>
    </row>
    <row r="33" spans="2:15" x14ac:dyDescent="0.25">
      <c r="B33" s="2" t="str">
        <v>Leased RSF</v>
      </c>
      <c r="I33" t="s">
        <v>793</v>
      </c>
      <c r="J33" t="s">
        <v>785</v>
      </c>
      <c r="K33">
        <f>MATCH(Table12[[#This Row],[Fields]], $N$3:$N$72, 0)</f>
        <v>30</v>
      </c>
      <c r="N33" t="s">
        <v>791</v>
      </c>
      <c r="O33">
        <f t="shared" si="0"/>
        <v>31</v>
      </c>
    </row>
    <row r="34" spans="2:15" x14ac:dyDescent="0.25">
      <c r="B34" s="3" t="str">
        <v>Landlord's Recapture Rights</v>
      </c>
      <c r="I34" t="s">
        <v>791</v>
      </c>
      <c r="J34" t="s">
        <v>810</v>
      </c>
      <c r="K34">
        <f>MATCH(Table12[[#This Row],[Fields]], $N$3:$N$72, 0)</f>
        <v>31</v>
      </c>
      <c r="N34" t="s">
        <v>794</v>
      </c>
      <c r="O34">
        <f t="shared" si="0"/>
        <v>32</v>
      </c>
    </row>
    <row r="35" spans="2:15" x14ac:dyDescent="0.25">
      <c r="B35" s="2" t="str">
        <v>Mgmt. Fee</v>
      </c>
      <c r="I35" t="s">
        <v>794</v>
      </c>
      <c r="J35" t="s">
        <v>807</v>
      </c>
      <c r="K35">
        <f>MATCH(Table12[[#This Row],[Fields]], $N$3:$N$72, 0)</f>
        <v>32</v>
      </c>
      <c r="N35" t="s">
        <v>796</v>
      </c>
      <c r="O35">
        <f t="shared" si="0"/>
        <v>33</v>
      </c>
    </row>
    <row r="36" spans="2:15" x14ac:dyDescent="0.25">
      <c r="B36" s="3" t="str">
        <v>Most Recent Lease Start</v>
      </c>
      <c r="I36" t="s">
        <v>796</v>
      </c>
      <c r="J36" t="s">
        <v>785</v>
      </c>
      <c r="K36">
        <f>MATCH(Table12[[#This Row],[Fields]], $N$3:$N$72, 0)</f>
        <v>33</v>
      </c>
      <c r="N36" t="s">
        <v>782</v>
      </c>
      <c r="O36">
        <f t="shared" si="0"/>
        <v>34</v>
      </c>
    </row>
    <row r="37" spans="2:15" x14ac:dyDescent="0.25">
      <c r="B37" s="2" t="str">
        <v>Original Lease Commencement Date</v>
      </c>
      <c r="I37" t="s">
        <v>782</v>
      </c>
      <c r="J37" t="s">
        <v>785</v>
      </c>
      <c r="K37">
        <f>MATCH(Table12[[#This Row],[Fields]], $N$3:$N$72, 0)</f>
        <v>34</v>
      </c>
      <c r="N37" t="s">
        <v>481</v>
      </c>
      <c r="O37">
        <f t="shared" si="0"/>
        <v>35</v>
      </c>
    </row>
    <row r="38" spans="2:15" x14ac:dyDescent="0.25">
      <c r="B38" s="3" t="str">
        <v>Parking</v>
      </c>
      <c r="I38" t="s">
        <v>481</v>
      </c>
      <c r="J38" t="s">
        <v>808</v>
      </c>
      <c r="K38">
        <f>MATCH(Table12[[#This Row],[Fields]], $N$3:$N$72, 0)</f>
        <v>35</v>
      </c>
      <c r="N38" t="s">
        <v>306</v>
      </c>
      <c r="O38">
        <f t="shared" si="0"/>
        <v>36</v>
      </c>
    </row>
    <row r="39" spans="2:15" x14ac:dyDescent="0.25">
      <c r="B39" s="2" t="str">
        <v>Permitted Use</v>
      </c>
      <c r="I39" t="s">
        <v>306</v>
      </c>
      <c r="J39" t="s">
        <v>382</v>
      </c>
      <c r="K39">
        <f>MATCH(Table12[[#This Row],[Fields]], $N$3:$N$72, 0)</f>
        <v>36</v>
      </c>
      <c r="N39" t="s">
        <v>797</v>
      </c>
      <c r="O39">
        <f t="shared" si="0"/>
        <v>37</v>
      </c>
    </row>
    <row r="40" spans="2:15" x14ac:dyDescent="0.25">
      <c r="B40" s="3" t="str">
        <v>Pro Rata %</v>
      </c>
      <c r="I40" t="s">
        <v>797</v>
      </c>
      <c r="J40" t="s">
        <v>807</v>
      </c>
      <c r="K40">
        <f>MATCH(Table12[[#This Row],[Fields]], $N$3:$N$72, 0)</f>
        <v>37</v>
      </c>
      <c r="N40" t="s">
        <v>798</v>
      </c>
      <c r="O40">
        <f t="shared" si="0"/>
        <v>38</v>
      </c>
    </row>
    <row r="41" spans="2:15" x14ac:dyDescent="0.25">
      <c r="B41" s="2" t="str">
        <v>Purchase Option</v>
      </c>
      <c r="I41" t="s">
        <v>798</v>
      </c>
      <c r="J41" t="s">
        <v>810</v>
      </c>
      <c r="K41">
        <f>MATCH(Table12[[#This Row],[Fields]], $N$3:$N$72, 0)</f>
        <v>38</v>
      </c>
      <c r="N41" t="s">
        <v>799</v>
      </c>
      <c r="O41">
        <f t="shared" si="0"/>
        <v>39</v>
      </c>
    </row>
    <row r="42" spans="2:15" x14ac:dyDescent="0.25">
      <c r="B42" s="3" t="str">
        <v>RE Taxes</v>
      </c>
      <c r="I42" t="s">
        <v>799</v>
      </c>
      <c r="J42" t="s">
        <v>807</v>
      </c>
      <c r="K42">
        <f>MATCH(Table12[[#This Row],[Fields]], $N$3:$N$72, 0)</f>
        <v>39</v>
      </c>
      <c r="N42" t="s">
        <v>387</v>
      </c>
      <c r="O42">
        <f t="shared" si="0"/>
        <v>40</v>
      </c>
    </row>
    <row r="43" spans="2:15" x14ac:dyDescent="0.25">
      <c r="B43" s="2" t="str">
        <v>Relocation</v>
      </c>
      <c r="I43" t="s">
        <v>387</v>
      </c>
      <c r="J43" t="s">
        <v>810</v>
      </c>
      <c r="K43">
        <f>MATCH(Table12[[#This Row],[Fields]], $N$3:$N$72, 0)</f>
        <v>40</v>
      </c>
      <c r="N43" t="s">
        <v>506</v>
      </c>
      <c r="O43">
        <f t="shared" si="0"/>
        <v>41</v>
      </c>
    </row>
    <row r="44" spans="2:15" x14ac:dyDescent="0.25">
      <c r="B44" s="3" t="str">
        <v>Renewal Options</v>
      </c>
      <c r="I44" t="s">
        <v>506</v>
      </c>
      <c r="J44" t="s">
        <v>810</v>
      </c>
      <c r="K44">
        <f>MATCH(Table12[[#This Row],[Fields]], $N$3:$N$72, 0)</f>
        <v>41</v>
      </c>
      <c r="N44" t="s">
        <v>800</v>
      </c>
      <c r="O44">
        <f t="shared" si="0"/>
        <v>42</v>
      </c>
    </row>
    <row r="45" spans="2:15" x14ac:dyDescent="0.25">
      <c r="B45" s="2" t="str">
        <v>Repair and Maintenance</v>
      </c>
      <c r="I45" t="s">
        <v>800</v>
      </c>
      <c r="J45" t="s">
        <v>808</v>
      </c>
      <c r="K45">
        <f>MATCH(Table12[[#This Row],[Fields]], $N$3:$N$72, 0)</f>
        <v>42</v>
      </c>
      <c r="N45" t="s">
        <v>801</v>
      </c>
      <c r="O45">
        <f t="shared" si="0"/>
        <v>43</v>
      </c>
    </row>
    <row r="46" spans="2:15" x14ac:dyDescent="0.25">
      <c r="B46" s="3" t="str">
        <v>Reporting of Financial Information</v>
      </c>
      <c r="I46" t="s">
        <v>801</v>
      </c>
      <c r="J46" t="s">
        <v>808</v>
      </c>
      <c r="K46">
        <f>MATCH(Table12[[#This Row],[Fields]], $N$3:$N$72, 0)</f>
        <v>43</v>
      </c>
      <c r="N46" t="s">
        <v>802</v>
      </c>
      <c r="O46">
        <f t="shared" si="0"/>
        <v>44</v>
      </c>
    </row>
    <row r="47" spans="2:15" x14ac:dyDescent="0.25">
      <c r="B47" s="2" t="str">
        <v>Reporting of Gross Sales</v>
      </c>
      <c r="I47" t="s">
        <v>802</v>
      </c>
      <c r="J47" t="s">
        <v>808</v>
      </c>
      <c r="K47">
        <f>MATCH(Table12[[#This Row],[Fields]], $N$3:$N$72, 0)</f>
        <v>44</v>
      </c>
      <c r="N47" t="s">
        <v>803</v>
      </c>
      <c r="O47">
        <f t="shared" si="0"/>
        <v>45</v>
      </c>
    </row>
    <row r="48" spans="2:15" x14ac:dyDescent="0.25">
      <c r="B48" s="3" t="str">
        <v>Right of Expansion</v>
      </c>
      <c r="I48" t="s">
        <v>803</v>
      </c>
      <c r="J48" t="s">
        <v>810</v>
      </c>
      <c r="K48">
        <f>MATCH(Table12[[#This Row],[Fields]], $N$3:$N$72, 0)</f>
        <v>45</v>
      </c>
      <c r="N48" t="s">
        <v>561</v>
      </c>
      <c r="O48">
        <f t="shared" si="0"/>
        <v>46</v>
      </c>
    </row>
    <row r="49" spans="2:15" x14ac:dyDescent="0.25">
      <c r="B49" s="2" t="str">
        <v>ROFO</v>
      </c>
      <c r="I49" t="s">
        <v>561</v>
      </c>
      <c r="J49" t="s">
        <v>810</v>
      </c>
      <c r="K49">
        <f>MATCH(Table12[[#This Row],[Fields]], $N$3:$N$72, 0)</f>
        <v>46</v>
      </c>
      <c r="N49" t="s">
        <v>568</v>
      </c>
      <c r="O49">
        <f t="shared" si="0"/>
        <v>47</v>
      </c>
    </row>
    <row r="50" spans="2:15" x14ac:dyDescent="0.25">
      <c r="B50" s="3" t="str">
        <v>ROFR</v>
      </c>
      <c r="I50" t="s">
        <v>568</v>
      </c>
      <c r="J50" t="s">
        <v>810</v>
      </c>
      <c r="K50">
        <f>MATCH(Table12[[#This Row],[Fields]], $N$3:$N$72, 0)</f>
        <v>47</v>
      </c>
      <c r="N50" t="s">
        <v>804</v>
      </c>
      <c r="O50">
        <f t="shared" si="0"/>
        <v>48</v>
      </c>
    </row>
    <row r="51" spans="2:15" x14ac:dyDescent="0.25">
      <c r="B51" s="2" t="str">
        <v>Sales Kick-Out</v>
      </c>
      <c r="I51" t="s">
        <v>804</v>
      </c>
      <c r="J51" t="s">
        <v>810</v>
      </c>
      <c r="K51">
        <f>MATCH(Table12[[#This Row],[Fields]], $N$3:$N$72, 0)</f>
        <v>48</v>
      </c>
      <c r="N51" t="s">
        <v>580</v>
      </c>
      <c r="O51">
        <f t="shared" si="0"/>
        <v>49</v>
      </c>
    </row>
    <row r="52" spans="2:15" x14ac:dyDescent="0.25">
      <c r="B52" s="3" t="str">
        <v>Subordination</v>
      </c>
      <c r="I52" t="s">
        <v>580</v>
      </c>
      <c r="J52" t="s">
        <v>808</v>
      </c>
      <c r="K52">
        <f>MATCH(Table12[[#This Row],[Fields]], $N$3:$N$72, 0)</f>
        <v>49</v>
      </c>
      <c r="N52" t="s">
        <v>805</v>
      </c>
      <c r="O52">
        <f t="shared" si="0"/>
        <v>50</v>
      </c>
    </row>
    <row r="53" spans="2:15" x14ac:dyDescent="0.25">
      <c r="B53" s="2" t="str">
        <v>Suite</v>
      </c>
      <c r="I53" t="s">
        <v>805</v>
      </c>
      <c r="J53" t="s">
        <v>809</v>
      </c>
      <c r="K53">
        <f>MATCH(Table12[[#This Row],[Fields]], $N$3:$N$72, 0)</f>
        <v>50</v>
      </c>
      <c r="N53" t="s">
        <v>442</v>
      </c>
      <c r="O53">
        <f t="shared" si="0"/>
        <v>51</v>
      </c>
    </row>
    <row r="54" spans="2:15" x14ac:dyDescent="0.25">
      <c r="B54" s="3" t="str">
        <v>Tenant Name</v>
      </c>
      <c r="I54" t="s">
        <v>442</v>
      </c>
      <c r="J54" t="s">
        <v>809</v>
      </c>
      <c r="K54">
        <f>MATCH(Table12[[#This Row],[Fields]], $N$3:$N$72, 0)</f>
        <v>51</v>
      </c>
      <c r="N54" t="s">
        <v>834</v>
      </c>
      <c r="O54">
        <f t="shared" si="0"/>
        <v>52</v>
      </c>
    </row>
    <row r="55" spans="2:15" x14ac:dyDescent="0.25">
      <c r="B55" s="2" t="str">
        <v>Tenant Termination</v>
      </c>
      <c r="I55" t="s">
        <v>834</v>
      </c>
      <c r="J55" t="s">
        <v>810</v>
      </c>
      <c r="K55">
        <f>MATCH(Table12[[#This Row],[Fields]], $N$3:$N$72, 0)</f>
        <v>52</v>
      </c>
      <c r="N55" t="s">
        <v>315</v>
      </c>
      <c r="O55">
        <f t="shared" si="0"/>
        <v>53</v>
      </c>
    </row>
    <row r="56" spans="2:15" x14ac:dyDescent="0.25">
      <c r="B56" s="3" t="str">
        <v>Utilities</v>
      </c>
      <c r="I56" t="s">
        <v>315</v>
      </c>
      <c r="J56" t="s">
        <v>807</v>
      </c>
      <c r="K56">
        <f>MATCH(Table12[[#This Row],[Fields]], $N$3:$N$72, 0)</f>
        <v>53</v>
      </c>
      <c r="N56" t="s">
        <v>64</v>
      </c>
      <c r="O56">
        <f t="shared" si="0"/>
        <v>54</v>
      </c>
    </row>
    <row r="57" spans="2:15" x14ac:dyDescent="0.25">
      <c r="B57" s="2" t="str">
        <v>Other Income (Exterior Signage/ Storage)</v>
      </c>
      <c r="I57" t="s">
        <v>64</v>
      </c>
      <c r="J57" t="s">
        <v>785</v>
      </c>
      <c r="K57">
        <f>MATCH(Table12[[#This Row],[Fields]], $N$3:$N$72, 0)</f>
        <v>54</v>
      </c>
      <c r="N57" t="s">
        <v>65</v>
      </c>
      <c r="O57">
        <f t="shared" si="0"/>
        <v>55</v>
      </c>
    </row>
    <row r="58" spans="2:15" x14ac:dyDescent="0.25">
      <c r="B58" s="3" t="str">
        <v>Percentage Rent</v>
      </c>
      <c r="I58" t="s">
        <v>65</v>
      </c>
      <c r="J58" t="s">
        <v>785</v>
      </c>
      <c r="K58">
        <f>MATCH(Table12[[#This Row],[Fields]], $N$3:$N$72, 0)</f>
        <v>55</v>
      </c>
      <c r="N58" t="s">
        <v>66</v>
      </c>
      <c r="O58">
        <f t="shared" si="0"/>
        <v>56</v>
      </c>
    </row>
    <row r="59" spans="2:15" x14ac:dyDescent="0.25">
      <c r="B59" s="2" t="str">
        <v>Breakpoint</v>
      </c>
      <c r="I59" t="s">
        <v>66</v>
      </c>
      <c r="J59" t="s">
        <v>785</v>
      </c>
      <c r="K59">
        <f>MATCH(Table12[[#This Row],[Fields]], $N$3:$N$72, 0)</f>
        <v>56</v>
      </c>
      <c r="N59" t="s">
        <v>67</v>
      </c>
      <c r="O59">
        <f t="shared" si="0"/>
        <v>57</v>
      </c>
    </row>
    <row r="60" spans="2:15" x14ac:dyDescent="0.25">
      <c r="B60" s="3" t="str">
        <v>Marketing</v>
      </c>
      <c r="I60" t="s">
        <v>67</v>
      </c>
      <c r="J60" t="s">
        <v>807</v>
      </c>
      <c r="K60">
        <f>MATCH(Table12[[#This Row],[Fields]], $N$3:$N$72, 0)</f>
        <v>57</v>
      </c>
      <c r="N60" t="s">
        <v>68</v>
      </c>
      <c r="O60">
        <f t="shared" si="0"/>
        <v>58</v>
      </c>
    </row>
    <row r="61" spans="2:15" x14ac:dyDescent="0.25">
      <c r="B61" s="2" t="str">
        <v>Security Deposit</v>
      </c>
      <c r="I61" t="s">
        <v>68</v>
      </c>
      <c r="J61" t="s">
        <v>785</v>
      </c>
      <c r="K61">
        <f>MATCH(Table12[[#This Row],[Fields]], $N$3:$N$72, 0)</f>
        <v>58</v>
      </c>
      <c r="N61" t="s">
        <v>775</v>
      </c>
      <c r="O61">
        <f t="shared" si="0"/>
        <v>59</v>
      </c>
    </row>
    <row r="62" spans="2:15" x14ac:dyDescent="0.25">
      <c r="B62" s="3" t="str">
        <v>Lease Date</v>
      </c>
      <c r="I62" t="s">
        <v>775</v>
      </c>
      <c r="J62" t="s">
        <v>785</v>
      </c>
      <c r="K62">
        <f>MATCH(Table12[[#This Row],[Fields]], $N$3:$N$72, 0)</f>
        <v>59</v>
      </c>
      <c r="N62" t="s">
        <v>71</v>
      </c>
      <c r="O62">
        <f t="shared" si="0"/>
        <v>60</v>
      </c>
    </row>
    <row r="63" spans="2:15" x14ac:dyDescent="0.25">
      <c r="B63" s="2" t="str">
        <v>Landlord Name</v>
      </c>
      <c r="I63" t="s">
        <v>71</v>
      </c>
      <c r="J63" t="s">
        <v>785</v>
      </c>
      <c r="K63">
        <f>MATCH(Table12[[#This Row],[Fields]], $N$3:$N$72, 0)</f>
        <v>60</v>
      </c>
      <c r="N63" t="s">
        <v>76</v>
      </c>
      <c r="O63">
        <f t="shared" si="0"/>
        <v>61</v>
      </c>
    </row>
    <row r="64" spans="2:15" x14ac:dyDescent="0.25">
      <c r="B64" s="3" t="str">
        <v>Tenant Insurance Requirements</v>
      </c>
      <c r="I64" t="s">
        <v>76</v>
      </c>
      <c r="J64" t="s">
        <v>809</v>
      </c>
      <c r="K64">
        <f>MATCH(Table12[[#This Row],[Fields]], $N$3:$N$72, 0)</f>
        <v>61</v>
      </c>
      <c r="N64" t="s">
        <v>88</v>
      </c>
      <c r="O64">
        <f t="shared" si="0"/>
        <v>62</v>
      </c>
    </row>
    <row r="65" spans="2:15" x14ac:dyDescent="0.25">
      <c r="B65" s="2" t="str">
        <v>Term Commencement date</v>
      </c>
      <c r="I65" t="s">
        <v>88</v>
      </c>
      <c r="J65" t="s">
        <v>808</v>
      </c>
      <c r="K65">
        <f>MATCH(Table12[[#This Row],[Fields]], $N$3:$N$72, 0)</f>
        <v>62</v>
      </c>
      <c r="N65" t="s">
        <v>92</v>
      </c>
      <c r="O65">
        <f t="shared" si="0"/>
        <v>63</v>
      </c>
    </row>
    <row r="66" spans="2:15" x14ac:dyDescent="0.25">
      <c r="B66" s="3" t="str">
        <v>Landlord Restriction</v>
      </c>
      <c r="I66" t="s">
        <v>92</v>
      </c>
      <c r="J66" t="s">
        <v>785</v>
      </c>
      <c r="K66">
        <f>MATCH(Table12[[#This Row],[Fields]], $N$3:$N$72, 0)</f>
        <v>63</v>
      </c>
      <c r="N66" t="s">
        <v>102</v>
      </c>
      <c r="O66">
        <f t="shared" si="0"/>
        <v>64</v>
      </c>
    </row>
    <row r="67" spans="2:15" x14ac:dyDescent="0.25">
      <c r="B67" s="2" t="str">
        <v>Sublease Provision</v>
      </c>
      <c r="I67" t="s">
        <v>102</v>
      </c>
      <c r="J67" t="s">
        <v>808</v>
      </c>
      <c r="K67">
        <f>MATCH(Table12[[#This Row],[Fields]], $N$3:$N$72, 0)</f>
        <v>64</v>
      </c>
      <c r="N67" t="s">
        <v>833</v>
      </c>
      <c r="O67">
        <f t="shared" si="0"/>
        <v>65</v>
      </c>
    </row>
    <row r="68" spans="2:15" x14ac:dyDescent="0.25">
      <c r="B68" s="3" t="str">
        <v>Advertisement</v>
      </c>
      <c r="I68" t="s">
        <v>833</v>
      </c>
      <c r="J68" t="s">
        <v>809</v>
      </c>
      <c r="K68">
        <f>MATCH(Table12[[#This Row],[Fields]], $N$3:$N$72, 0)</f>
        <v>65</v>
      </c>
      <c r="N68" t="s">
        <v>115</v>
      </c>
      <c r="O68">
        <f t="shared" si="0"/>
        <v>66</v>
      </c>
    </row>
    <row r="69" spans="2:15" x14ac:dyDescent="0.25">
      <c r="B69" s="2" t="str">
        <v>Landlord Termination</v>
      </c>
      <c r="I69" t="s">
        <v>115</v>
      </c>
      <c r="J69" t="s">
        <v>807</v>
      </c>
      <c r="K69">
        <f>MATCH(Table12[[#This Row],[Fields]], $N$3:$N$72, 0)</f>
        <v>66</v>
      </c>
      <c r="N69" t="s">
        <v>835</v>
      </c>
      <c r="O69">
        <f t="shared" ref="O69:O71" si="1">O68+1</f>
        <v>67</v>
      </c>
    </row>
    <row r="70" spans="2:15" x14ac:dyDescent="0.25">
      <c r="B70" s="3" t="str">
        <v>Base Year Amount</v>
      </c>
      <c r="I70" t="s">
        <v>835</v>
      </c>
      <c r="J70" t="s">
        <v>808</v>
      </c>
      <c r="K70">
        <f>MATCH(Table12[[#This Row],[Fields]], $N$3:$N$72, 0)</f>
        <v>67</v>
      </c>
      <c r="N70" t="s">
        <v>125</v>
      </c>
      <c r="O70">
        <f t="shared" si="1"/>
        <v>68</v>
      </c>
    </row>
    <row r="71" spans="2:15" x14ac:dyDescent="0.25">
      <c r="B71" s="2" t="str">
        <v>Property name</v>
      </c>
      <c r="I71" t="s">
        <v>125</v>
      </c>
      <c r="J71" t="s">
        <v>807</v>
      </c>
      <c r="K71">
        <f>MATCH(Table12[[#This Row],[Fields]], $N$3:$N$72, 0)</f>
        <v>68</v>
      </c>
      <c r="N71" t="s">
        <v>401</v>
      </c>
      <c r="O71">
        <f t="shared" si="1"/>
        <v>69</v>
      </c>
    </row>
    <row r="72" spans="2:15" x14ac:dyDescent="0.25">
      <c r="B72" s="3" t="str">
        <v>Street Address</v>
      </c>
      <c r="I72" t="s">
        <v>401</v>
      </c>
      <c r="J72" t="s">
        <v>785</v>
      </c>
      <c r="K72">
        <f>MATCH(Table12[[#This Row],[Fields]], $N$3:$N$72, 0)</f>
        <v>69</v>
      </c>
    </row>
    <row r="73" spans="2:15" x14ac:dyDescent="0.25">
      <c r="B73" s="2" t="str">
        <v>City</v>
      </c>
    </row>
    <row r="74" spans="2:15" x14ac:dyDescent="0.25">
      <c r="B74" s="3" t="str">
        <v>State</v>
      </c>
    </row>
    <row r="75" spans="2:15" x14ac:dyDescent="0.25">
      <c r="B75" t="str">
        <v>Rent Commencement Date</v>
      </c>
    </row>
    <row r="79" spans="2:15" x14ac:dyDescent="0.25">
      <c r="I79" s="11" t="s">
        <v>619</v>
      </c>
      <c r="J79" s="11" t="s">
        <v>784</v>
      </c>
      <c r="K79" t="s">
        <v>1074</v>
      </c>
    </row>
    <row r="80" spans="2:15" x14ac:dyDescent="0.25">
      <c r="I80" s="12" t="s">
        <v>786</v>
      </c>
      <c r="J80" s="12" t="s">
        <v>807</v>
      </c>
      <c r="K80">
        <v>29</v>
      </c>
    </row>
    <row r="81" spans="9:11" x14ac:dyDescent="0.25">
      <c r="I81" s="12" t="s">
        <v>162</v>
      </c>
      <c r="J81" s="12" t="s">
        <v>1076</v>
      </c>
      <c r="K81">
        <v>51</v>
      </c>
    </row>
    <row r="82" spans="9:11" x14ac:dyDescent="0.25">
      <c r="I82" s="12" t="s">
        <v>752</v>
      </c>
      <c r="J82" s="12" t="s">
        <v>1076</v>
      </c>
      <c r="K82">
        <v>52</v>
      </c>
    </row>
    <row r="83" spans="9:11" x14ac:dyDescent="0.25">
      <c r="I83" s="12" t="s">
        <v>174</v>
      </c>
      <c r="J83" s="12" t="s">
        <v>1075</v>
      </c>
      <c r="K83">
        <v>14</v>
      </c>
    </row>
    <row r="84" spans="9:11" x14ac:dyDescent="0.25">
      <c r="I84" s="12" t="s">
        <v>194</v>
      </c>
      <c r="J84" s="12" t="s">
        <v>1076</v>
      </c>
      <c r="K84">
        <v>53</v>
      </c>
    </row>
    <row r="85" spans="9:11" x14ac:dyDescent="0.25">
      <c r="I85" s="12" t="s">
        <v>209</v>
      </c>
      <c r="J85" s="12" t="s">
        <v>809</v>
      </c>
      <c r="K85">
        <v>5</v>
      </c>
    </row>
    <row r="86" spans="9:11" x14ac:dyDescent="0.25">
      <c r="I86" s="12" t="s">
        <v>9</v>
      </c>
      <c r="J86" s="12" t="s">
        <v>807</v>
      </c>
      <c r="K86">
        <v>30</v>
      </c>
    </row>
    <row r="87" spans="9:11" x14ac:dyDescent="0.25">
      <c r="I87" s="12" t="s">
        <v>778</v>
      </c>
      <c r="J87" s="12" t="s">
        <v>807</v>
      </c>
      <c r="K87">
        <v>18</v>
      </c>
    </row>
    <row r="88" spans="9:11" x14ac:dyDescent="0.25">
      <c r="I88" s="12" t="s">
        <v>11</v>
      </c>
      <c r="J88" s="12" t="s">
        <v>807</v>
      </c>
      <c r="K88">
        <v>19</v>
      </c>
    </row>
    <row r="89" spans="9:11" x14ac:dyDescent="0.25">
      <c r="I89" s="12" t="s">
        <v>12</v>
      </c>
      <c r="J89" s="12" t="s">
        <v>807</v>
      </c>
      <c r="K89">
        <v>20</v>
      </c>
    </row>
    <row r="90" spans="9:11" x14ac:dyDescent="0.25">
      <c r="I90" s="12" t="s">
        <v>779</v>
      </c>
      <c r="J90" s="12" t="s">
        <v>807</v>
      </c>
      <c r="K90">
        <v>21</v>
      </c>
    </row>
    <row r="91" spans="9:11" x14ac:dyDescent="0.25">
      <c r="I91" s="12" t="s">
        <v>248</v>
      </c>
      <c r="J91" s="12" t="s">
        <v>1076</v>
      </c>
      <c r="K91">
        <v>54</v>
      </c>
    </row>
    <row r="92" spans="9:11" x14ac:dyDescent="0.25">
      <c r="I92" s="12" t="s">
        <v>268</v>
      </c>
      <c r="J92" s="12" t="s">
        <v>1076</v>
      </c>
      <c r="K92">
        <v>55</v>
      </c>
    </row>
    <row r="93" spans="9:11" x14ac:dyDescent="0.25">
      <c r="I93" s="12" t="s">
        <v>314</v>
      </c>
      <c r="J93" s="12" t="s">
        <v>1002</v>
      </c>
      <c r="K93">
        <v>50</v>
      </c>
    </row>
    <row r="94" spans="9:11" x14ac:dyDescent="0.25">
      <c r="I94" s="12" t="s">
        <v>787</v>
      </c>
      <c r="J94" s="12" t="s">
        <v>1002</v>
      </c>
      <c r="K94">
        <v>46</v>
      </c>
    </row>
    <row r="95" spans="9:11" x14ac:dyDescent="0.25">
      <c r="I95" s="12" t="s">
        <v>598</v>
      </c>
      <c r="J95" s="12" t="s">
        <v>1002</v>
      </c>
      <c r="K95">
        <v>44</v>
      </c>
    </row>
    <row r="96" spans="9:11" x14ac:dyDescent="0.25">
      <c r="I96" s="12" t="s">
        <v>795</v>
      </c>
      <c r="J96" s="12" t="s">
        <v>1076</v>
      </c>
      <c r="K96">
        <v>56</v>
      </c>
    </row>
    <row r="97" spans="9:11" x14ac:dyDescent="0.25">
      <c r="I97" s="12" t="s">
        <v>21</v>
      </c>
      <c r="J97" s="12" t="s">
        <v>1076</v>
      </c>
      <c r="K97">
        <v>57</v>
      </c>
    </row>
    <row r="98" spans="9:11" x14ac:dyDescent="0.25">
      <c r="I98" s="12" t="s">
        <v>22</v>
      </c>
      <c r="J98" s="12" t="s">
        <v>1002</v>
      </c>
      <c r="K98">
        <v>45</v>
      </c>
    </row>
    <row r="99" spans="9:11" x14ac:dyDescent="0.25">
      <c r="I99" s="12" t="s">
        <v>777</v>
      </c>
      <c r="J99" s="12" t="s">
        <v>1075</v>
      </c>
      <c r="K99">
        <v>15</v>
      </c>
    </row>
    <row r="100" spans="9:11" x14ac:dyDescent="0.25">
      <c r="I100" s="12" t="s">
        <v>788</v>
      </c>
      <c r="J100" s="12" t="s">
        <v>1002</v>
      </c>
      <c r="K100">
        <v>47</v>
      </c>
    </row>
    <row r="101" spans="9:11" x14ac:dyDescent="0.25">
      <c r="I101" s="12" t="s">
        <v>790</v>
      </c>
      <c r="J101" s="12" t="s">
        <v>807</v>
      </c>
      <c r="K101">
        <v>22</v>
      </c>
    </row>
    <row r="102" spans="9:11" x14ac:dyDescent="0.25">
      <c r="I102" s="12" t="s">
        <v>322</v>
      </c>
      <c r="J102" s="12" t="s">
        <v>1076</v>
      </c>
      <c r="K102">
        <v>58</v>
      </c>
    </row>
    <row r="103" spans="9:11" x14ac:dyDescent="0.25">
      <c r="I103" s="12" t="s">
        <v>335</v>
      </c>
      <c r="J103" s="12" t="s">
        <v>1076</v>
      </c>
      <c r="K103">
        <v>59</v>
      </c>
    </row>
    <row r="104" spans="9:11" x14ac:dyDescent="0.25">
      <c r="I104" s="12" t="s">
        <v>1003</v>
      </c>
      <c r="J104" s="12" t="s">
        <v>807</v>
      </c>
      <c r="K104">
        <v>23</v>
      </c>
    </row>
    <row r="105" spans="9:11" x14ac:dyDescent="0.25">
      <c r="I105" s="12" t="s">
        <v>352</v>
      </c>
      <c r="J105" s="12" t="s">
        <v>1075</v>
      </c>
      <c r="K105">
        <v>9</v>
      </c>
    </row>
    <row r="106" spans="9:11" x14ac:dyDescent="0.25">
      <c r="I106" s="12" t="s">
        <v>363</v>
      </c>
      <c r="J106" s="12" t="s">
        <v>809</v>
      </c>
      <c r="K106">
        <v>4</v>
      </c>
    </row>
    <row r="107" spans="9:11" x14ac:dyDescent="0.25">
      <c r="I107" s="12" t="s">
        <v>792</v>
      </c>
      <c r="J107" s="12" t="s">
        <v>1075</v>
      </c>
      <c r="K107">
        <v>10</v>
      </c>
    </row>
    <row r="108" spans="9:11" x14ac:dyDescent="0.25">
      <c r="I108" s="12" t="s">
        <v>793</v>
      </c>
      <c r="J108" s="12" t="s">
        <v>1075</v>
      </c>
      <c r="K108">
        <v>13</v>
      </c>
    </row>
    <row r="109" spans="9:11" x14ac:dyDescent="0.25">
      <c r="I109" s="12" t="s">
        <v>791</v>
      </c>
      <c r="J109" s="12" t="s">
        <v>1002</v>
      </c>
      <c r="K109">
        <v>48</v>
      </c>
    </row>
    <row r="110" spans="9:11" x14ac:dyDescent="0.25">
      <c r="I110" s="12" t="s">
        <v>794</v>
      </c>
      <c r="J110" s="12" t="s">
        <v>807</v>
      </c>
      <c r="K110">
        <v>28</v>
      </c>
    </row>
    <row r="111" spans="9:11" x14ac:dyDescent="0.25">
      <c r="I111" s="12" t="s">
        <v>796</v>
      </c>
      <c r="J111" s="12" t="s">
        <v>1075</v>
      </c>
      <c r="K111">
        <v>12</v>
      </c>
    </row>
    <row r="112" spans="9:11" x14ac:dyDescent="0.25">
      <c r="I112" s="12" t="s">
        <v>782</v>
      </c>
      <c r="J112" s="12" t="s">
        <v>1075</v>
      </c>
      <c r="K112">
        <v>7</v>
      </c>
    </row>
    <row r="113" spans="9:11" x14ac:dyDescent="0.25">
      <c r="I113" s="12" t="s">
        <v>481</v>
      </c>
      <c r="J113" s="12" t="s">
        <v>1076</v>
      </c>
      <c r="K113">
        <v>60</v>
      </c>
    </row>
    <row r="114" spans="9:11" x14ac:dyDescent="0.25">
      <c r="I114" s="12" t="s">
        <v>306</v>
      </c>
      <c r="J114" s="12" t="s">
        <v>1002</v>
      </c>
      <c r="K114">
        <v>49</v>
      </c>
    </row>
    <row r="115" spans="9:11" x14ac:dyDescent="0.25">
      <c r="I115" s="12" t="s">
        <v>797</v>
      </c>
      <c r="J115" s="12" t="s">
        <v>807</v>
      </c>
      <c r="K115">
        <v>27</v>
      </c>
    </row>
    <row r="116" spans="9:11" x14ac:dyDescent="0.25">
      <c r="I116" s="12" t="s">
        <v>798</v>
      </c>
      <c r="J116" s="12" t="s">
        <v>1002</v>
      </c>
      <c r="K116">
        <v>42</v>
      </c>
    </row>
    <row r="117" spans="9:11" x14ac:dyDescent="0.25">
      <c r="I117" s="12" t="s">
        <v>799</v>
      </c>
      <c r="J117" s="12" t="s">
        <v>807</v>
      </c>
      <c r="K117">
        <v>25</v>
      </c>
    </row>
    <row r="118" spans="9:11" x14ac:dyDescent="0.25">
      <c r="I118" s="12" t="s">
        <v>387</v>
      </c>
      <c r="J118" s="12" t="s">
        <v>1002</v>
      </c>
      <c r="K118">
        <v>43</v>
      </c>
    </row>
    <row r="119" spans="9:11" x14ac:dyDescent="0.25">
      <c r="I119" s="12" t="s">
        <v>506</v>
      </c>
      <c r="J119" s="12" t="s">
        <v>1002</v>
      </c>
      <c r="K119">
        <v>35</v>
      </c>
    </row>
    <row r="120" spans="9:11" x14ac:dyDescent="0.25">
      <c r="I120" s="12" t="s">
        <v>800</v>
      </c>
      <c r="J120" s="12" t="s">
        <v>1076</v>
      </c>
      <c r="K120">
        <v>61</v>
      </c>
    </row>
    <row r="121" spans="9:11" x14ac:dyDescent="0.25">
      <c r="I121" s="12" t="s">
        <v>801</v>
      </c>
      <c r="J121" s="12" t="s">
        <v>1076</v>
      </c>
      <c r="K121">
        <v>62</v>
      </c>
    </row>
    <row r="122" spans="9:11" x14ac:dyDescent="0.25">
      <c r="I122" s="12" t="s">
        <v>802</v>
      </c>
      <c r="J122" s="12" t="s">
        <v>1076</v>
      </c>
      <c r="K122">
        <v>63</v>
      </c>
    </row>
    <row r="123" spans="9:11" x14ac:dyDescent="0.25">
      <c r="I123" s="12" t="s">
        <v>803</v>
      </c>
      <c r="J123" s="12" t="s">
        <v>1002</v>
      </c>
      <c r="K123">
        <v>36</v>
      </c>
    </row>
    <row r="124" spans="9:11" x14ac:dyDescent="0.25">
      <c r="I124" s="12" t="s">
        <v>561</v>
      </c>
      <c r="J124" s="12" t="s">
        <v>1002</v>
      </c>
      <c r="K124">
        <v>37</v>
      </c>
    </row>
    <row r="125" spans="9:11" x14ac:dyDescent="0.25">
      <c r="I125" s="12" t="s">
        <v>568</v>
      </c>
      <c r="J125" s="12" t="s">
        <v>1002</v>
      </c>
      <c r="K125">
        <v>38</v>
      </c>
    </row>
    <row r="126" spans="9:11" x14ac:dyDescent="0.25">
      <c r="I126" s="12" t="s">
        <v>804</v>
      </c>
      <c r="J126" s="12" t="s">
        <v>1002</v>
      </c>
      <c r="K126">
        <v>39</v>
      </c>
    </row>
    <row r="127" spans="9:11" x14ac:dyDescent="0.25">
      <c r="I127" s="12" t="s">
        <v>580</v>
      </c>
      <c r="J127" s="12" t="s">
        <v>1076</v>
      </c>
      <c r="K127">
        <v>64</v>
      </c>
    </row>
    <row r="128" spans="9:11" x14ac:dyDescent="0.25">
      <c r="I128" s="12" t="s">
        <v>805</v>
      </c>
      <c r="J128" s="12" t="s">
        <v>809</v>
      </c>
      <c r="K128">
        <v>6</v>
      </c>
    </row>
    <row r="129" spans="9:11" x14ac:dyDescent="0.25">
      <c r="I129" s="12" t="s">
        <v>442</v>
      </c>
      <c r="J129" s="12" t="s">
        <v>809</v>
      </c>
      <c r="K129">
        <v>2</v>
      </c>
    </row>
    <row r="130" spans="9:11" x14ac:dyDescent="0.25">
      <c r="I130" s="12" t="s">
        <v>834</v>
      </c>
      <c r="J130" s="12" t="s">
        <v>1002</v>
      </c>
      <c r="K130">
        <v>40</v>
      </c>
    </row>
    <row r="131" spans="9:11" x14ac:dyDescent="0.25">
      <c r="I131" s="12" t="s">
        <v>315</v>
      </c>
      <c r="J131" s="12" t="s">
        <v>807</v>
      </c>
      <c r="K131">
        <v>26</v>
      </c>
    </row>
    <row r="132" spans="9:11" x14ac:dyDescent="0.25">
      <c r="I132" s="12" t="s">
        <v>64</v>
      </c>
      <c r="J132" s="12" t="s">
        <v>807</v>
      </c>
      <c r="K132">
        <v>34</v>
      </c>
    </row>
    <row r="133" spans="9:11" x14ac:dyDescent="0.25">
      <c r="I133" s="12" t="s">
        <v>65</v>
      </c>
      <c r="J133" s="12" t="s">
        <v>1075</v>
      </c>
      <c r="K133">
        <v>16</v>
      </c>
    </row>
    <row r="134" spans="9:11" x14ac:dyDescent="0.25">
      <c r="I134" s="12" t="s">
        <v>66</v>
      </c>
      <c r="J134" s="12" t="s">
        <v>1075</v>
      </c>
      <c r="K134">
        <v>17</v>
      </c>
    </row>
    <row r="135" spans="9:11" x14ac:dyDescent="0.25">
      <c r="I135" s="12" t="s">
        <v>67</v>
      </c>
      <c r="J135" s="12" t="s">
        <v>807</v>
      </c>
      <c r="K135">
        <v>33</v>
      </c>
    </row>
    <row r="136" spans="9:11" x14ac:dyDescent="0.25">
      <c r="I136" s="12" t="s">
        <v>68</v>
      </c>
      <c r="J136" s="12" t="s">
        <v>1075</v>
      </c>
      <c r="K136">
        <v>18</v>
      </c>
    </row>
    <row r="137" spans="9:11" x14ac:dyDescent="0.25">
      <c r="I137" s="12" t="s">
        <v>71</v>
      </c>
      <c r="J137" s="12" t="s">
        <v>809</v>
      </c>
      <c r="K137">
        <v>1</v>
      </c>
    </row>
    <row r="138" spans="9:11" x14ac:dyDescent="0.25">
      <c r="I138" s="12" t="s">
        <v>76</v>
      </c>
      <c r="J138" s="12" t="s">
        <v>809</v>
      </c>
      <c r="K138">
        <v>3</v>
      </c>
    </row>
    <row r="139" spans="9:11" x14ac:dyDescent="0.25">
      <c r="I139" s="12" t="s">
        <v>88</v>
      </c>
      <c r="J139" s="12" t="s">
        <v>807</v>
      </c>
      <c r="K139">
        <v>24</v>
      </c>
    </row>
    <row r="140" spans="9:11" x14ac:dyDescent="0.25">
      <c r="I140" s="12" t="s">
        <v>92</v>
      </c>
      <c r="J140" s="12" t="s">
        <v>1075</v>
      </c>
      <c r="K140">
        <v>11</v>
      </c>
    </row>
    <row r="141" spans="9:11" x14ac:dyDescent="0.25">
      <c r="I141" s="12" t="s">
        <v>102</v>
      </c>
      <c r="J141" s="12" t="s">
        <v>1076</v>
      </c>
      <c r="K141">
        <v>65</v>
      </c>
    </row>
    <row r="142" spans="9:11" x14ac:dyDescent="0.25">
      <c r="I142" s="12" t="s">
        <v>833</v>
      </c>
      <c r="J142" s="12" t="s">
        <v>1076</v>
      </c>
      <c r="K142">
        <v>66</v>
      </c>
    </row>
    <row r="143" spans="9:11" x14ac:dyDescent="0.25">
      <c r="I143" s="12" t="s">
        <v>115</v>
      </c>
      <c r="J143" s="12" t="s">
        <v>807</v>
      </c>
      <c r="K143">
        <v>32</v>
      </c>
    </row>
    <row r="144" spans="9:11" x14ac:dyDescent="0.25">
      <c r="I144" s="12" t="s">
        <v>835</v>
      </c>
      <c r="J144" s="12" t="s">
        <v>1002</v>
      </c>
      <c r="K144">
        <v>41</v>
      </c>
    </row>
    <row r="145" spans="9:11" x14ac:dyDescent="0.25">
      <c r="I145" s="12" t="s">
        <v>125</v>
      </c>
      <c r="J145" s="12" t="s">
        <v>807</v>
      </c>
      <c r="K145">
        <v>31</v>
      </c>
    </row>
    <row r="146" spans="9:11" x14ac:dyDescent="0.25">
      <c r="I146" s="12" t="s">
        <v>1090</v>
      </c>
      <c r="J146" s="12" t="s">
        <v>809</v>
      </c>
    </row>
    <row r="147" spans="9:11" x14ac:dyDescent="0.25">
      <c r="I147" s="12" t="s">
        <v>1091</v>
      </c>
      <c r="J147" s="12" t="s">
        <v>809</v>
      </c>
    </row>
    <row r="148" spans="9:11" x14ac:dyDescent="0.25">
      <c r="I148" s="12" t="s">
        <v>1092</v>
      </c>
      <c r="J148" s="12" t="s">
        <v>809</v>
      </c>
    </row>
    <row r="149" spans="9:11" x14ac:dyDescent="0.25">
      <c r="I149" s="12" t="s">
        <v>1093</v>
      </c>
      <c r="J149" s="12" t="s">
        <v>809</v>
      </c>
    </row>
    <row r="150" spans="9:11" x14ac:dyDescent="0.25">
      <c r="I150" s="12" t="s">
        <v>401</v>
      </c>
      <c r="J150" s="12" t="s">
        <v>1075</v>
      </c>
      <c r="K150">
        <v>8</v>
      </c>
    </row>
  </sheetData>
  <autoFilter ref="I79:J150" xr:uid="{8D33F252-74F1-4054-8082-C5F5F35A4598}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36913-B8C6-44F9-B5B8-9BEF7C2D7B72}">
  <dimension ref="A1:B192"/>
  <sheetViews>
    <sheetView topLeftCell="A166" workbookViewId="0">
      <selection activeCell="A2" sqref="A2:A192"/>
    </sheetView>
  </sheetViews>
  <sheetFormatPr defaultRowHeight="15" x14ac:dyDescent="0.25"/>
  <cols>
    <col min="1" max="1" width="33.7109375" bestFit="1" customWidth="1"/>
    <col min="2" max="2" width="15" bestFit="1" customWidth="1"/>
    <col min="3" max="3" width="14.5703125" bestFit="1" customWidth="1"/>
  </cols>
  <sheetData>
    <row r="1" spans="1:2" x14ac:dyDescent="0.25">
      <c r="A1" t="s">
        <v>619</v>
      </c>
      <c r="B1" t="s">
        <v>994</v>
      </c>
    </row>
    <row r="2" spans="1:2" x14ac:dyDescent="0.25">
      <c r="A2" t="s">
        <v>786</v>
      </c>
      <c r="B2" t="s">
        <v>2</v>
      </c>
    </row>
    <row r="3" spans="1:2" x14ac:dyDescent="0.25">
      <c r="A3" t="s">
        <v>162</v>
      </c>
      <c r="B3" t="s">
        <v>2</v>
      </c>
    </row>
    <row r="4" spans="1:2" x14ac:dyDescent="0.25">
      <c r="A4" t="s">
        <v>752</v>
      </c>
      <c r="B4" t="s">
        <v>2</v>
      </c>
    </row>
    <row r="5" spans="1:2" x14ac:dyDescent="0.25">
      <c r="A5" t="s">
        <v>174</v>
      </c>
      <c r="B5" t="s">
        <v>2</v>
      </c>
    </row>
    <row r="6" spans="1:2" x14ac:dyDescent="0.25">
      <c r="A6" t="s">
        <v>194</v>
      </c>
      <c r="B6" t="s">
        <v>2</v>
      </c>
    </row>
    <row r="7" spans="1:2" x14ac:dyDescent="0.25">
      <c r="A7" t="s">
        <v>209</v>
      </c>
      <c r="B7" t="s">
        <v>2</v>
      </c>
    </row>
    <row r="8" spans="1:2" x14ac:dyDescent="0.25">
      <c r="A8" t="s">
        <v>9</v>
      </c>
      <c r="B8" t="s">
        <v>2</v>
      </c>
    </row>
    <row r="9" spans="1:2" x14ac:dyDescent="0.25">
      <c r="A9" t="s">
        <v>778</v>
      </c>
      <c r="B9" t="s">
        <v>2</v>
      </c>
    </row>
    <row r="10" spans="1:2" x14ac:dyDescent="0.25">
      <c r="A10" t="s">
        <v>11</v>
      </c>
      <c r="B10" t="s">
        <v>2</v>
      </c>
    </row>
    <row r="11" spans="1:2" x14ac:dyDescent="0.25">
      <c r="A11" t="s">
        <v>12</v>
      </c>
      <c r="B11" t="s">
        <v>2</v>
      </c>
    </row>
    <row r="12" spans="1:2" x14ac:dyDescent="0.25">
      <c r="A12" t="s">
        <v>779</v>
      </c>
      <c r="B12" t="s">
        <v>2</v>
      </c>
    </row>
    <row r="13" spans="1:2" x14ac:dyDescent="0.25">
      <c r="A13" t="s">
        <v>248</v>
      </c>
      <c r="B13" t="s">
        <v>2</v>
      </c>
    </row>
    <row r="14" spans="1:2" x14ac:dyDescent="0.25">
      <c r="A14" t="s">
        <v>268</v>
      </c>
      <c r="B14" t="s">
        <v>2</v>
      </c>
    </row>
    <row r="15" spans="1:2" x14ac:dyDescent="0.25">
      <c r="A15" t="s">
        <v>314</v>
      </c>
      <c r="B15" t="s">
        <v>2</v>
      </c>
    </row>
    <row r="16" spans="1:2" x14ac:dyDescent="0.25">
      <c r="A16" t="s">
        <v>787</v>
      </c>
      <c r="B16" t="s">
        <v>2</v>
      </c>
    </row>
    <row r="17" spans="1:2" x14ac:dyDescent="0.25">
      <c r="A17" t="s">
        <v>598</v>
      </c>
      <c r="B17" t="s">
        <v>2</v>
      </c>
    </row>
    <row r="18" spans="1:2" x14ac:dyDescent="0.25">
      <c r="A18" t="s">
        <v>795</v>
      </c>
      <c r="B18" t="s">
        <v>2</v>
      </c>
    </row>
    <row r="19" spans="1:2" x14ac:dyDescent="0.25">
      <c r="A19" t="s">
        <v>21</v>
      </c>
      <c r="B19" t="s">
        <v>2</v>
      </c>
    </row>
    <row r="20" spans="1:2" x14ac:dyDescent="0.25">
      <c r="A20" t="s">
        <v>22</v>
      </c>
      <c r="B20" t="s">
        <v>2</v>
      </c>
    </row>
    <row r="21" spans="1:2" x14ac:dyDescent="0.25">
      <c r="A21" t="s">
        <v>777</v>
      </c>
      <c r="B21" t="s">
        <v>2</v>
      </c>
    </row>
    <row r="22" spans="1:2" x14ac:dyDescent="0.25">
      <c r="A22" t="s">
        <v>788</v>
      </c>
      <c r="B22" t="s">
        <v>2</v>
      </c>
    </row>
    <row r="23" spans="1:2" x14ac:dyDescent="0.25">
      <c r="A23" t="s">
        <v>790</v>
      </c>
      <c r="B23" t="s">
        <v>2</v>
      </c>
    </row>
    <row r="24" spans="1:2" x14ac:dyDescent="0.25">
      <c r="A24" t="s">
        <v>322</v>
      </c>
      <c r="B24" t="s">
        <v>2</v>
      </c>
    </row>
    <row r="25" spans="1:2" x14ac:dyDescent="0.25">
      <c r="A25" t="s">
        <v>335</v>
      </c>
      <c r="B25" t="s">
        <v>2</v>
      </c>
    </row>
    <row r="26" spans="1:2" x14ac:dyDescent="0.25">
      <c r="A26" t="s">
        <v>1003</v>
      </c>
      <c r="B26" t="s">
        <v>2</v>
      </c>
    </row>
    <row r="27" spans="1:2" x14ac:dyDescent="0.25">
      <c r="A27" t="s">
        <v>352</v>
      </c>
      <c r="B27" t="s">
        <v>2</v>
      </c>
    </row>
    <row r="28" spans="1:2" x14ac:dyDescent="0.25">
      <c r="A28" t="s">
        <v>363</v>
      </c>
      <c r="B28" t="s">
        <v>2</v>
      </c>
    </row>
    <row r="29" spans="1:2" x14ac:dyDescent="0.25">
      <c r="A29" t="s">
        <v>792</v>
      </c>
      <c r="B29" t="s">
        <v>2</v>
      </c>
    </row>
    <row r="30" spans="1:2" x14ac:dyDescent="0.25">
      <c r="A30" t="s">
        <v>793</v>
      </c>
      <c r="B30" t="s">
        <v>2</v>
      </c>
    </row>
    <row r="31" spans="1:2" x14ac:dyDescent="0.25">
      <c r="A31" t="s">
        <v>791</v>
      </c>
      <c r="B31" t="s">
        <v>2</v>
      </c>
    </row>
    <row r="32" spans="1:2" x14ac:dyDescent="0.25">
      <c r="A32" t="s">
        <v>794</v>
      </c>
      <c r="B32" t="s">
        <v>2</v>
      </c>
    </row>
    <row r="33" spans="1:2" x14ac:dyDescent="0.25">
      <c r="A33" t="s">
        <v>796</v>
      </c>
      <c r="B33" t="s">
        <v>2</v>
      </c>
    </row>
    <row r="34" spans="1:2" x14ac:dyDescent="0.25">
      <c r="A34" t="s">
        <v>782</v>
      </c>
      <c r="B34" t="s">
        <v>2</v>
      </c>
    </row>
    <row r="35" spans="1:2" x14ac:dyDescent="0.25">
      <c r="A35" t="s">
        <v>481</v>
      </c>
      <c r="B35" t="s">
        <v>2</v>
      </c>
    </row>
    <row r="36" spans="1:2" x14ac:dyDescent="0.25">
      <c r="A36" t="s">
        <v>306</v>
      </c>
      <c r="B36" t="s">
        <v>2</v>
      </c>
    </row>
    <row r="37" spans="1:2" x14ac:dyDescent="0.25">
      <c r="A37" t="s">
        <v>797</v>
      </c>
      <c r="B37" t="s">
        <v>2</v>
      </c>
    </row>
    <row r="38" spans="1:2" x14ac:dyDescent="0.25">
      <c r="A38" t="s">
        <v>798</v>
      </c>
      <c r="B38" t="s">
        <v>2</v>
      </c>
    </row>
    <row r="39" spans="1:2" x14ac:dyDescent="0.25">
      <c r="A39" t="s">
        <v>799</v>
      </c>
      <c r="B39" t="s">
        <v>2</v>
      </c>
    </row>
    <row r="40" spans="1:2" x14ac:dyDescent="0.25">
      <c r="A40" t="s">
        <v>387</v>
      </c>
      <c r="B40" t="s">
        <v>2</v>
      </c>
    </row>
    <row r="41" spans="1:2" x14ac:dyDescent="0.25">
      <c r="A41" t="s">
        <v>506</v>
      </c>
      <c r="B41" t="s">
        <v>2</v>
      </c>
    </row>
    <row r="42" spans="1:2" x14ac:dyDescent="0.25">
      <c r="A42" t="s">
        <v>800</v>
      </c>
      <c r="B42" t="s">
        <v>2</v>
      </c>
    </row>
    <row r="43" spans="1:2" x14ac:dyDescent="0.25">
      <c r="A43" t="s">
        <v>801</v>
      </c>
      <c r="B43" t="s">
        <v>2</v>
      </c>
    </row>
    <row r="44" spans="1:2" x14ac:dyDescent="0.25">
      <c r="A44" t="s">
        <v>802</v>
      </c>
      <c r="B44" t="s">
        <v>2</v>
      </c>
    </row>
    <row r="45" spans="1:2" x14ac:dyDescent="0.25">
      <c r="A45" t="s">
        <v>803</v>
      </c>
      <c r="B45" t="s">
        <v>2</v>
      </c>
    </row>
    <row r="46" spans="1:2" x14ac:dyDescent="0.25">
      <c r="A46" t="s">
        <v>561</v>
      </c>
      <c r="B46" t="s">
        <v>2</v>
      </c>
    </row>
    <row r="47" spans="1:2" x14ac:dyDescent="0.25">
      <c r="A47" t="s">
        <v>568</v>
      </c>
      <c r="B47" t="s">
        <v>2</v>
      </c>
    </row>
    <row r="48" spans="1:2" x14ac:dyDescent="0.25">
      <c r="A48" t="s">
        <v>804</v>
      </c>
      <c r="B48" t="s">
        <v>2</v>
      </c>
    </row>
    <row r="49" spans="1:2" x14ac:dyDescent="0.25">
      <c r="A49" t="s">
        <v>580</v>
      </c>
      <c r="B49" t="s">
        <v>2</v>
      </c>
    </row>
    <row r="50" spans="1:2" x14ac:dyDescent="0.25">
      <c r="A50" t="s">
        <v>805</v>
      </c>
      <c r="B50" t="s">
        <v>2</v>
      </c>
    </row>
    <row r="51" spans="1:2" x14ac:dyDescent="0.25">
      <c r="A51" t="s">
        <v>442</v>
      </c>
      <c r="B51" t="s">
        <v>2</v>
      </c>
    </row>
    <row r="52" spans="1:2" x14ac:dyDescent="0.25">
      <c r="A52" t="s">
        <v>834</v>
      </c>
      <c r="B52" t="s">
        <v>2</v>
      </c>
    </row>
    <row r="53" spans="1:2" x14ac:dyDescent="0.25">
      <c r="A53" t="s">
        <v>315</v>
      </c>
      <c r="B53" t="s">
        <v>2</v>
      </c>
    </row>
    <row r="54" spans="1:2" x14ac:dyDescent="0.25">
      <c r="A54" t="s">
        <v>64</v>
      </c>
      <c r="B54" t="s">
        <v>2</v>
      </c>
    </row>
    <row r="55" spans="1:2" x14ac:dyDescent="0.25">
      <c r="A55" t="s">
        <v>65</v>
      </c>
      <c r="B55" t="s">
        <v>2</v>
      </c>
    </row>
    <row r="56" spans="1:2" x14ac:dyDescent="0.25">
      <c r="A56" t="s">
        <v>66</v>
      </c>
      <c r="B56" t="s">
        <v>2</v>
      </c>
    </row>
    <row r="57" spans="1:2" x14ac:dyDescent="0.25">
      <c r="A57" t="s">
        <v>67</v>
      </c>
      <c r="B57" t="s">
        <v>2</v>
      </c>
    </row>
    <row r="58" spans="1:2" x14ac:dyDescent="0.25">
      <c r="A58" t="s">
        <v>68</v>
      </c>
      <c r="B58" t="s">
        <v>2</v>
      </c>
    </row>
    <row r="59" spans="1:2" x14ac:dyDescent="0.25">
      <c r="A59" t="s">
        <v>71</v>
      </c>
      <c r="B59" t="s">
        <v>2</v>
      </c>
    </row>
    <row r="60" spans="1:2" x14ac:dyDescent="0.25">
      <c r="A60" t="s">
        <v>76</v>
      </c>
      <c r="B60" t="s">
        <v>2</v>
      </c>
    </row>
    <row r="61" spans="1:2" x14ac:dyDescent="0.25">
      <c r="A61" t="s">
        <v>88</v>
      </c>
      <c r="B61" t="s">
        <v>2</v>
      </c>
    </row>
    <row r="62" spans="1:2" x14ac:dyDescent="0.25">
      <c r="A62" t="s">
        <v>92</v>
      </c>
      <c r="B62" t="s">
        <v>2</v>
      </c>
    </row>
    <row r="63" spans="1:2" x14ac:dyDescent="0.25">
      <c r="A63" t="s">
        <v>102</v>
      </c>
      <c r="B63" t="s">
        <v>2</v>
      </c>
    </row>
    <row r="64" spans="1:2" x14ac:dyDescent="0.25">
      <c r="A64" t="s">
        <v>833</v>
      </c>
      <c r="B64" t="s">
        <v>2</v>
      </c>
    </row>
    <row r="65" spans="1:2" x14ac:dyDescent="0.25">
      <c r="A65" t="s">
        <v>115</v>
      </c>
      <c r="B65" t="s">
        <v>2</v>
      </c>
    </row>
    <row r="66" spans="1:2" x14ac:dyDescent="0.25">
      <c r="A66" t="s">
        <v>835</v>
      </c>
      <c r="B66" t="s">
        <v>2</v>
      </c>
    </row>
    <row r="67" spans="1:2" x14ac:dyDescent="0.25">
      <c r="A67" t="s">
        <v>125</v>
      </c>
      <c r="B67" t="s">
        <v>2</v>
      </c>
    </row>
    <row r="68" spans="1:2" x14ac:dyDescent="0.25">
      <c r="A68" t="s">
        <v>1090</v>
      </c>
      <c r="B68" t="s">
        <v>2</v>
      </c>
    </row>
    <row r="69" spans="1:2" x14ac:dyDescent="0.25">
      <c r="A69" t="s">
        <v>1091</v>
      </c>
      <c r="B69" t="s">
        <v>2</v>
      </c>
    </row>
    <row r="70" spans="1:2" x14ac:dyDescent="0.25">
      <c r="A70" t="s">
        <v>1092</v>
      </c>
      <c r="B70" t="s">
        <v>2</v>
      </c>
    </row>
    <row r="71" spans="1:2" x14ac:dyDescent="0.25">
      <c r="A71" t="s">
        <v>1093</v>
      </c>
      <c r="B71" t="s">
        <v>2</v>
      </c>
    </row>
    <row r="72" spans="1:2" x14ac:dyDescent="0.25">
      <c r="A72" t="s">
        <v>401</v>
      </c>
      <c r="B72" t="s">
        <v>2</v>
      </c>
    </row>
    <row r="73" spans="1:2" x14ac:dyDescent="0.25">
      <c r="A73" t="s">
        <v>786</v>
      </c>
      <c r="B73" t="s">
        <v>134</v>
      </c>
    </row>
    <row r="74" spans="1:2" x14ac:dyDescent="0.25">
      <c r="A74" t="s">
        <v>162</v>
      </c>
      <c r="B74" t="s">
        <v>134</v>
      </c>
    </row>
    <row r="75" spans="1:2" x14ac:dyDescent="0.25">
      <c r="A75" t="s">
        <v>752</v>
      </c>
      <c r="B75" t="s">
        <v>134</v>
      </c>
    </row>
    <row r="76" spans="1:2" x14ac:dyDescent="0.25">
      <c r="A76" t="s">
        <v>174</v>
      </c>
      <c r="B76" t="s">
        <v>134</v>
      </c>
    </row>
    <row r="77" spans="1:2" x14ac:dyDescent="0.25">
      <c r="A77" t="s">
        <v>194</v>
      </c>
      <c r="B77" t="s">
        <v>134</v>
      </c>
    </row>
    <row r="78" spans="1:2" x14ac:dyDescent="0.25">
      <c r="A78" t="s">
        <v>209</v>
      </c>
      <c r="B78" t="s">
        <v>134</v>
      </c>
    </row>
    <row r="79" spans="1:2" x14ac:dyDescent="0.25">
      <c r="A79" t="s">
        <v>9</v>
      </c>
      <c r="B79" t="s">
        <v>134</v>
      </c>
    </row>
    <row r="80" spans="1:2" x14ac:dyDescent="0.25">
      <c r="A80" t="s">
        <v>778</v>
      </c>
      <c r="B80" t="s">
        <v>134</v>
      </c>
    </row>
    <row r="81" spans="1:2" x14ac:dyDescent="0.25">
      <c r="A81" t="s">
        <v>11</v>
      </c>
      <c r="B81" t="s">
        <v>134</v>
      </c>
    </row>
    <row r="82" spans="1:2" x14ac:dyDescent="0.25">
      <c r="A82" t="s">
        <v>12</v>
      </c>
      <c r="B82" t="s">
        <v>134</v>
      </c>
    </row>
    <row r="83" spans="1:2" x14ac:dyDescent="0.25">
      <c r="A83" t="s">
        <v>779</v>
      </c>
      <c r="B83" t="s">
        <v>134</v>
      </c>
    </row>
    <row r="84" spans="1:2" x14ac:dyDescent="0.25">
      <c r="A84" t="s">
        <v>248</v>
      </c>
      <c r="B84" t="s">
        <v>134</v>
      </c>
    </row>
    <row r="85" spans="1:2" x14ac:dyDescent="0.25">
      <c r="A85" t="s">
        <v>268</v>
      </c>
      <c r="B85" t="s">
        <v>134</v>
      </c>
    </row>
    <row r="86" spans="1:2" x14ac:dyDescent="0.25">
      <c r="A86" t="s">
        <v>787</v>
      </c>
      <c r="B86" t="s">
        <v>134</v>
      </c>
    </row>
    <row r="87" spans="1:2" x14ac:dyDescent="0.25">
      <c r="A87" t="s">
        <v>795</v>
      </c>
      <c r="B87" t="s">
        <v>134</v>
      </c>
    </row>
    <row r="88" spans="1:2" x14ac:dyDescent="0.25">
      <c r="A88" t="s">
        <v>21</v>
      </c>
      <c r="B88" t="s">
        <v>134</v>
      </c>
    </row>
    <row r="89" spans="1:2" x14ac:dyDescent="0.25">
      <c r="A89" t="s">
        <v>777</v>
      </c>
      <c r="B89" t="s">
        <v>134</v>
      </c>
    </row>
    <row r="90" spans="1:2" x14ac:dyDescent="0.25">
      <c r="A90" t="s">
        <v>790</v>
      </c>
      <c r="B90" t="s">
        <v>134</v>
      </c>
    </row>
    <row r="91" spans="1:2" x14ac:dyDescent="0.25">
      <c r="A91" t="s">
        <v>322</v>
      </c>
      <c r="B91" t="s">
        <v>134</v>
      </c>
    </row>
    <row r="92" spans="1:2" x14ac:dyDescent="0.25">
      <c r="A92" t="s">
        <v>335</v>
      </c>
      <c r="B92" t="s">
        <v>134</v>
      </c>
    </row>
    <row r="93" spans="1:2" x14ac:dyDescent="0.25">
      <c r="A93" t="s">
        <v>1003</v>
      </c>
      <c r="B93" t="s">
        <v>134</v>
      </c>
    </row>
    <row r="94" spans="1:2" x14ac:dyDescent="0.25">
      <c r="A94" t="s">
        <v>352</v>
      </c>
      <c r="B94" t="s">
        <v>134</v>
      </c>
    </row>
    <row r="95" spans="1:2" x14ac:dyDescent="0.25">
      <c r="A95" t="s">
        <v>363</v>
      </c>
      <c r="B95" t="s">
        <v>134</v>
      </c>
    </row>
    <row r="96" spans="1:2" x14ac:dyDescent="0.25">
      <c r="A96" t="s">
        <v>792</v>
      </c>
      <c r="B96" t="s">
        <v>134</v>
      </c>
    </row>
    <row r="97" spans="1:2" x14ac:dyDescent="0.25">
      <c r="A97" t="s">
        <v>793</v>
      </c>
      <c r="B97" t="s">
        <v>134</v>
      </c>
    </row>
    <row r="98" spans="1:2" x14ac:dyDescent="0.25">
      <c r="A98" t="s">
        <v>796</v>
      </c>
      <c r="B98" t="s">
        <v>134</v>
      </c>
    </row>
    <row r="99" spans="1:2" x14ac:dyDescent="0.25">
      <c r="A99" t="s">
        <v>782</v>
      </c>
      <c r="B99" t="s">
        <v>134</v>
      </c>
    </row>
    <row r="100" spans="1:2" x14ac:dyDescent="0.25">
      <c r="A100" t="s">
        <v>481</v>
      </c>
      <c r="B100" t="s">
        <v>134</v>
      </c>
    </row>
    <row r="101" spans="1:2" x14ac:dyDescent="0.25">
      <c r="A101" t="s">
        <v>306</v>
      </c>
      <c r="B101" t="s">
        <v>134</v>
      </c>
    </row>
    <row r="102" spans="1:2" x14ac:dyDescent="0.25">
      <c r="A102" t="s">
        <v>797</v>
      </c>
      <c r="B102" t="s">
        <v>134</v>
      </c>
    </row>
    <row r="103" spans="1:2" x14ac:dyDescent="0.25">
      <c r="A103" t="s">
        <v>798</v>
      </c>
      <c r="B103" t="s">
        <v>134</v>
      </c>
    </row>
    <row r="104" spans="1:2" x14ac:dyDescent="0.25">
      <c r="A104" t="s">
        <v>799</v>
      </c>
      <c r="B104" t="s">
        <v>134</v>
      </c>
    </row>
    <row r="105" spans="1:2" x14ac:dyDescent="0.25">
      <c r="A105" t="s">
        <v>387</v>
      </c>
      <c r="B105" t="s">
        <v>134</v>
      </c>
    </row>
    <row r="106" spans="1:2" x14ac:dyDescent="0.25">
      <c r="A106" t="s">
        <v>506</v>
      </c>
      <c r="B106" t="s">
        <v>134</v>
      </c>
    </row>
    <row r="107" spans="1:2" x14ac:dyDescent="0.25">
      <c r="A107" t="s">
        <v>800</v>
      </c>
      <c r="B107" t="s">
        <v>134</v>
      </c>
    </row>
    <row r="108" spans="1:2" x14ac:dyDescent="0.25">
      <c r="A108" t="s">
        <v>801</v>
      </c>
      <c r="B108" t="s">
        <v>134</v>
      </c>
    </row>
    <row r="109" spans="1:2" x14ac:dyDescent="0.25">
      <c r="A109" t="s">
        <v>803</v>
      </c>
      <c r="B109" t="s">
        <v>134</v>
      </c>
    </row>
    <row r="110" spans="1:2" x14ac:dyDescent="0.25">
      <c r="A110" t="s">
        <v>561</v>
      </c>
      <c r="B110" t="s">
        <v>134</v>
      </c>
    </row>
    <row r="111" spans="1:2" x14ac:dyDescent="0.25">
      <c r="A111" t="s">
        <v>568</v>
      </c>
      <c r="B111" t="s">
        <v>134</v>
      </c>
    </row>
    <row r="112" spans="1:2" x14ac:dyDescent="0.25">
      <c r="A112" t="s">
        <v>580</v>
      </c>
      <c r="B112" t="s">
        <v>134</v>
      </c>
    </row>
    <row r="113" spans="1:2" x14ac:dyDescent="0.25">
      <c r="A113" t="s">
        <v>805</v>
      </c>
      <c r="B113" t="s">
        <v>134</v>
      </c>
    </row>
    <row r="114" spans="1:2" x14ac:dyDescent="0.25">
      <c r="A114" t="s">
        <v>442</v>
      </c>
      <c r="B114" t="s">
        <v>134</v>
      </c>
    </row>
    <row r="115" spans="1:2" x14ac:dyDescent="0.25">
      <c r="A115" t="s">
        <v>834</v>
      </c>
      <c r="B115" t="s">
        <v>134</v>
      </c>
    </row>
    <row r="116" spans="1:2" x14ac:dyDescent="0.25">
      <c r="A116" t="s">
        <v>315</v>
      </c>
      <c r="B116" t="s">
        <v>134</v>
      </c>
    </row>
    <row r="117" spans="1:2" x14ac:dyDescent="0.25">
      <c r="A117" t="s">
        <v>64</v>
      </c>
      <c r="B117" t="s">
        <v>134</v>
      </c>
    </row>
    <row r="118" spans="1:2" x14ac:dyDescent="0.25">
      <c r="A118" t="s">
        <v>68</v>
      </c>
      <c r="B118" t="s">
        <v>134</v>
      </c>
    </row>
    <row r="119" spans="1:2" x14ac:dyDescent="0.25">
      <c r="A119" t="s">
        <v>71</v>
      </c>
      <c r="B119" t="s">
        <v>134</v>
      </c>
    </row>
    <row r="120" spans="1:2" x14ac:dyDescent="0.25">
      <c r="A120" t="s">
        <v>76</v>
      </c>
      <c r="B120" t="s">
        <v>134</v>
      </c>
    </row>
    <row r="121" spans="1:2" x14ac:dyDescent="0.25">
      <c r="A121" t="s">
        <v>88</v>
      </c>
      <c r="B121" t="s">
        <v>134</v>
      </c>
    </row>
    <row r="122" spans="1:2" x14ac:dyDescent="0.25">
      <c r="A122" t="s">
        <v>92</v>
      </c>
      <c r="B122" t="s">
        <v>134</v>
      </c>
    </row>
    <row r="123" spans="1:2" x14ac:dyDescent="0.25">
      <c r="A123" t="s">
        <v>102</v>
      </c>
      <c r="B123" t="s">
        <v>134</v>
      </c>
    </row>
    <row r="124" spans="1:2" x14ac:dyDescent="0.25">
      <c r="A124" t="s">
        <v>833</v>
      </c>
      <c r="B124" t="s">
        <v>134</v>
      </c>
    </row>
    <row r="125" spans="1:2" x14ac:dyDescent="0.25">
      <c r="A125" t="s">
        <v>835</v>
      </c>
      <c r="B125" t="s">
        <v>134</v>
      </c>
    </row>
    <row r="126" spans="1:2" x14ac:dyDescent="0.25">
      <c r="A126" t="s">
        <v>125</v>
      </c>
      <c r="B126" t="s">
        <v>134</v>
      </c>
    </row>
    <row r="127" spans="1:2" x14ac:dyDescent="0.25">
      <c r="A127" t="s">
        <v>1090</v>
      </c>
      <c r="B127" t="s">
        <v>134</v>
      </c>
    </row>
    <row r="128" spans="1:2" x14ac:dyDescent="0.25">
      <c r="A128" t="s">
        <v>1091</v>
      </c>
      <c r="B128" t="s">
        <v>134</v>
      </c>
    </row>
    <row r="129" spans="1:2" x14ac:dyDescent="0.25">
      <c r="A129" t="s">
        <v>1092</v>
      </c>
      <c r="B129" t="s">
        <v>134</v>
      </c>
    </row>
    <row r="130" spans="1:2" x14ac:dyDescent="0.25">
      <c r="A130" t="s">
        <v>1093</v>
      </c>
      <c r="B130" t="s">
        <v>134</v>
      </c>
    </row>
    <row r="131" spans="1:2" x14ac:dyDescent="0.25">
      <c r="A131" t="s">
        <v>401</v>
      </c>
      <c r="B131" t="s">
        <v>134</v>
      </c>
    </row>
    <row r="132" spans="1:2" x14ac:dyDescent="0.25">
      <c r="A132" t="s">
        <v>786</v>
      </c>
      <c r="B132" t="s">
        <v>1</v>
      </c>
    </row>
    <row r="133" spans="1:2" x14ac:dyDescent="0.25">
      <c r="A133" t="s">
        <v>162</v>
      </c>
      <c r="B133" t="s">
        <v>1</v>
      </c>
    </row>
    <row r="134" spans="1:2" x14ac:dyDescent="0.25">
      <c r="A134" t="s">
        <v>752</v>
      </c>
      <c r="B134" t="s">
        <v>1</v>
      </c>
    </row>
    <row r="135" spans="1:2" x14ac:dyDescent="0.25">
      <c r="A135" t="s">
        <v>174</v>
      </c>
      <c r="B135" t="s">
        <v>1</v>
      </c>
    </row>
    <row r="136" spans="1:2" x14ac:dyDescent="0.25">
      <c r="A136" t="s">
        <v>194</v>
      </c>
      <c r="B136" t="s">
        <v>1</v>
      </c>
    </row>
    <row r="137" spans="1:2" x14ac:dyDescent="0.25">
      <c r="A137" t="s">
        <v>209</v>
      </c>
      <c r="B137" t="s">
        <v>1</v>
      </c>
    </row>
    <row r="138" spans="1:2" x14ac:dyDescent="0.25">
      <c r="A138" t="s">
        <v>9</v>
      </c>
      <c r="B138" t="s">
        <v>1</v>
      </c>
    </row>
    <row r="139" spans="1:2" x14ac:dyDescent="0.25">
      <c r="A139" t="s">
        <v>778</v>
      </c>
      <c r="B139" t="s">
        <v>1</v>
      </c>
    </row>
    <row r="140" spans="1:2" x14ac:dyDescent="0.25">
      <c r="A140" t="s">
        <v>11</v>
      </c>
      <c r="B140" t="s">
        <v>1</v>
      </c>
    </row>
    <row r="141" spans="1:2" x14ac:dyDescent="0.25">
      <c r="A141" t="s">
        <v>12</v>
      </c>
      <c r="B141" t="s">
        <v>1</v>
      </c>
    </row>
    <row r="142" spans="1:2" x14ac:dyDescent="0.25">
      <c r="A142" t="s">
        <v>779</v>
      </c>
      <c r="B142" t="s">
        <v>1</v>
      </c>
    </row>
    <row r="143" spans="1:2" x14ac:dyDescent="0.25">
      <c r="A143" t="s">
        <v>248</v>
      </c>
      <c r="B143" t="s">
        <v>1</v>
      </c>
    </row>
    <row r="144" spans="1:2" x14ac:dyDescent="0.25">
      <c r="A144" t="s">
        <v>268</v>
      </c>
      <c r="B144" t="s">
        <v>1</v>
      </c>
    </row>
    <row r="145" spans="1:2" x14ac:dyDescent="0.25">
      <c r="A145" t="s">
        <v>314</v>
      </c>
      <c r="B145" t="s">
        <v>1</v>
      </c>
    </row>
    <row r="146" spans="1:2" x14ac:dyDescent="0.25">
      <c r="A146" t="s">
        <v>787</v>
      </c>
      <c r="B146" t="s">
        <v>1</v>
      </c>
    </row>
    <row r="147" spans="1:2" x14ac:dyDescent="0.25">
      <c r="A147" t="s">
        <v>795</v>
      </c>
      <c r="B147" t="s">
        <v>1</v>
      </c>
    </row>
    <row r="148" spans="1:2" x14ac:dyDescent="0.25">
      <c r="A148" t="s">
        <v>21</v>
      </c>
      <c r="B148" t="s">
        <v>1</v>
      </c>
    </row>
    <row r="149" spans="1:2" x14ac:dyDescent="0.25">
      <c r="A149" t="s">
        <v>777</v>
      </c>
      <c r="B149" t="s">
        <v>1</v>
      </c>
    </row>
    <row r="150" spans="1:2" x14ac:dyDescent="0.25">
      <c r="A150" t="s">
        <v>790</v>
      </c>
      <c r="B150" t="s">
        <v>1</v>
      </c>
    </row>
    <row r="151" spans="1:2" x14ac:dyDescent="0.25">
      <c r="A151" t="s">
        <v>322</v>
      </c>
      <c r="B151" t="s">
        <v>1</v>
      </c>
    </row>
    <row r="152" spans="1:2" x14ac:dyDescent="0.25">
      <c r="A152" t="s">
        <v>335</v>
      </c>
      <c r="B152" t="s">
        <v>1</v>
      </c>
    </row>
    <row r="153" spans="1:2" x14ac:dyDescent="0.25">
      <c r="A153" t="s">
        <v>1003</v>
      </c>
      <c r="B153" t="s">
        <v>1</v>
      </c>
    </row>
    <row r="154" spans="1:2" x14ac:dyDescent="0.25">
      <c r="A154" t="s">
        <v>352</v>
      </c>
      <c r="B154" t="s">
        <v>1</v>
      </c>
    </row>
    <row r="155" spans="1:2" x14ac:dyDescent="0.25">
      <c r="A155" t="s">
        <v>363</v>
      </c>
      <c r="B155" t="s">
        <v>1</v>
      </c>
    </row>
    <row r="156" spans="1:2" x14ac:dyDescent="0.25">
      <c r="A156" t="s">
        <v>792</v>
      </c>
      <c r="B156" t="s">
        <v>1</v>
      </c>
    </row>
    <row r="157" spans="1:2" x14ac:dyDescent="0.25">
      <c r="A157" t="s">
        <v>793</v>
      </c>
      <c r="B157" t="s">
        <v>1</v>
      </c>
    </row>
    <row r="158" spans="1:2" x14ac:dyDescent="0.25">
      <c r="A158" t="s">
        <v>791</v>
      </c>
      <c r="B158" t="s">
        <v>1</v>
      </c>
    </row>
    <row r="159" spans="1:2" x14ac:dyDescent="0.25">
      <c r="A159" t="s">
        <v>796</v>
      </c>
      <c r="B159" t="s">
        <v>1</v>
      </c>
    </row>
    <row r="160" spans="1:2" x14ac:dyDescent="0.25">
      <c r="A160" t="s">
        <v>782</v>
      </c>
      <c r="B160" t="s">
        <v>1</v>
      </c>
    </row>
    <row r="161" spans="1:2" x14ac:dyDescent="0.25">
      <c r="A161" t="s">
        <v>481</v>
      </c>
      <c r="B161" t="s">
        <v>1</v>
      </c>
    </row>
    <row r="162" spans="1:2" x14ac:dyDescent="0.25">
      <c r="A162" t="s">
        <v>306</v>
      </c>
      <c r="B162" t="s">
        <v>1</v>
      </c>
    </row>
    <row r="163" spans="1:2" x14ac:dyDescent="0.25">
      <c r="A163" t="s">
        <v>797</v>
      </c>
      <c r="B163" t="s">
        <v>1</v>
      </c>
    </row>
    <row r="164" spans="1:2" x14ac:dyDescent="0.25">
      <c r="A164" t="s">
        <v>798</v>
      </c>
      <c r="B164" t="s">
        <v>1</v>
      </c>
    </row>
    <row r="165" spans="1:2" x14ac:dyDescent="0.25">
      <c r="A165" t="s">
        <v>799</v>
      </c>
      <c r="B165" t="s">
        <v>1</v>
      </c>
    </row>
    <row r="166" spans="1:2" x14ac:dyDescent="0.25">
      <c r="A166" t="s">
        <v>387</v>
      </c>
      <c r="B166" t="s">
        <v>1</v>
      </c>
    </row>
    <row r="167" spans="1:2" x14ac:dyDescent="0.25">
      <c r="A167" t="s">
        <v>506</v>
      </c>
      <c r="B167" t="s">
        <v>1</v>
      </c>
    </row>
    <row r="168" spans="1:2" x14ac:dyDescent="0.25">
      <c r="A168" t="s">
        <v>800</v>
      </c>
      <c r="B168" t="s">
        <v>1</v>
      </c>
    </row>
    <row r="169" spans="1:2" x14ac:dyDescent="0.25">
      <c r="A169" t="s">
        <v>801</v>
      </c>
      <c r="B169" t="s">
        <v>1</v>
      </c>
    </row>
    <row r="170" spans="1:2" x14ac:dyDescent="0.25">
      <c r="A170" t="s">
        <v>803</v>
      </c>
      <c r="B170" t="s">
        <v>1</v>
      </c>
    </row>
    <row r="171" spans="1:2" x14ac:dyDescent="0.25">
      <c r="A171" t="s">
        <v>561</v>
      </c>
      <c r="B171" t="s">
        <v>1</v>
      </c>
    </row>
    <row r="172" spans="1:2" x14ac:dyDescent="0.25">
      <c r="A172" t="s">
        <v>568</v>
      </c>
      <c r="B172" t="s">
        <v>1</v>
      </c>
    </row>
    <row r="173" spans="1:2" x14ac:dyDescent="0.25">
      <c r="A173" t="s">
        <v>580</v>
      </c>
      <c r="B173" t="s">
        <v>1</v>
      </c>
    </row>
    <row r="174" spans="1:2" x14ac:dyDescent="0.25">
      <c r="A174" t="s">
        <v>805</v>
      </c>
      <c r="B174" t="s">
        <v>1</v>
      </c>
    </row>
    <row r="175" spans="1:2" x14ac:dyDescent="0.25">
      <c r="A175" t="s">
        <v>442</v>
      </c>
      <c r="B175" t="s">
        <v>1</v>
      </c>
    </row>
    <row r="176" spans="1:2" x14ac:dyDescent="0.25">
      <c r="A176" t="s">
        <v>834</v>
      </c>
      <c r="B176" t="s">
        <v>1</v>
      </c>
    </row>
    <row r="177" spans="1:2" x14ac:dyDescent="0.25">
      <c r="A177" t="s">
        <v>315</v>
      </c>
      <c r="B177" t="s">
        <v>1</v>
      </c>
    </row>
    <row r="178" spans="1:2" x14ac:dyDescent="0.25">
      <c r="A178" t="s">
        <v>64</v>
      </c>
      <c r="B178" t="s">
        <v>1</v>
      </c>
    </row>
    <row r="179" spans="1:2" x14ac:dyDescent="0.25">
      <c r="A179" t="s">
        <v>68</v>
      </c>
      <c r="B179" t="s">
        <v>1</v>
      </c>
    </row>
    <row r="180" spans="1:2" x14ac:dyDescent="0.25">
      <c r="A180" t="s">
        <v>71</v>
      </c>
      <c r="B180" t="s">
        <v>1</v>
      </c>
    </row>
    <row r="181" spans="1:2" x14ac:dyDescent="0.25">
      <c r="A181" t="s">
        <v>76</v>
      </c>
      <c r="B181" t="s">
        <v>1</v>
      </c>
    </row>
    <row r="182" spans="1:2" x14ac:dyDescent="0.25">
      <c r="A182" t="s">
        <v>88</v>
      </c>
      <c r="B182" t="s">
        <v>1</v>
      </c>
    </row>
    <row r="183" spans="1:2" x14ac:dyDescent="0.25">
      <c r="A183" t="s">
        <v>92</v>
      </c>
      <c r="B183" t="s">
        <v>1</v>
      </c>
    </row>
    <row r="184" spans="1:2" x14ac:dyDescent="0.25">
      <c r="A184" t="s">
        <v>102</v>
      </c>
      <c r="B184" t="s">
        <v>1</v>
      </c>
    </row>
    <row r="185" spans="1:2" x14ac:dyDescent="0.25">
      <c r="A185" t="s">
        <v>833</v>
      </c>
      <c r="B185" t="s">
        <v>1</v>
      </c>
    </row>
    <row r="186" spans="1:2" x14ac:dyDescent="0.25">
      <c r="A186" t="s">
        <v>835</v>
      </c>
      <c r="B186" t="s">
        <v>1</v>
      </c>
    </row>
    <row r="187" spans="1:2" x14ac:dyDescent="0.25">
      <c r="A187" t="s">
        <v>125</v>
      </c>
      <c r="B187" t="s">
        <v>1</v>
      </c>
    </row>
    <row r="188" spans="1:2" x14ac:dyDescent="0.25">
      <c r="A188" t="s">
        <v>1090</v>
      </c>
      <c r="B188" t="s">
        <v>1</v>
      </c>
    </row>
    <row r="189" spans="1:2" x14ac:dyDescent="0.25">
      <c r="A189" t="s">
        <v>1091</v>
      </c>
      <c r="B189" t="s">
        <v>1</v>
      </c>
    </row>
    <row r="190" spans="1:2" x14ac:dyDescent="0.25">
      <c r="A190" t="s">
        <v>1092</v>
      </c>
      <c r="B190" t="s">
        <v>1</v>
      </c>
    </row>
    <row r="191" spans="1:2" x14ac:dyDescent="0.25">
      <c r="A191" t="s">
        <v>1093</v>
      </c>
      <c r="B191" t="s">
        <v>1</v>
      </c>
    </row>
    <row r="192" spans="1:2" x14ac:dyDescent="0.25">
      <c r="A192" t="s">
        <v>401</v>
      </c>
      <c r="B192" t="s">
        <v>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566FD-8527-4D09-B91A-0502AFC3F730}">
  <dimension ref="A1:B84"/>
  <sheetViews>
    <sheetView workbookViewId="0">
      <selection activeCell="A50" sqref="A50"/>
    </sheetView>
  </sheetViews>
  <sheetFormatPr defaultRowHeight="15" x14ac:dyDescent="0.25"/>
  <cols>
    <col min="1" max="1" width="33.7109375" bestFit="1" customWidth="1"/>
    <col min="2" max="2" width="13.7109375" bestFit="1" customWidth="1"/>
    <col min="3" max="3" width="13.28515625" bestFit="1" customWidth="1"/>
  </cols>
  <sheetData>
    <row r="1" spans="1:2" x14ac:dyDescent="0.25">
      <c r="A1" t="s">
        <v>619</v>
      </c>
      <c r="B1" t="s">
        <v>995</v>
      </c>
    </row>
    <row r="2" spans="1:2" hidden="1" x14ac:dyDescent="0.25">
      <c r="A2" t="s">
        <v>786</v>
      </c>
      <c r="B2" t="s">
        <v>133</v>
      </c>
    </row>
    <row r="3" spans="1:2" hidden="1" x14ac:dyDescent="0.25">
      <c r="A3" t="s">
        <v>162</v>
      </c>
      <c r="B3" t="s">
        <v>133</v>
      </c>
    </row>
    <row r="4" spans="1:2" hidden="1" x14ac:dyDescent="0.25">
      <c r="A4" t="s">
        <v>752</v>
      </c>
      <c r="B4" t="s">
        <v>133</v>
      </c>
    </row>
    <row r="5" spans="1:2" hidden="1" x14ac:dyDescent="0.25">
      <c r="A5" t="s">
        <v>174</v>
      </c>
      <c r="B5" t="s">
        <v>135</v>
      </c>
    </row>
    <row r="6" spans="1:2" hidden="1" x14ac:dyDescent="0.25">
      <c r="A6" t="s">
        <v>194</v>
      </c>
      <c r="B6" t="s">
        <v>133</v>
      </c>
    </row>
    <row r="7" spans="1:2" hidden="1" x14ac:dyDescent="0.25">
      <c r="A7" t="s">
        <v>209</v>
      </c>
      <c r="B7" t="s">
        <v>133</v>
      </c>
    </row>
    <row r="8" spans="1:2" hidden="1" x14ac:dyDescent="0.25">
      <c r="A8" t="s">
        <v>9</v>
      </c>
      <c r="B8" t="s">
        <v>135</v>
      </c>
    </row>
    <row r="9" spans="1:2" hidden="1" x14ac:dyDescent="0.25">
      <c r="A9" t="s">
        <v>778</v>
      </c>
      <c r="B9" t="s">
        <v>133</v>
      </c>
    </row>
    <row r="10" spans="1:2" hidden="1" x14ac:dyDescent="0.25">
      <c r="A10" t="s">
        <v>11</v>
      </c>
      <c r="B10" t="s">
        <v>133</v>
      </c>
    </row>
    <row r="11" spans="1:2" hidden="1" x14ac:dyDescent="0.25">
      <c r="A11" t="s">
        <v>12</v>
      </c>
      <c r="B11" t="s">
        <v>133</v>
      </c>
    </row>
    <row r="12" spans="1:2" hidden="1" x14ac:dyDescent="0.25">
      <c r="A12" t="s">
        <v>779</v>
      </c>
      <c r="B12" t="s">
        <v>133</v>
      </c>
    </row>
    <row r="13" spans="1:2" hidden="1" x14ac:dyDescent="0.25">
      <c r="A13" t="s">
        <v>248</v>
      </c>
      <c r="B13" t="s">
        <v>133</v>
      </c>
    </row>
    <row r="14" spans="1:2" hidden="1" x14ac:dyDescent="0.25">
      <c r="A14" t="s">
        <v>268</v>
      </c>
      <c r="B14" t="s">
        <v>133</v>
      </c>
    </row>
    <row r="15" spans="1:2" hidden="1" x14ac:dyDescent="0.25">
      <c r="A15" t="s">
        <v>314</v>
      </c>
      <c r="B15" t="s">
        <v>133</v>
      </c>
    </row>
    <row r="16" spans="1:2" hidden="1" x14ac:dyDescent="0.25">
      <c r="A16" t="s">
        <v>787</v>
      </c>
      <c r="B16" t="s">
        <v>133</v>
      </c>
    </row>
    <row r="17" spans="1:2" hidden="1" x14ac:dyDescent="0.25">
      <c r="A17" t="s">
        <v>598</v>
      </c>
      <c r="B17" t="s">
        <v>133</v>
      </c>
    </row>
    <row r="18" spans="1:2" hidden="1" x14ac:dyDescent="0.25">
      <c r="A18" t="s">
        <v>795</v>
      </c>
      <c r="B18" t="s">
        <v>133</v>
      </c>
    </row>
    <row r="19" spans="1:2" hidden="1" x14ac:dyDescent="0.25">
      <c r="A19" t="s">
        <v>21</v>
      </c>
      <c r="B19" t="s">
        <v>133</v>
      </c>
    </row>
    <row r="20" spans="1:2" hidden="1" x14ac:dyDescent="0.25">
      <c r="A20" t="s">
        <v>22</v>
      </c>
      <c r="B20" t="s">
        <v>133</v>
      </c>
    </row>
    <row r="21" spans="1:2" hidden="1" x14ac:dyDescent="0.25">
      <c r="A21" t="s">
        <v>777</v>
      </c>
      <c r="B21" t="s">
        <v>135</v>
      </c>
    </row>
    <row r="22" spans="1:2" hidden="1" x14ac:dyDescent="0.25">
      <c r="A22" t="s">
        <v>788</v>
      </c>
      <c r="B22" t="s">
        <v>133</v>
      </c>
    </row>
    <row r="23" spans="1:2" hidden="1" x14ac:dyDescent="0.25">
      <c r="A23" t="s">
        <v>790</v>
      </c>
      <c r="B23" t="s">
        <v>133</v>
      </c>
    </row>
    <row r="24" spans="1:2" hidden="1" x14ac:dyDescent="0.25">
      <c r="A24" t="s">
        <v>322</v>
      </c>
      <c r="B24" t="s">
        <v>133</v>
      </c>
    </row>
    <row r="25" spans="1:2" hidden="1" x14ac:dyDescent="0.25">
      <c r="A25" t="s">
        <v>335</v>
      </c>
      <c r="B25" t="s">
        <v>133</v>
      </c>
    </row>
    <row r="26" spans="1:2" hidden="1" x14ac:dyDescent="0.25">
      <c r="A26" t="s">
        <v>1003</v>
      </c>
      <c r="B26" t="s">
        <v>133</v>
      </c>
    </row>
    <row r="27" spans="1:2" hidden="1" x14ac:dyDescent="0.25">
      <c r="A27" t="s">
        <v>352</v>
      </c>
      <c r="B27" t="s">
        <v>135</v>
      </c>
    </row>
    <row r="28" spans="1:2" hidden="1" x14ac:dyDescent="0.25">
      <c r="A28" t="s">
        <v>363</v>
      </c>
      <c r="B28" t="s">
        <v>133</v>
      </c>
    </row>
    <row r="29" spans="1:2" hidden="1" x14ac:dyDescent="0.25">
      <c r="A29" t="s">
        <v>792</v>
      </c>
      <c r="B29" t="s">
        <v>135</v>
      </c>
    </row>
    <row r="30" spans="1:2" hidden="1" x14ac:dyDescent="0.25">
      <c r="A30" t="s">
        <v>793</v>
      </c>
      <c r="B30" t="s">
        <v>135</v>
      </c>
    </row>
    <row r="31" spans="1:2" hidden="1" x14ac:dyDescent="0.25">
      <c r="A31" t="s">
        <v>791</v>
      </c>
      <c r="B31" t="s">
        <v>133</v>
      </c>
    </row>
    <row r="32" spans="1:2" hidden="1" x14ac:dyDescent="0.25">
      <c r="A32" t="s">
        <v>794</v>
      </c>
      <c r="B32" t="s">
        <v>133</v>
      </c>
    </row>
    <row r="33" spans="1:2" hidden="1" x14ac:dyDescent="0.25">
      <c r="A33" t="s">
        <v>796</v>
      </c>
      <c r="B33" t="s">
        <v>135</v>
      </c>
    </row>
    <row r="34" spans="1:2" hidden="1" x14ac:dyDescent="0.25">
      <c r="A34" t="s">
        <v>782</v>
      </c>
      <c r="B34" t="s">
        <v>135</v>
      </c>
    </row>
    <row r="35" spans="1:2" hidden="1" x14ac:dyDescent="0.25">
      <c r="A35" t="s">
        <v>481</v>
      </c>
      <c r="B35" t="s">
        <v>133</v>
      </c>
    </row>
    <row r="36" spans="1:2" hidden="1" x14ac:dyDescent="0.25">
      <c r="A36" t="s">
        <v>306</v>
      </c>
      <c r="B36" t="s">
        <v>133</v>
      </c>
    </row>
    <row r="37" spans="1:2" hidden="1" x14ac:dyDescent="0.25">
      <c r="A37" t="s">
        <v>797</v>
      </c>
      <c r="B37" t="s">
        <v>133</v>
      </c>
    </row>
    <row r="38" spans="1:2" hidden="1" x14ac:dyDescent="0.25">
      <c r="A38" t="s">
        <v>798</v>
      </c>
      <c r="B38" t="s">
        <v>133</v>
      </c>
    </row>
    <row r="39" spans="1:2" hidden="1" x14ac:dyDescent="0.25">
      <c r="A39" t="s">
        <v>799</v>
      </c>
      <c r="B39" t="s">
        <v>133</v>
      </c>
    </row>
    <row r="40" spans="1:2" hidden="1" x14ac:dyDescent="0.25">
      <c r="A40" t="s">
        <v>387</v>
      </c>
      <c r="B40" t="s">
        <v>133</v>
      </c>
    </row>
    <row r="41" spans="1:2" hidden="1" x14ac:dyDescent="0.25">
      <c r="A41" t="s">
        <v>506</v>
      </c>
      <c r="B41" t="s">
        <v>133</v>
      </c>
    </row>
    <row r="42" spans="1:2" hidden="1" x14ac:dyDescent="0.25">
      <c r="A42" t="s">
        <v>800</v>
      </c>
      <c r="B42" t="s">
        <v>133</v>
      </c>
    </row>
    <row r="43" spans="1:2" hidden="1" x14ac:dyDescent="0.25">
      <c r="A43" t="s">
        <v>801</v>
      </c>
      <c r="B43" t="s">
        <v>133</v>
      </c>
    </row>
    <row r="44" spans="1:2" hidden="1" x14ac:dyDescent="0.25">
      <c r="A44" t="s">
        <v>802</v>
      </c>
      <c r="B44" t="s">
        <v>133</v>
      </c>
    </row>
    <row r="45" spans="1:2" hidden="1" x14ac:dyDescent="0.25">
      <c r="A45" t="s">
        <v>803</v>
      </c>
      <c r="B45" t="s">
        <v>133</v>
      </c>
    </row>
    <row r="46" spans="1:2" hidden="1" x14ac:dyDescent="0.25">
      <c r="A46" t="s">
        <v>561</v>
      </c>
      <c r="B46" t="s">
        <v>133</v>
      </c>
    </row>
    <row r="47" spans="1:2" hidden="1" x14ac:dyDescent="0.25">
      <c r="A47" t="s">
        <v>568</v>
      </c>
      <c r="B47" t="s">
        <v>133</v>
      </c>
    </row>
    <row r="48" spans="1:2" hidden="1" x14ac:dyDescent="0.25">
      <c r="A48" t="s">
        <v>804</v>
      </c>
      <c r="B48" t="s">
        <v>133</v>
      </c>
    </row>
    <row r="49" spans="1:2" hidden="1" x14ac:dyDescent="0.25">
      <c r="A49" t="s">
        <v>580</v>
      </c>
      <c r="B49" t="s">
        <v>133</v>
      </c>
    </row>
    <row r="50" spans="1:2" x14ac:dyDescent="0.25">
      <c r="A50" t="s">
        <v>805</v>
      </c>
      <c r="B50" t="s">
        <v>133</v>
      </c>
    </row>
    <row r="51" spans="1:2" hidden="1" x14ac:dyDescent="0.25">
      <c r="A51" t="s">
        <v>442</v>
      </c>
      <c r="B51" t="s">
        <v>133</v>
      </c>
    </row>
    <row r="52" spans="1:2" hidden="1" x14ac:dyDescent="0.25">
      <c r="A52" t="s">
        <v>834</v>
      </c>
      <c r="B52" t="s">
        <v>133</v>
      </c>
    </row>
    <row r="53" spans="1:2" hidden="1" x14ac:dyDescent="0.25">
      <c r="A53" t="s">
        <v>315</v>
      </c>
      <c r="B53" t="s">
        <v>133</v>
      </c>
    </row>
    <row r="54" spans="1:2" hidden="1" x14ac:dyDescent="0.25">
      <c r="A54" t="s">
        <v>64</v>
      </c>
      <c r="B54" t="s">
        <v>133</v>
      </c>
    </row>
    <row r="55" spans="1:2" hidden="1" x14ac:dyDescent="0.25">
      <c r="A55" t="s">
        <v>65</v>
      </c>
      <c r="B55" t="s">
        <v>133</v>
      </c>
    </row>
    <row r="56" spans="1:2" hidden="1" x14ac:dyDescent="0.25">
      <c r="A56" t="s">
        <v>66</v>
      </c>
      <c r="B56" t="s">
        <v>135</v>
      </c>
    </row>
    <row r="57" spans="1:2" hidden="1" x14ac:dyDescent="0.25">
      <c r="A57" t="s">
        <v>67</v>
      </c>
      <c r="B57" t="s">
        <v>133</v>
      </c>
    </row>
    <row r="58" spans="1:2" hidden="1" x14ac:dyDescent="0.25">
      <c r="A58" t="s">
        <v>68</v>
      </c>
      <c r="B58" t="s">
        <v>135</v>
      </c>
    </row>
    <row r="59" spans="1:2" hidden="1" x14ac:dyDescent="0.25">
      <c r="A59" t="s">
        <v>71</v>
      </c>
      <c r="B59" t="s">
        <v>135</v>
      </c>
    </row>
    <row r="60" spans="1:2" hidden="1" x14ac:dyDescent="0.25">
      <c r="A60" t="s">
        <v>76</v>
      </c>
      <c r="B60" t="s">
        <v>133</v>
      </c>
    </row>
    <row r="61" spans="1:2" hidden="1" x14ac:dyDescent="0.25">
      <c r="A61" t="s">
        <v>88</v>
      </c>
      <c r="B61" t="s">
        <v>133</v>
      </c>
    </row>
    <row r="62" spans="1:2" hidden="1" x14ac:dyDescent="0.25">
      <c r="A62" t="s">
        <v>92</v>
      </c>
      <c r="B62" t="s">
        <v>135</v>
      </c>
    </row>
    <row r="63" spans="1:2" hidden="1" x14ac:dyDescent="0.25">
      <c r="A63" t="s">
        <v>102</v>
      </c>
      <c r="B63" t="s">
        <v>133</v>
      </c>
    </row>
    <row r="64" spans="1:2" hidden="1" x14ac:dyDescent="0.25">
      <c r="A64" t="s">
        <v>833</v>
      </c>
      <c r="B64" t="s">
        <v>133</v>
      </c>
    </row>
    <row r="65" spans="1:2" hidden="1" x14ac:dyDescent="0.25">
      <c r="A65" t="s">
        <v>115</v>
      </c>
      <c r="B65" t="s">
        <v>133</v>
      </c>
    </row>
    <row r="66" spans="1:2" hidden="1" x14ac:dyDescent="0.25">
      <c r="A66" t="s">
        <v>835</v>
      </c>
      <c r="B66" t="s">
        <v>133</v>
      </c>
    </row>
    <row r="67" spans="1:2" hidden="1" x14ac:dyDescent="0.25">
      <c r="A67" t="s">
        <v>125</v>
      </c>
      <c r="B67" t="s">
        <v>135</v>
      </c>
    </row>
    <row r="68" spans="1:2" hidden="1" x14ac:dyDescent="0.25">
      <c r="A68" t="s">
        <v>1090</v>
      </c>
      <c r="B68" t="s">
        <v>133</v>
      </c>
    </row>
    <row r="69" spans="1:2" hidden="1" x14ac:dyDescent="0.25">
      <c r="A69" t="s">
        <v>1091</v>
      </c>
      <c r="B69" t="s">
        <v>133</v>
      </c>
    </row>
    <row r="70" spans="1:2" hidden="1" x14ac:dyDescent="0.25">
      <c r="A70" t="s">
        <v>1092</v>
      </c>
      <c r="B70" t="s">
        <v>133</v>
      </c>
    </row>
    <row r="71" spans="1:2" hidden="1" x14ac:dyDescent="0.25">
      <c r="A71" t="s">
        <v>1093</v>
      </c>
      <c r="B71" t="s">
        <v>133</v>
      </c>
    </row>
    <row r="72" spans="1:2" hidden="1" x14ac:dyDescent="0.25">
      <c r="A72" t="s">
        <v>401</v>
      </c>
      <c r="B72" t="s">
        <v>135</v>
      </c>
    </row>
    <row r="73" spans="1:2" hidden="1" x14ac:dyDescent="0.25">
      <c r="A73" t="s">
        <v>174</v>
      </c>
      <c r="B73" t="s">
        <v>133</v>
      </c>
    </row>
    <row r="74" spans="1:2" hidden="1" x14ac:dyDescent="0.25">
      <c r="A74" t="s">
        <v>9</v>
      </c>
      <c r="B74" t="s">
        <v>133</v>
      </c>
    </row>
    <row r="75" spans="1:2" hidden="1" x14ac:dyDescent="0.25">
      <c r="A75" t="s">
        <v>777</v>
      </c>
      <c r="B75" t="s">
        <v>133</v>
      </c>
    </row>
    <row r="76" spans="1:2" hidden="1" x14ac:dyDescent="0.25">
      <c r="A76" t="s">
        <v>352</v>
      </c>
      <c r="B76" t="s">
        <v>133</v>
      </c>
    </row>
    <row r="77" spans="1:2" hidden="1" x14ac:dyDescent="0.25">
      <c r="A77" t="s">
        <v>793</v>
      </c>
      <c r="B77" t="s">
        <v>133</v>
      </c>
    </row>
    <row r="78" spans="1:2" hidden="1" x14ac:dyDescent="0.25">
      <c r="A78" t="s">
        <v>796</v>
      </c>
      <c r="B78" t="s">
        <v>133</v>
      </c>
    </row>
    <row r="79" spans="1:2" hidden="1" x14ac:dyDescent="0.25">
      <c r="A79" t="s">
        <v>782</v>
      </c>
      <c r="B79" t="s">
        <v>133</v>
      </c>
    </row>
    <row r="80" spans="1:2" hidden="1" x14ac:dyDescent="0.25">
      <c r="A80" t="s">
        <v>797</v>
      </c>
      <c r="B80" t="s">
        <v>135</v>
      </c>
    </row>
    <row r="81" spans="1:2" hidden="1" x14ac:dyDescent="0.25">
      <c r="A81" t="s">
        <v>66</v>
      </c>
      <c r="B81" t="s">
        <v>133</v>
      </c>
    </row>
    <row r="82" spans="1:2" hidden="1" x14ac:dyDescent="0.25">
      <c r="A82" t="s">
        <v>92</v>
      </c>
      <c r="B82" t="s">
        <v>133</v>
      </c>
    </row>
    <row r="83" spans="1:2" hidden="1" x14ac:dyDescent="0.25">
      <c r="A83" t="s">
        <v>125</v>
      </c>
      <c r="B83" t="s">
        <v>133</v>
      </c>
    </row>
    <row r="84" spans="1:2" hidden="1" x14ac:dyDescent="0.25">
      <c r="A84" t="s">
        <v>401</v>
      </c>
      <c r="B84" t="s">
        <v>133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F6302-619F-48D8-9E78-0BCB839A6FEC}">
  <dimension ref="A1:B988"/>
  <sheetViews>
    <sheetView topLeftCell="A962" workbookViewId="0">
      <selection activeCell="B980" sqref="B980"/>
    </sheetView>
  </sheetViews>
  <sheetFormatPr defaultRowHeight="15" x14ac:dyDescent="0.25"/>
  <cols>
    <col min="1" max="1" width="33.7109375" bestFit="1" customWidth="1"/>
    <col min="2" max="2" width="65.28515625" bestFit="1" customWidth="1"/>
    <col min="3" max="3" width="66.5703125" bestFit="1" customWidth="1"/>
  </cols>
  <sheetData>
    <row r="1" spans="1:2" x14ac:dyDescent="0.25">
      <c r="A1" t="s">
        <v>619</v>
      </c>
      <c r="B1" t="s">
        <v>996</v>
      </c>
    </row>
    <row r="2" spans="1:2" x14ac:dyDescent="0.25">
      <c r="A2" t="s">
        <v>786</v>
      </c>
      <c r="B2" t="s">
        <v>666</v>
      </c>
    </row>
    <row r="3" spans="1:2" x14ac:dyDescent="0.25">
      <c r="A3" t="s">
        <v>162</v>
      </c>
      <c r="B3" t="s">
        <v>138</v>
      </c>
    </row>
    <row r="4" spans="1:2" x14ac:dyDescent="0.25">
      <c r="A4" t="s">
        <v>752</v>
      </c>
      <c r="B4" t="s">
        <v>443</v>
      </c>
    </row>
    <row r="5" spans="1:2" x14ac:dyDescent="0.25">
      <c r="A5" t="s">
        <v>174</v>
      </c>
      <c r="B5" t="s">
        <v>174</v>
      </c>
    </row>
    <row r="6" spans="1:2" x14ac:dyDescent="0.25">
      <c r="A6" t="s">
        <v>194</v>
      </c>
      <c r="B6" t="s">
        <v>192</v>
      </c>
    </row>
    <row r="7" spans="1:2" x14ac:dyDescent="0.25">
      <c r="A7" t="s">
        <v>209</v>
      </c>
      <c r="B7" t="s">
        <v>209</v>
      </c>
    </row>
    <row r="8" spans="1:2" x14ac:dyDescent="0.25">
      <c r="A8" t="s">
        <v>9</v>
      </c>
      <c r="B8" t="s">
        <v>9</v>
      </c>
    </row>
    <row r="9" spans="1:2" x14ac:dyDescent="0.25">
      <c r="A9" t="s">
        <v>778</v>
      </c>
      <c r="B9" t="s">
        <v>227</v>
      </c>
    </row>
    <row r="10" spans="1:2" x14ac:dyDescent="0.25">
      <c r="A10" t="s">
        <v>11</v>
      </c>
      <c r="B10" t="s">
        <v>846</v>
      </c>
    </row>
    <row r="11" spans="1:2" x14ac:dyDescent="0.25">
      <c r="A11" t="s">
        <v>12</v>
      </c>
      <c r="B11" t="s">
        <v>888</v>
      </c>
    </row>
    <row r="12" spans="1:2" x14ac:dyDescent="0.25">
      <c r="A12" t="s">
        <v>779</v>
      </c>
      <c r="B12" t="s">
        <v>244</v>
      </c>
    </row>
    <row r="13" spans="1:2" x14ac:dyDescent="0.25">
      <c r="A13" t="s">
        <v>248</v>
      </c>
      <c r="B13" t="s">
        <v>248</v>
      </c>
    </row>
    <row r="14" spans="1:2" x14ac:dyDescent="0.25">
      <c r="A14" t="s">
        <v>268</v>
      </c>
      <c r="B14" t="s">
        <v>266</v>
      </c>
    </row>
    <row r="15" spans="1:2" x14ac:dyDescent="0.25">
      <c r="A15" t="s">
        <v>314</v>
      </c>
      <c r="B15" t="s">
        <v>275</v>
      </c>
    </row>
    <row r="16" spans="1:2" x14ac:dyDescent="0.25">
      <c r="A16" t="s">
        <v>787</v>
      </c>
      <c r="B16" t="s">
        <v>280</v>
      </c>
    </row>
    <row r="17" spans="1:2" x14ac:dyDescent="0.25">
      <c r="A17" t="s">
        <v>598</v>
      </c>
      <c r="B17" t="s">
        <v>283</v>
      </c>
    </row>
    <row r="18" spans="1:2" x14ac:dyDescent="0.25">
      <c r="A18" t="s">
        <v>795</v>
      </c>
      <c r="B18" t="s">
        <v>289</v>
      </c>
    </row>
    <row r="19" spans="1:2" x14ac:dyDescent="0.25">
      <c r="A19" t="s">
        <v>21</v>
      </c>
      <c r="B19" t="s">
        <v>289</v>
      </c>
    </row>
    <row r="20" spans="1:2" x14ac:dyDescent="0.25">
      <c r="A20" t="s">
        <v>22</v>
      </c>
      <c r="B20" t="s">
        <v>823</v>
      </c>
    </row>
    <row r="21" spans="1:2" x14ac:dyDescent="0.25">
      <c r="A21" t="s">
        <v>777</v>
      </c>
      <c r="B21" t="s">
        <v>176</v>
      </c>
    </row>
    <row r="22" spans="1:2" x14ac:dyDescent="0.25">
      <c r="A22" t="s">
        <v>788</v>
      </c>
      <c r="B22" t="s">
        <v>313</v>
      </c>
    </row>
    <row r="23" spans="1:2" x14ac:dyDescent="0.25">
      <c r="A23" t="s">
        <v>790</v>
      </c>
      <c r="B23" t="s">
        <v>233</v>
      </c>
    </row>
    <row r="24" spans="1:2" x14ac:dyDescent="0.25">
      <c r="A24" t="s">
        <v>322</v>
      </c>
      <c r="B24" t="s">
        <v>966</v>
      </c>
    </row>
    <row r="25" spans="1:2" x14ac:dyDescent="0.25">
      <c r="A25" t="s">
        <v>335</v>
      </c>
      <c r="B25" t="s">
        <v>334</v>
      </c>
    </row>
    <row r="26" spans="1:2" x14ac:dyDescent="0.25">
      <c r="A26" t="s">
        <v>1003</v>
      </c>
      <c r="B26" t="s">
        <v>970</v>
      </c>
    </row>
    <row r="27" spans="1:2" x14ac:dyDescent="0.25">
      <c r="A27" t="s">
        <v>352</v>
      </c>
      <c r="B27" t="s">
        <v>347</v>
      </c>
    </row>
    <row r="28" spans="1:2" x14ac:dyDescent="0.25">
      <c r="A28" t="s">
        <v>363</v>
      </c>
      <c r="B28" t="s">
        <v>362</v>
      </c>
    </row>
    <row r="29" spans="1:2" x14ac:dyDescent="0.25">
      <c r="A29" t="s">
        <v>792</v>
      </c>
      <c r="B29" t="s">
        <v>347</v>
      </c>
    </row>
    <row r="30" spans="1:2" x14ac:dyDescent="0.25">
      <c r="A30" t="s">
        <v>793</v>
      </c>
      <c r="B30" t="s">
        <v>366</v>
      </c>
    </row>
    <row r="31" spans="1:2" x14ac:dyDescent="0.25">
      <c r="A31" t="s">
        <v>791</v>
      </c>
      <c r="B31" t="s">
        <v>378</v>
      </c>
    </row>
    <row r="32" spans="1:2" x14ac:dyDescent="0.25">
      <c r="A32" t="s">
        <v>794</v>
      </c>
      <c r="B32" t="s">
        <v>668</v>
      </c>
    </row>
    <row r="33" spans="1:2" x14ac:dyDescent="0.25">
      <c r="A33" t="s">
        <v>796</v>
      </c>
      <c r="B33" t="s">
        <v>365</v>
      </c>
    </row>
    <row r="34" spans="1:2" x14ac:dyDescent="0.25">
      <c r="A34" t="s">
        <v>782</v>
      </c>
      <c r="B34" t="s">
        <v>354</v>
      </c>
    </row>
    <row r="35" spans="1:2" x14ac:dyDescent="0.25">
      <c r="A35" t="s">
        <v>481</v>
      </c>
      <c r="B35" t="s">
        <v>479</v>
      </c>
    </row>
    <row r="36" spans="1:2" x14ac:dyDescent="0.25">
      <c r="A36" t="s">
        <v>306</v>
      </c>
      <c r="B36" t="s">
        <v>485</v>
      </c>
    </row>
    <row r="37" spans="1:2" x14ac:dyDescent="0.25">
      <c r="A37" t="s">
        <v>797</v>
      </c>
      <c r="B37" t="s">
        <v>409</v>
      </c>
    </row>
    <row r="38" spans="1:2" x14ac:dyDescent="0.25">
      <c r="A38" t="s">
        <v>798</v>
      </c>
      <c r="B38" t="s">
        <v>498</v>
      </c>
    </row>
    <row r="39" spans="1:2" x14ac:dyDescent="0.25">
      <c r="A39" t="s">
        <v>799</v>
      </c>
      <c r="B39" t="s">
        <v>1021</v>
      </c>
    </row>
    <row r="40" spans="1:2" x14ac:dyDescent="0.25">
      <c r="A40" t="s">
        <v>387</v>
      </c>
      <c r="B40" t="s">
        <v>998</v>
      </c>
    </row>
    <row r="41" spans="1:2" x14ac:dyDescent="0.25">
      <c r="A41" t="s">
        <v>506</v>
      </c>
      <c r="B41" t="s">
        <v>500</v>
      </c>
    </row>
    <row r="42" spans="1:2" x14ac:dyDescent="0.25">
      <c r="A42" t="s">
        <v>800</v>
      </c>
      <c r="B42" t="s">
        <v>512</v>
      </c>
    </row>
    <row r="43" spans="1:2" x14ac:dyDescent="0.25">
      <c r="A43" t="s">
        <v>801</v>
      </c>
      <c r="B43" t="s">
        <v>1011</v>
      </c>
    </row>
    <row r="44" spans="1:2" x14ac:dyDescent="0.25">
      <c r="A44" t="s">
        <v>802</v>
      </c>
      <c r="B44" t="s">
        <v>552</v>
      </c>
    </row>
    <row r="45" spans="1:2" x14ac:dyDescent="0.25">
      <c r="A45" t="s">
        <v>803</v>
      </c>
      <c r="B45" t="s">
        <v>560</v>
      </c>
    </row>
    <row r="46" spans="1:2" x14ac:dyDescent="0.25">
      <c r="A46" t="s">
        <v>561</v>
      </c>
      <c r="B46" t="s">
        <v>566</v>
      </c>
    </row>
    <row r="47" spans="1:2" x14ac:dyDescent="0.25">
      <c r="A47" t="s">
        <v>568</v>
      </c>
      <c r="B47" t="s">
        <v>567</v>
      </c>
    </row>
    <row r="48" spans="1:2" x14ac:dyDescent="0.25">
      <c r="A48" t="s">
        <v>804</v>
      </c>
      <c r="B48" t="s">
        <v>571</v>
      </c>
    </row>
    <row r="49" spans="1:2" x14ac:dyDescent="0.25">
      <c r="A49" t="s">
        <v>580</v>
      </c>
      <c r="B49" t="s">
        <v>573</v>
      </c>
    </row>
    <row r="50" spans="1:2" x14ac:dyDescent="0.25">
      <c r="A50" t="s">
        <v>805</v>
      </c>
      <c r="B50" t="s">
        <v>589</v>
      </c>
    </row>
    <row r="51" spans="1:2" x14ac:dyDescent="0.25">
      <c r="A51" t="s">
        <v>442</v>
      </c>
      <c r="B51" t="s">
        <v>473</v>
      </c>
    </row>
    <row r="52" spans="1:2" x14ac:dyDescent="0.25">
      <c r="A52" t="s">
        <v>834</v>
      </c>
      <c r="B52" t="s">
        <v>1050</v>
      </c>
    </row>
    <row r="53" spans="1:2" x14ac:dyDescent="0.25">
      <c r="A53" t="s">
        <v>315</v>
      </c>
      <c r="B53" t="s">
        <v>1057</v>
      </c>
    </row>
    <row r="54" spans="1:2" x14ac:dyDescent="0.25">
      <c r="A54" t="s">
        <v>64</v>
      </c>
      <c r="B54" t="s">
        <v>719</v>
      </c>
    </row>
    <row r="55" spans="1:2" x14ac:dyDescent="0.25">
      <c r="A55" t="s">
        <v>65</v>
      </c>
      <c r="B55" t="s">
        <v>65</v>
      </c>
    </row>
    <row r="56" spans="1:2" x14ac:dyDescent="0.25">
      <c r="A56" t="s">
        <v>66</v>
      </c>
      <c r="B56" t="s">
        <v>615</v>
      </c>
    </row>
    <row r="57" spans="1:2" x14ac:dyDescent="0.25">
      <c r="A57" t="s">
        <v>67</v>
      </c>
      <c r="B57" t="s">
        <v>447</v>
      </c>
    </row>
    <row r="58" spans="1:2" x14ac:dyDescent="0.25">
      <c r="A58" t="s">
        <v>68</v>
      </c>
      <c r="B58" t="s">
        <v>68</v>
      </c>
    </row>
    <row r="59" spans="1:2" x14ac:dyDescent="0.25">
      <c r="A59" t="s">
        <v>71</v>
      </c>
      <c r="B59" t="s">
        <v>458</v>
      </c>
    </row>
    <row r="60" spans="1:2" x14ac:dyDescent="0.25">
      <c r="A60" t="s">
        <v>76</v>
      </c>
      <c r="B60" t="s">
        <v>438</v>
      </c>
    </row>
    <row r="61" spans="1:2" x14ac:dyDescent="0.25">
      <c r="A61" t="s">
        <v>88</v>
      </c>
      <c r="B61" t="s">
        <v>342</v>
      </c>
    </row>
    <row r="62" spans="1:2" x14ac:dyDescent="0.25">
      <c r="A62" t="s">
        <v>92</v>
      </c>
      <c r="B62" t="s">
        <v>341</v>
      </c>
    </row>
    <row r="63" spans="1:2" x14ac:dyDescent="0.25">
      <c r="A63" t="s">
        <v>102</v>
      </c>
      <c r="B63" t="s">
        <v>309</v>
      </c>
    </row>
    <row r="64" spans="1:2" x14ac:dyDescent="0.25">
      <c r="A64" t="s">
        <v>833</v>
      </c>
      <c r="B64" t="s">
        <v>192</v>
      </c>
    </row>
    <row r="65" spans="1:2" x14ac:dyDescent="0.25">
      <c r="A65" t="s">
        <v>115</v>
      </c>
      <c r="B65" t="s">
        <v>440</v>
      </c>
    </row>
    <row r="66" spans="1:2" x14ac:dyDescent="0.25">
      <c r="A66" t="s">
        <v>835</v>
      </c>
      <c r="B66" t="s">
        <v>430</v>
      </c>
    </row>
    <row r="67" spans="1:2" x14ac:dyDescent="0.25">
      <c r="A67" t="s">
        <v>125</v>
      </c>
      <c r="B67" t="s">
        <v>224</v>
      </c>
    </row>
    <row r="68" spans="1:2" x14ac:dyDescent="0.25">
      <c r="A68" t="s">
        <v>1090</v>
      </c>
      <c r="B68" t="s">
        <v>1094</v>
      </c>
    </row>
    <row r="69" spans="1:2" x14ac:dyDescent="0.25">
      <c r="A69" t="s">
        <v>1091</v>
      </c>
      <c r="B69" t="s">
        <v>1110</v>
      </c>
    </row>
    <row r="70" spans="1:2" x14ac:dyDescent="0.25">
      <c r="A70" t="s">
        <v>1092</v>
      </c>
      <c r="B70" t="s">
        <v>1095</v>
      </c>
    </row>
    <row r="71" spans="1:2" x14ac:dyDescent="0.25">
      <c r="A71" t="s">
        <v>1093</v>
      </c>
      <c r="B71" t="s">
        <v>1096</v>
      </c>
    </row>
    <row r="72" spans="1:2" x14ac:dyDescent="0.25">
      <c r="A72" t="s">
        <v>401</v>
      </c>
      <c r="B72" t="s">
        <v>392</v>
      </c>
    </row>
    <row r="73" spans="1:2" x14ac:dyDescent="0.25">
      <c r="A73" t="s">
        <v>786</v>
      </c>
      <c r="B73" t="s">
        <v>786</v>
      </c>
    </row>
    <row r="74" spans="1:2" x14ac:dyDescent="0.25">
      <c r="A74" t="s">
        <v>162</v>
      </c>
      <c r="B74" t="s">
        <v>139</v>
      </c>
    </row>
    <row r="75" spans="1:2" x14ac:dyDescent="0.25">
      <c r="A75" t="s">
        <v>752</v>
      </c>
      <c r="B75" t="s">
        <v>165</v>
      </c>
    </row>
    <row r="76" spans="1:2" x14ac:dyDescent="0.25">
      <c r="A76" t="s">
        <v>174</v>
      </c>
      <c r="B76" t="s">
        <v>175</v>
      </c>
    </row>
    <row r="77" spans="1:2" x14ac:dyDescent="0.25">
      <c r="A77" t="s">
        <v>194</v>
      </c>
      <c r="B77" t="s">
        <v>193</v>
      </c>
    </row>
    <row r="78" spans="1:2" x14ac:dyDescent="0.25">
      <c r="A78" t="s">
        <v>209</v>
      </c>
      <c r="B78" t="s">
        <v>210</v>
      </c>
    </row>
    <row r="79" spans="1:2" x14ac:dyDescent="0.25">
      <c r="A79" t="s">
        <v>9</v>
      </c>
      <c r="B79" t="s">
        <v>221</v>
      </c>
    </row>
    <row r="80" spans="1:2" x14ac:dyDescent="0.25">
      <c r="A80" t="s">
        <v>778</v>
      </c>
      <c r="B80" t="s">
        <v>228</v>
      </c>
    </row>
    <row r="81" spans="1:2" x14ac:dyDescent="0.25">
      <c r="A81" t="s">
        <v>11</v>
      </c>
      <c r="B81" t="s">
        <v>847</v>
      </c>
    </row>
    <row r="82" spans="1:2" x14ac:dyDescent="0.25">
      <c r="A82" t="s">
        <v>12</v>
      </c>
      <c r="B82" t="s">
        <v>889</v>
      </c>
    </row>
    <row r="83" spans="1:2" x14ac:dyDescent="0.25">
      <c r="A83" t="s">
        <v>779</v>
      </c>
      <c r="B83" t="s">
        <v>245</v>
      </c>
    </row>
    <row r="84" spans="1:2" x14ac:dyDescent="0.25">
      <c r="A84" t="s">
        <v>248</v>
      </c>
      <c r="B84" t="s">
        <v>936</v>
      </c>
    </row>
    <row r="85" spans="1:2" x14ac:dyDescent="0.25">
      <c r="A85" t="s">
        <v>268</v>
      </c>
      <c r="B85" t="s">
        <v>267</v>
      </c>
    </row>
    <row r="86" spans="1:2" x14ac:dyDescent="0.25">
      <c r="A86" t="s">
        <v>314</v>
      </c>
      <c r="B86" t="s">
        <v>276</v>
      </c>
    </row>
    <row r="87" spans="1:2" x14ac:dyDescent="0.25">
      <c r="A87" t="s">
        <v>787</v>
      </c>
      <c r="B87" t="s">
        <v>281</v>
      </c>
    </row>
    <row r="88" spans="1:2" x14ac:dyDescent="0.25">
      <c r="A88" t="s">
        <v>598</v>
      </c>
      <c r="B88" t="s">
        <v>284</v>
      </c>
    </row>
    <row r="89" spans="1:2" x14ac:dyDescent="0.25">
      <c r="A89" t="s">
        <v>795</v>
      </c>
      <c r="B89" t="s">
        <v>290</v>
      </c>
    </row>
    <row r="90" spans="1:2" x14ac:dyDescent="0.25">
      <c r="A90" t="s">
        <v>21</v>
      </c>
      <c r="B90" t="s">
        <v>290</v>
      </c>
    </row>
    <row r="91" spans="1:2" x14ac:dyDescent="0.25">
      <c r="A91" t="s">
        <v>22</v>
      </c>
      <c r="B91" t="s">
        <v>307</v>
      </c>
    </row>
    <row r="92" spans="1:2" x14ac:dyDescent="0.25">
      <c r="A92" t="s">
        <v>777</v>
      </c>
      <c r="B92" t="s">
        <v>177</v>
      </c>
    </row>
    <row r="93" spans="1:2" x14ac:dyDescent="0.25">
      <c r="A93" t="s">
        <v>788</v>
      </c>
      <c r="B93" t="s">
        <v>788</v>
      </c>
    </row>
    <row r="94" spans="1:2" x14ac:dyDescent="0.25">
      <c r="A94" t="s">
        <v>790</v>
      </c>
      <c r="B94" t="s">
        <v>316</v>
      </c>
    </row>
    <row r="95" spans="1:2" x14ac:dyDescent="0.25">
      <c r="A95" t="s">
        <v>322</v>
      </c>
      <c r="B95" t="s">
        <v>319</v>
      </c>
    </row>
    <row r="96" spans="1:2" x14ac:dyDescent="0.25">
      <c r="A96" t="s">
        <v>335</v>
      </c>
      <c r="B96" t="s">
        <v>335</v>
      </c>
    </row>
    <row r="97" spans="1:2" x14ac:dyDescent="0.25">
      <c r="A97" t="s">
        <v>1003</v>
      </c>
      <c r="B97" t="s">
        <v>342</v>
      </c>
    </row>
    <row r="98" spans="1:2" x14ac:dyDescent="0.25">
      <c r="A98" t="s">
        <v>352</v>
      </c>
      <c r="B98" t="s">
        <v>348</v>
      </c>
    </row>
    <row r="99" spans="1:2" x14ac:dyDescent="0.25">
      <c r="A99" t="s">
        <v>363</v>
      </c>
      <c r="B99" t="s">
        <v>363</v>
      </c>
    </row>
    <row r="100" spans="1:2" x14ac:dyDescent="0.25">
      <c r="A100" t="s">
        <v>792</v>
      </c>
      <c r="B100" t="s">
        <v>348</v>
      </c>
    </row>
    <row r="101" spans="1:2" x14ac:dyDescent="0.25">
      <c r="A101" t="s">
        <v>793</v>
      </c>
      <c r="B101" t="s">
        <v>214</v>
      </c>
    </row>
    <row r="102" spans="1:2" x14ac:dyDescent="0.25">
      <c r="A102" t="s">
        <v>791</v>
      </c>
      <c r="B102" t="s">
        <v>379</v>
      </c>
    </row>
    <row r="103" spans="1:2" x14ac:dyDescent="0.25">
      <c r="A103" t="s">
        <v>794</v>
      </c>
      <c r="B103" t="s">
        <v>667</v>
      </c>
    </row>
    <row r="104" spans="1:2" x14ac:dyDescent="0.25">
      <c r="A104" t="s">
        <v>796</v>
      </c>
      <c r="B104" t="s">
        <v>389</v>
      </c>
    </row>
    <row r="105" spans="1:2" x14ac:dyDescent="0.25">
      <c r="A105" t="s">
        <v>782</v>
      </c>
      <c r="B105" t="s">
        <v>982</v>
      </c>
    </row>
    <row r="106" spans="1:2" x14ac:dyDescent="0.25">
      <c r="A106" t="s">
        <v>481</v>
      </c>
      <c r="B106" t="s">
        <v>480</v>
      </c>
    </row>
    <row r="107" spans="1:2" x14ac:dyDescent="0.25">
      <c r="A107" t="s">
        <v>306</v>
      </c>
      <c r="B107" t="s">
        <v>486</v>
      </c>
    </row>
    <row r="108" spans="1:2" x14ac:dyDescent="0.25">
      <c r="A108" t="s">
        <v>797</v>
      </c>
      <c r="B108" t="s">
        <v>410</v>
      </c>
    </row>
    <row r="109" spans="1:2" x14ac:dyDescent="0.25">
      <c r="A109" t="s">
        <v>798</v>
      </c>
      <c r="B109" t="s">
        <v>757</v>
      </c>
    </row>
    <row r="110" spans="1:2" x14ac:dyDescent="0.25">
      <c r="A110" t="s">
        <v>799</v>
      </c>
      <c r="B110" t="s">
        <v>494</v>
      </c>
    </row>
    <row r="111" spans="1:2" x14ac:dyDescent="0.25">
      <c r="A111" t="s">
        <v>387</v>
      </c>
      <c r="B111" t="s">
        <v>999</v>
      </c>
    </row>
    <row r="112" spans="1:2" x14ac:dyDescent="0.25">
      <c r="A112" t="s">
        <v>506</v>
      </c>
      <c r="B112" t="s">
        <v>501</v>
      </c>
    </row>
    <row r="113" spans="1:2" x14ac:dyDescent="0.25">
      <c r="A113" t="s">
        <v>800</v>
      </c>
      <c r="B113" t="s">
        <v>513</v>
      </c>
    </row>
    <row r="114" spans="1:2" x14ac:dyDescent="0.25">
      <c r="A114" t="s">
        <v>801</v>
      </c>
      <c r="B114" t="s">
        <v>554</v>
      </c>
    </row>
    <row r="115" spans="1:2" x14ac:dyDescent="0.25">
      <c r="A115" t="s">
        <v>802</v>
      </c>
      <c r="B115" t="s">
        <v>553</v>
      </c>
    </row>
    <row r="116" spans="1:2" x14ac:dyDescent="0.25">
      <c r="A116" t="s">
        <v>803</v>
      </c>
      <c r="B116" t="s">
        <v>1024</v>
      </c>
    </row>
    <row r="117" spans="1:2" x14ac:dyDescent="0.25">
      <c r="A117" t="s">
        <v>561</v>
      </c>
      <c r="B117" t="s">
        <v>559</v>
      </c>
    </row>
    <row r="118" spans="1:2" x14ac:dyDescent="0.25">
      <c r="A118" t="s">
        <v>568</v>
      </c>
      <c r="B118" t="s">
        <v>568</v>
      </c>
    </row>
    <row r="119" spans="1:2" x14ac:dyDescent="0.25">
      <c r="A119" t="s">
        <v>804</v>
      </c>
      <c r="B119" t="s">
        <v>572</v>
      </c>
    </row>
    <row r="120" spans="1:2" x14ac:dyDescent="0.25">
      <c r="A120" t="s">
        <v>580</v>
      </c>
      <c r="B120" t="s">
        <v>574</v>
      </c>
    </row>
    <row r="121" spans="1:2" x14ac:dyDescent="0.25">
      <c r="A121" t="s">
        <v>805</v>
      </c>
      <c r="B121" t="s">
        <v>590</v>
      </c>
    </row>
    <row r="122" spans="1:2" x14ac:dyDescent="0.25">
      <c r="A122" t="s">
        <v>442</v>
      </c>
      <c r="B122" t="s">
        <v>472</v>
      </c>
    </row>
    <row r="123" spans="1:2" x14ac:dyDescent="0.25">
      <c r="A123" t="s">
        <v>834</v>
      </c>
      <c r="B123" t="s">
        <v>1051</v>
      </c>
    </row>
    <row r="124" spans="1:2" x14ac:dyDescent="0.25">
      <c r="A124" t="s">
        <v>315</v>
      </c>
      <c r="B124" t="s">
        <v>315</v>
      </c>
    </row>
    <row r="125" spans="1:2" x14ac:dyDescent="0.25">
      <c r="A125" t="s">
        <v>64</v>
      </c>
      <c r="B125" t="s">
        <v>720</v>
      </c>
    </row>
    <row r="126" spans="1:2" x14ac:dyDescent="0.25">
      <c r="A126" t="s">
        <v>65</v>
      </c>
      <c r="B126" t="s">
        <v>617</v>
      </c>
    </row>
    <row r="127" spans="1:2" x14ac:dyDescent="0.25">
      <c r="A127" t="s">
        <v>66</v>
      </c>
      <c r="B127" t="s">
        <v>616</v>
      </c>
    </row>
    <row r="128" spans="1:2" x14ac:dyDescent="0.25">
      <c r="A128" t="s">
        <v>67</v>
      </c>
      <c r="B128" t="s">
        <v>450</v>
      </c>
    </row>
    <row r="129" spans="1:2" x14ac:dyDescent="0.25">
      <c r="A129" t="s">
        <v>68</v>
      </c>
      <c r="B129" t="s">
        <v>562</v>
      </c>
    </row>
    <row r="130" spans="1:2" x14ac:dyDescent="0.25">
      <c r="A130" t="s">
        <v>71</v>
      </c>
      <c r="B130" t="s">
        <v>460</v>
      </c>
    </row>
    <row r="131" spans="1:2" x14ac:dyDescent="0.25">
      <c r="A131" t="s">
        <v>76</v>
      </c>
      <c r="B131" t="s">
        <v>76</v>
      </c>
    </row>
    <row r="132" spans="1:2" x14ac:dyDescent="0.25">
      <c r="A132" t="s">
        <v>88</v>
      </c>
      <c r="B132" t="s">
        <v>769</v>
      </c>
    </row>
    <row r="133" spans="1:2" x14ac:dyDescent="0.25">
      <c r="A133" t="s">
        <v>92</v>
      </c>
      <c r="B133" t="s">
        <v>1066</v>
      </c>
    </row>
    <row r="134" spans="1:2" x14ac:dyDescent="0.25">
      <c r="A134" t="s">
        <v>102</v>
      </c>
      <c r="B134" t="s">
        <v>461</v>
      </c>
    </row>
    <row r="135" spans="1:2" x14ac:dyDescent="0.25">
      <c r="A135" t="s">
        <v>833</v>
      </c>
      <c r="B135" t="s">
        <v>454</v>
      </c>
    </row>
    <row r="136" spans="1:2" x14ac:dyDescent="0.25">
      <c r="A136" t="s">
        <v>115</v>
      </c>
      <c r="B136" t="s">
        <v>621</v>
      </c>
    </row>
    <row r="137" spans="1:2" x14ac:dyDescent="0.25">
      <c r="A137" t="s">
        <v>835</v>
      </c>
      <c r="B137" t="s">
        <v>1071</v>
      </c>
    </row>
    <row r="138" spans="1:2" x14ac:dyDescent="0.25">
      <c r="A138" t="s">
        <v>125</v>
      </c>
      <c r="B138" t="s">
        <v>426</v>
      </c>
    </row>
    <row r="139" spans="1:2" x14ac:dyDescent="0.25">
      <c r="A139" t="s">
        <v>1090</v>
      </c>
      <c r="B139" t="s">
        <v>1090</v>
      </c>
    </row>
    <row r="140" spans="1:2" x14ac:dyDescent="0.25">
      <c r="A140" t="s">
        <v>1091</v>
      </c>
      <c r="B140" t="s">
        <v>1097</v>
      </c>
    </row>
    <row r="141" spans="1:2" x14ac:dyDescent="0.25">
      <c r="A141" t="s">
        <v>1092</v>
      </c>
      <c r="B141" t="s">
        <v>1098</v>
      </c>
    </row>
    <row r="142" spans="1:2" x14ac:dyDescent="0.25">
      <c r="A142" t="s">
        <v>1093</v>
      </c>
      <c r="B142" t="s">
        <v>1099</v>
      </c>
    </row>
    <row r="143" spans="1:2" x14ac:dyDescent="0.25">
      <c r="A143" t="s">
        <v>401</v>
      </c>
      <c r="B143" t="s">
        <v>397</v>
      </c>
    </row>
    <row r="144" spans="1:2" x14ac:dyDescent="0.25">
      <c r="A144" t="s">
        <v>786</v>
      </c>
      <c r="B144" t="s">
        <v>1004</v>
      </c>
    </row>
    <row r="145" spans="1:2" x14ac:dyDescent="0.25">
      <c r="A145" t="s">
        <v>162</v>
      </c>
      <c r="B145" t="s">
        <v>140</v>
      </c>
    </row>
    <row r="146" spans="1:2" x14ac:dyDescent="0.25">
      <c r="A146" t="s">
        <v>752</v>
      </c>
      <c r="B146" t="s">
        <v>166</v>
      </c>
    </row>
    <row r="147" spans="1:2" x14ac:dyDescent="0.25">
      <c r="A147" t="s">
        <v>174</v>
      </c>
      <c r="B147" t="s">
        <v>176</v>
      </c>
    </row>
    <row r="148" spans="1:2" x14ac:dyDescent="0.25">
      <c r="A148" t="s">
        <v>194</v>
      </c>
      <c r="B148" t="s">
        <v>194</v>
      </c>
    </row>
    <row r="149" spans="1:2" x14ac:dyDescent="0.25">
      <c r="A149" t="s">
        <v>209</v>
      </c>
      <c r="B149" t="s">
        <v>841</v>
      </c>
    </row>
    <row r="150" spans="1:2" x14ac:dyDescent="0.25">
      <c r="A150" t="s">
        <v>9</v>
      </c>
      <c r="B150" t="s">
        <v>222</v>
      </c>
    </row>
    <row r="151" spans="1:2" x14ac:dyDescent="0.25">
      <c r="A151" t="s">
        <v>778</v>
      </c>
      <c r="B151" t="s">
        <v>229</v>
      </c>
    </row>
    <row r="152" spans="1:2" x14ac:dyDescent="0.25">
      <c r="A152" t="s">
        <v>11</v>
      </c>
      <c r="B152" t="s">
        <v>848</v>
      </c>
    </row>
    <row r="153" spans="1:2" x14ac:dyDescent="0.25">
      <c r="A153" t="s">
        <v>12</v>
      </c>
      <c r="B153" t="s">
        <v>890</v>
      </c>
    </row>
    <row r="154" spans="1:2" x14ac:dyDescent="0.25">
      <c r="A154" t="s">
        <v>779</v>
      </c>
      <c r="B154" t="s">
        <v>246</v>
      </c>
    </row>
    <row r="155" spans="1:2" x14ac:dyDescent="0.25">
      <c r="A155" t="s">
        <v>248</v>
      </c>
      <c r="B155" t="s">
        <v>249</v>
      </c>
    </row>
    <row r="156" spans="1:2" x14ac:dyDescent="0.25">
      <c r="A156" t="s">
        <v>268</v>
      </c>
      <c r="B156" t="s">
        <v>268</v>
      </c>
    </row>
    <row r="157" spans="1:2" x14ac:dyDescent="0.25">
      <c r="A157" t="s">
        <v>314</v>
      </c>
      <c r="B157" t="s">
        <v>943</v>
      </c>
    </row>
    <row r="158" spans="1:2" x14ac:dyDescent="0.25">
      <c r="A158" t="s">
        <v>787</v>
      </c>
      <c r="B158" t="s">
        <v>282</v>
      </c>
    </row>
    <row r="159" spans="1:2" x14ac:dyDescent="0.25">
      <c r="A159" t="s">
        <v>598</v>
      </c>
      <c r="B159" t="s">
        <v>285</v>
      </c>
    </row>
    <row r="160" spans="1:2" x14ac:dyDescent="0.25">
      <c r="A160" t="s">
        <v>795</v>
      </c>
      <c r="B160" t="s">
        <v>291</v>
      </c>
    </row>
    <row r="161" spans="1:2" x14ac:dyDescent="0.25">
      <c r="A161" t="s">
        <v>21</v>
      </c>
      <c r="B161" t="s">
        <v>291</v>
      </c>
    </row>
    <row r="162" spans="1:2" x14ac:dyDescent="0.25">
      <c r="A162" t="s">
        <v>22</v>
      </c>
      <c r="B162" t="s">
        <v>308</v>
      </c>
    </row>
    <row r="163" spans="1:2" x14ac:dyDescent="0.25">
      <c r="A163" t="s">
        <v>777</v>
      </c>
      <c r="B163" t="s">
        <v>960</v>
      </c>
    </row>
    <row r="164" spans="1:2" x14ac:dyDescent="0.25">
      <c r="A164" t="s">
        <v>788</v>
      </c>
      <c r="B164" t="s">
        <v>963</v>
      </c>
    </row>
    <row r="165" spans="1:2" x14ac:dyDescent="0.25">
      <c r="A165" t="s">
        <v>790</v>
      </c>
      <c r="B165" t="s">
        <v>317</v>
      </c>
    </row>
    <row r="166" spans="1:2" x14ac:dyDescent="0.25">
      <c r="A166" t="s">
        <v>322</v>
      </c>
      <c r="B166" t="s">
        <v>320</v>
      </c>
    </row>
    <row r="167" spans="1:2" x14ac:dyDescent="0.25">
      <c r="A167" t="s">
        <v>335</v>
      </c>
      <c r="B167" t="s">
        <v>336</v>
      </c>
    </row>
    <row r="168" spans="1:2" x14ac:dyDescent="0.25">
      <c r="A168" t="s">
        <v>1003</v>
      </c>
      <c r="B168" t="s">
        <v>343</v>
      </c>
    </row>
    <row r="169" spans="1:2" x14ac:dyDescent="0.25">
      <c r="A169" t="s">
        <v>352</v>
      </c>
      <c r="B169" t="s">
        <v>349</v>
      </c>
    </row>
    <row r="170" spans="1:2" x14ac:dyDescent="0.25">
      <c r="A170" t="s">
        <v>363</v>
      </c>
      <c r="B170" t="s">
        <v>364</v>
      </c>
    </row>
    <row r="171" spans="1:2" x14ac:dyDescent="0.25">
      <c r="A171" t="s">
        <v>792</v>
      </c>
      <c r="B171" t="s">
        <v>365</v>
      </c>
    </row>
    <row r="172" spans="1:2" x14ac:dyDescent="0.25">
      <c r="A172" t="s">
        <v>793</v>
      </c>
      <c r="B172" t="s">
        <v>973</v>
      </c>
    </row>
    <row r="173" spans="1:2" x14ac:dyDescent="0.25">
      <c r="A173" t="s">
        <v>791</v>
      </c>
      <c r="B173" t="s">
        <v>380</v>
      </c>
    </row>
    <row r="174" spans="1:2" x14ac:dyDescent="0.25">
      <c r="A174" t="s">
        <v>794</v>
      </c>
      <c r="B174" t="s">
        <v>700</v>
      </c>
    </row>
    <row r="175" spans="1:2" x14ac:dyDescent="0.25">
      <c r="A175" t="s">
        <v>796</v>
      </c>
      <c r="B175" t="s">
        <v>390</v>
      </c>
    </row>
    <row r="176" spans="1:2" x14ac:dyDescent="0.25">
      <c r="A176" t="s">
        <v>782</v>
      </c>
      <c r="B176" t="s">
        <v>983</v>
      </c>
    </row>
    <row r="177" spans="1:2" x14ac:dyDescent="0.25">
      <c r="A177" t="s">
        <v>481</v>
      </c>
      <c r="B177" t="s">
        <v>481</v>
      </c>
    </row>
    <row r="178" spans="1:2" x14ac:dyDescent="0.25">
      <c r="A178" t="s">
        <v>306</v>
      </c>
      <c r="B178" t="s">
        <v>279</v>
      </c>
    </row>
    <row r="179" spans="1:2" x14ac:dyDescent="0.25">
      <c r="A179" t="s">
        <v>797</v>
      </c>
      <c r="B179" t="s">
        <v>411</v>
      </c>
    </row>
    <row r="180" spans="1:2" x14ac:dyDescent="0.25">
      <c r="A180" t="s">
        <v>798</v>
      </c>
      <c r="B180" t="s">
        <v>992</v>
      </c>
    </row>
    <row r="181" spans="1:2" x14ac:dyDescent="0.25">
      <c r="A181" t="s">
        <v>799</v>
      </c>
      <c r="B181" t="s">
        <v>1017</v>
      </c>
    </row>
    <row r="182" spans="1:2" x14ac:dyDescent="0.25">
      <c r="A182" t="s">
        <v>387</v>
      </c>
      <c r="B182" t="s">
        <v>387</v>
      </c>
    </row>
    <row r="183" spans="1:2" x14ac:dyDescent="0.25">
      <c r="A183" t="s">
        <v>506</v>
      </c>
      <c r="B183" t="s">
        <v>502</v>
      </c>
    </row>
    <row r="184" spans="1:2" x14ac:dyDescent="0.25">
      <c r="A184" t="s">
        <v>800</v>
      </c>
      <c r="B184" t="s">
        <v>514</v>
      </c>
    </row>
    <row r="185" spans="1:2" x14ac:dyDescent="0.25">
      <c r="A185" t="s">
        <v>801</v>
      </c>
      <c r="B185" t="s">
        <v>555</v>
      </c>
    </row>
    <row r="186" spans="1:2" x14ac:dyDescent="0.25">
      <c r="A186" t="s">
        <v>802</v>
      </c>
      <c r="B186" t="s">
        <v>1013</v>
      </c>
    </row>
    <row r="187" spans="1:2" x14ac:dyDescent="0.25">
      <c r="A187" t="s">
        <v>803</v>
      </c>
      <c r="B187" t="s">
        <v>707</v>
      </c>
    </row>
    <row r="188" spans="1:2" x14ac:dyDescent="0.25">
      <c r="A188" t="s">
        <v>561</v>
      </c>
      <c r="B188" t="s">
        <v>561</v>
      </c>
    </row>
    <row r="189" spans="1:2" x14ac:dyDescent="0.25">
      <c r="A189" t="s">
        <v>568</v>
      </c>
      <c r="B189" t="s">
        <v>570</v>
      </c>
    </row>
    <row r="190" spans="1:2" x14ac:dyDescent="0.25">
      <c r="A190" t="s">
        <v>804</v>
      </c>
      <c r="B190" t="s">
        <v>709</v>
      </c>
    </row>
    <row r="191" spans="1:2" x14ac:dyDescent="0.25">
      <c r="A191" t="s">
        <v>580</v>
      </c>
      <c r="B191" t="s">
        <v>575</v>
      </c>
    </row>
    <row r="192" spans="1:2" x14ac:dyDescent="0.25">
      <c r="A192" t="s">
        <v>805</v>
      </c>
      <c r="B192" t="s">
        <v>591</v>
      </c>
    </row>
    <row r="193" spans="1:2" x14ac:dyDescent="0.25">
      <c r="A193" t="s">
        <v>442</v>
      </c>
      <c r="B193" t="s">
        <v>713</v>
      </c>
    </row>
    <row r="194" spans="1:2" x14ac:dyDescent="0.25">
      <c r="A194" t="s">
        <v>834</v>
      </c>
      <c r="B194" t="s">
        <v>1052</v>
      </c>
    </row>
    <row r="195" spans="1:2" x14ac:dyDescent="0.25">
      <c r="A195" t="s">
        <v>315</v>
      </c>
      <c r="B195" t="s">
        <v>607</v>
      </c>
    </row>
    <row r="196" spans="1:2" x14ac:dyDescent="0.25">
      <c r="A196" t="s">
        <v>64</v>
      </c>
      <c r="B196" t="s">
        <v>721</v>
      </c>
    </row>
    <row r="197" spans="1:2" x14ac:dyDescent="0.25">
      <c r="A197" t="s">
        <v>65</v>
      </c>
      <c r="B197" t="s">
        <v>750</v>
      </c>
    </row>
    <row r="198" spans="1:2" x14ac:dyDescent="0.25">
      <c r="A198" t="s">
        <v>66</v>
      </c>
      <c r="B198" t="s">
        <v>66</v>
      </c>
    </row>
    <row r="199" spans="1:2" x14ac:dyDescent="0.25">
      <c r="A199" t="s">
        <v>67</v>
      </c>
      <c r="B199" t="s">
        <v>451</v>
      </c>
    </row>
    <row r="200" spans="1:2" x14ac:dyDescent="0.25">
      <c r="A200" t="s">
        <v>68</v>
      </c>
      <c r="B200" t="s">
        <v>1061</v>
      </c>
    </row>
    <row r="201" spans="1:2" x14ac:dyDescent="0.25">
      <c r="A201" t="s">
        <v>71</v>
      </c>
      <c r="B201" t="s">
        <v>1062</v>
      </c>
    </row>
    <row r="202" spans="1:2" x14ac:dyDescent="0.25">
      <c r="A202" t="s">
        <v>76</v>
      </c>
      <c r="B202" t="s">
        <v>545</v>
      </c>
    </row>
    <row r="203" spans="1:2" x14ac:dyDescent="0.25">
      <c r="A203" t="s">
        <v>88</v>
      </c>
      <c r="B203" t="s">
        <v>1063</v>
      </c>
    </row>
    <row r="204" spans="1:2" x14ac:dyDescent="0.25">
      <c r="A204" t="s">
        <v>92</v>
      </c>
      <c r="B204" t="s">
        <v>357</v>
      </c>
    </row>
    <row r="205" spans="1:2" x14ac:dyDescent="0.25">
      <c r="A205" t="s">
        <v>102</v>
      </c>
      <c r="B205" t="s">
        <v>462</v>
      </c>
    </row>
    <row r="206" spans="1:2" x14ac:dyDescent="0.25">
      <c r="A206" t="s">
        <v>833</v>
      </c>
      <c r="B206" t="s">
        <v>110</v>
      </c>
    </row>
    <row r="207" spans="1:2" x14ac:dyDescent="0.25">
      <c r="A207" t="s">
        <v>115</v>
      </c>
      <c r="B207" t="s">
        <v>445</v>
      </c>
    </row>
    <row r="208" spans="1:2" x14ac:dyDescent="0.25">
      <c r="A208" t="s">
        <v>835</v>
      </c>
      <c r="B208" t="s">
        <v>432</v>
      </c>
    </row>
    <row r="209" spans="1:2" x14ac:dyDescent="0.25">
      <c r="A209" t="s">
        <v>125</v>
      </c>
      <c r="B209" t="s">
        <v>622</v>
      </c>
    </row>
    <row r="210" spans="1:2" x14ac:dyDescent="0.25">
      <c r="A210" t="s">
        <v>1090</v>
      </c>
      <c r="B210" t="s">
        <v>209</v>
      </c>
    </row>
    <row r="211" spans="1:2" x14ac:dyDescent="0.25">
      <c r="A211" t="s">
        <v>1091</v>
      </c>
      <c r="B211" t="s">
        <v>1100</v>
      </c>
    </row>
    <row r="212" spans="1:2" x14ac:dyDescent="0.25">
      <c r="A212" t="s">
        <v>1092</v>
      </c>
      <c r="B212" t="s">
        <v>1101</v>
      </c>
    </row>
    <row r="213" spans="1:2" x14ac:dyDescent="0.25">
      <c r="A213" t="s">
        <v>1093</v>
      </c>
      <c r="B213" t="s">
        <v>1102</v>
      </c>
    </row>
    <row r="214" spans="1:2" x14ac:dyDescent="0.25">
      <c r="A214" t="s">
        <v>401</v>
      </c>
      <c r="B214" t="s">
        <v>401</v>
      </c>
    </row>
    <row r="215" spans="1:2" x14ac:dyDescent="0.25">
      <c r="A215" t="s">
        <v>786</v>
      </c>
      <c r="B215" t="s">
        <v>1005</v>
      </c>
    </row>
    <row r="216" spans="1:2" x14ac:dyDescent="0.25">
      <c r="A216" t="s">
        <v>162</v>
      </c>
      <c r="B216" t="s">
        <v>141</v>
      </c>
    </row>
    <row r="217" spans="1:2" x14ac:dyDescent="0.25">
      <c r="A217" t="s">
        <v>752</v>
      </c>
      <c r="B217" t="s">
        <v>167</v>
      </c>
    </row>
    <row r="218" spans="1:2" x14ac:dyDescent="0.25">
      <c r="A218" t="s">
        <v>174</v>
      </c>
      <c r="B218" t="s">
        <v>177</v>
      </c>
    </row>
    <row r="219" spans="1:2" x14ac:dyDescent="0.25">
      <c r="A219" t="s">
        <v>194</v>
      </c>
      <c r="B219" t="s">
        <v>838</v>
      </c>
    </row>
    <row r="220" spans="1:2" x14ac:dyDescent="0.25">
      <c r="A220" t="s">
        <v>209</v>
      </c>
      <c r="B220" t="s">
        <v>211</v>
      </c>
    </row>
    <row r="221" spans="1:2" x14ac:dyDescent="0.25">
      <c r="A221" t="s">
        <v>9</v>
      </c>
      <c r="B221" t="s">
        <v>223</v>
      </c>
    </row>
    <row r="222" spans="1:2" x14ac:dyDescent="0.25">
      <c r="A222" t="s">
        <v>778</v>
      </c>
      <c r="B222" t="s">
        <v>230</v>
      </c>
    </row>
    <row r="223" spans="1:2" x14ac:dyDescent="0.25">
      <c r="A223" t="s">
        <v>11</v>
      </c>
      <c r="B223" t="s">
        <v>849</v>
      </c>
    </row>
    <row r="224" spans="1:2" x14ac:dyDescent="0.25">
      <c r="A224" t="s">
        <v>12</v>
      </c>
      <c r="B224" t="s">
        <v>891</v>
      </c>
    </row>
    <row r="225" spans="1:2" x14ac:dyDescent="0.25">
      <c r="A225" t="s">
        <v>779</v>
      </c>
      <c r="B225" t="s">
        <v>247</v>
      </c>
    </row>
    <row r="226" spans="1:2" x14ac:dyDescent="0.25">
      <c r="A226" t="s">
        <v>248</v>
      </c>
      <c r="B226" t="s">
        <v>250</v>
      </c>
    </row>
    <row r="227" spans="1:2" x14ac:dyDescent="0.25">
      <c r="A227" t="s">
        <v>268</v>
      </c>
      <c r="B227" t="s">
        <v>269</v>
      </c>
    </row>
    <row r="228" spans="1:2" x14ac:dyDescent="0.25">
      <c r="A228" t="s">
        <v>314</v>
      </c>
      <c r="B228" t="s">
        <v>277</v>
      </c>
    </row>
    <row r="229" spans="1:2" x14ac:dyDescent="0.25">
      <c r="A229" t="s">
        <v>787</v>
      </c>
      <c r="B229" t="s">
        <v>689</v>
      </c>
    </row>
    <row r="230" spans="1:2" x14ac:dyDescent="0.25">
      <c r="A230" t="s">
        <v>598</v>
      </c>
      <c r="B230" t="s">
        <v>286</v>
      </c>
    </row>
    <row r="231" spans="1:2" x14ac:dyDescent="0.25">
      <c r="A231" t="s">
        <v>795</v>
      </c>
      <c r="B231" t="s">
        <v>949</v>
      </c>
    </row>
    <row r="232" spans="1:2" x14ac:dyDescent="0.25">
      <c r="A232" t="s">
        <v>21</v>
      </c>
      <c r="B232" t="s">
        <v>949</v>
      </c>
    </row>
    <row r="233" spans="1:2" x14ac:dyDescent="0.25">
      <c r="A233" t="s">
        <v>22</v>
      </c>
      <c r="B233" t="s">
        <v>309</v>
      </c>
    </row>
    <row r="234" spans="1:2" x14ac:dyDescent="0.25">
      <c r="A234" t="s">
        <v>777</v>
      </c>
      <c r="B234" t="s">
        <v>183</v>
      </c>
    </row>
    <row r="235" spans="1:2" x14ac:dyDescent="0.25">
      <c r="A235" t="s">
        <v>788</v>
      </c>
      <c r="B235" t="s">
        <v>751</v>
      </c>
    </row>
    <row r="236" spans="1:2" x14ac:dyDescent="0.25">
      <c r="A236" t="s">
        <v>790</v>
      </c>
      <c r="B236" t="s">
        <v>1111</v>
      </c>
    </row>
    <row r="237" spans="1:2" x14ac:dyDescent="0.25">
      <c r="A237" t="s">
        <v>322</v>
      </c>
      <c r="B237" t="s">
        <v>321</v>
      </c>
    </row>
    <row r="238" spans="1:2" x14ac:dyDescent="0.25">
      <c r="A238" t="s">
        <v>335</v>
      </c>
      <c r="B238" t="s">
        <v>968</v>
      </c>
    </row>
    <row r="239" spans="1:2" x14ac:dyDescent="0.25">
      <c r="A239" t="s">
        <v>1003</v>
      </c>
      <c r="B239" t="s">
        <v>344</v>
      </c>
    </row>
    <row r="240" spans="1:2" x14ac:dyDescent="0.25">
      <c r="A240" t="s">
        <v>352</v>
      </c>
      <c r="B240" t="s">
        <v>350</v>
      </c>
    </row>
    <row r="241" spans="1:2" x14ac:dyDescent="0.25">
      <c r="A241" t="s">
        <v>363</v>
      </c>
      <c r="B241" t="s">
        <v>812</v>
      </c>
    </row>
    <row r="242" spans="1:2" x14ac:dyDescent="0.25">
      <c r="A242" t="s">
        <v>792</v>
      </c>
      <c r="B242" t="s">
        <v>341</v>
      </c>
    </row>
    <row r="243" spans="1:2" x14ac:dyDescent="0.25">
      <c r="A243" t="s">
        <v>793</v>
      </c>
      <c r="B243" t="s">
        <v>367</v>
      </c>
    </row>
    <row r="244" spans="1:2" x14ac:dyDescent="0.25">
      <c r="A244" t="s">
        <v>791</v>
      </c>
      <c r="B244" t="s">
        <v>381</v>
      </c>
    </row>
    <row r="245" spans="1:2" x14ac:dyDescent="0.25">
      <c r="A245" t="s">
        <v>794</v>
      </c>
      <c r="B245" t="s">
        <v>974</v>
      </c>
    </row>
    <row r="246" spans="1:2" x14ac:dyDescent="0.25">
      <c r="A246" t="s">
        <v>796</v>
      </c>
      <c r="B246" t="s">
        <v>350</v>
      </c>
    </row>
    <row r="247" spans="1:2" x14ac:dyDescent="0.25">
      <c r="A247" t="s">
        <v>782</v>
      </c>
      <c r="B247" t="s">
        <v>393</v>
      </c>
    </row>
    <row r="248" spans="1:2" x14ac:dyDescent="0.25">
      <c r="A248" t="s">
        <v>481</v>
      </c>
      <c r="B248" t="s">
        <v>482</v>
      </c>
    </row>
    <row r="249" spans="1:2" x14ac:dyDescent="0.25">
      <c r="A249" t="s">
        <v>306</v>
      </c>
      <c r="B249" t="s">
        <v>306</v>
      </c>
    </row>
    <row r="250" spans="1:2" x14ac:dyDescent="0.25">
      <c r="A250" t="s">
        <v>797</v>
      </c>
      <c r="B250" t="s">
        <v>412</v>
      </c>
    </row>
    <row r="251" spans="1:2" x14ac:dyDescent="0.25">
      <c r="A251" t="s">
        <v>798</v>
      </c>
      <c r="B251" t="s">
        <v>705</v>
      </c>
    </row>
    <row r="252" spans="1:2" x14ac:dyDescent="0.25">
      <c r="A252" t="s">
        <v>799</v>
      </c>
      <c r="B252" t="s">
        <v>495</v>
      </c>
    </row>
    <row r="253" spans="1:2" x14ac:dyDescent="0.25">
      <c r="A253" t="s">
        <v>387</v>
      </c>
      <c r="B253" t="s">
        <v>499</v>
      </c>
    </row>
    <row r="254" spans="1:2" x14ac:dyDescent="0.25">
      <c r="A254" t="s">
        <v>506</v>
      </c>
      <c r="B254" t="s">
        <v>503</v>
      </c>
    </row>
    <row r="255" spans="1:2" x14ac:dyDescent="0.25">
      <c r="A255" t="s">
        <v>800</v>
      </c>
      <c r="B255" t="s">
        <v>167</v>
      </c>
    </row>
    <row r="256" spans="1:2" x14ac:dyDescent="0.25">
      <c r="A256" t="s">
        <v>801</v>
      </c>
      <c r="B256" t="s">
        <v>556</v>
      </c>
    </row>
    <row r="257" spans="1:2" x14ac:dyDescent="0.25">
      <c r="A257" t="s">
        <v>802</v>
      </c>
      <c r="B257" t="s">
        <v>1014</v>
      </c>
    </row>
    <row r="258" spans="1:2" x14ac:dyDescent="0.25">
      <c r="A258" t="s">
        <v>561</v>
      </c>
      <c r="B258" t="s">
        <v>569</v>
      </c>
    </row>
    <row r="259" spans="1:2" x14ac:dyDescent="0.25">
      <c r="A259" t="s">
        <v>568</v>
      </c>
      <c r="B259" t="s">
        <v>708</v>
      </c>
    </row>
    <row r="260" spans="1:2" x14ac:dyDescent="0.25">
      <c r="A260" t="s">
        <v>804</v>
      </c>
      <c r="B260" t="s">
        <v>710</v>
      </c>
    </row>
    <row r="261" spans="1:2" x14ac:dyDescent="0.25">
      <c r="A261" t="s">
        <v>580</v>
      </c>
      <c r="B261" t="s">
        <v>576</v>
      </c>
    </row>
    <row r="262" spans="1:2" x14ac:dyDescent="0.25">
      <c r="A262" t="s">
        <v>805</v>
      </c>
      <c r="B262" t="s">
        <v>592</v>
      </c>
    </row>
    <row r="263" spans="1:2" x14ac:dyDescent="0.25">
      <c r="A263" t="s">
        <v>442</v>
      </c>
      <c r="B263" t="s">
        <v>423</v>
      </c>
    </row>
    <row r="264" spans="1:2" x14ac:dyDescent="0.25">
      <c r="A264" t="s">
        <v>834</v>
      </c>
      <c r="B264" t="s">
        <v>599</v>
      </c>
    </row>
    <row r="265" spans="1:2" x14ac:dyDescent="0.25">
      <c r="A265" t="s">
        <v>315</v>
      </c>
      <c r="B265" t="s">
        <v>601</v>
      </c>
    </row>
    <row r="266" spans="1:2" x14ac:dyDescent="0.25">
      <c r="A266" t="s">
        <v>64</v>
      </c>
      <c r="B266" t="s">
        <v>753</v>
      </c>
    </row>
    <row r="267" spans="1:2" x14ac:dyDescent="0.25">
      <c r="A267" t="s">
        <v>65</v>
      </c>
      <c r="B267" t="s">
        <v>722</v>
      </c>
    </row>
    <row r="268" spans="1:2" x14ac:dyDescent="0.25">
      <c r="A268" t="s">
        <v>66</v>
      </c>
      <c r="B268" t="s">
        <v>618</v>
      </c>
    </row>
    <row r="269" spans="1:2" x14ac:dyDescent="0.25">
      <c r="A269" t="s">
        <v>67</v>
      </c>
      <c r="B269" t="s">
        <v>1072</v>
      </c>
    </row>
    <row r="270" spans="1:2" x14ac:dyDescent="0.25">
      <c r="A270" t="s">
        <v>68</v>
      </c>
      <c r="B270" t="s">
        <v>563</v>
      </c>
    </row>
    <row r="271" spans="1:2" x14ac:dyDescent="0.25">
      <c r="A271" t="s">
        <v>71</v>
      </c>
      <c r="B271" t="s">
        <v>465</v>
      </c>
    </row>
    <row r="272" spans="1:2" x14ac:dyDescent="0.25">
      <c r="A272" t="s">
        <v>76</v>
      </c>
      <c r="B272" t="s">
        <v>546</v>
      </c>
    </row>
    <row r="273" spans="1:2" x14ac:dyDescent="0.25">
      <c r="A273" t="s">
        <v>88</v>
      </c>
      <c r="B273" t="s">
        <v>88</v>
      </c>
    </row>
    <row r="274" spans="1:2" x14ac:dyDescent="0.25">
      <c r="A274" t="s">
        <v>92</v>
      </c>
      <c r="B274" t="s">
        <v>403</v>
      </c>
    </row>
    <row r="275" spans="1:2" x14ac:dyDescent="0.25">
      <c r="A275" t="s">
        <v>102</v>
      </c>
      <c r="B275" t="s">
        <v>466</v>
      </c>
    </row>
    <row r="276" spans="1:2" x14ac:dyDescent="0.25">
      <c r="A276" t="s">
        <v>833</v>
      </c>
      <c r="B276" t="s">
        <v>455</v>
      </c>
    </row>
    <row r="277" spans="1:2" x14ac:dyDescent="0.25">
      <c r="A277" t="s">
        <v>115</v>
      </c>
      <c r="B277" t="s">
        <v>448</v>
      </c>
    </row>
    <row r="278" spans="1:2" x14ac:dyDescent="0.25">
      <c r="A278" t="s">
        <v>835</v>
      </c>
      <c r="B278" t="s">
        <v>421</v>
      </c>
    </row>
    <row r="279" spans="1:2" x14ac:dyDescent="0.25">
      <c r="A279" t="s">
        <v>125</v>
      </c>
      <c r="B279" t="s">
        <v>222</v>
      </c>
    </row>
    <row r="280" spans="1:2" x14ac:dyDescent="0.25">
      <c r="A280" t="s">
        <v>1090</v>
      </c>
      <c r="B280" t="s">
        <v>819</v>
      </c>
    </row>
    <row r="281" spans="1:2" x14ac:dyDescent="0.25">
      <c r="A281" t="s">
        <v>1091</v>
      </c>
      <c r="B281" t="s">
        <v>1103</v>
      </c>
    </row>
    <row r="282" spans="1:2" x14ac:dyDescent="0.25">
      <c r="A282" t="s">
        <v>1092</v>
      </c>
      <c r="B282" t="s">
        <v>1104</v>
      </c>
    </row>
    <row r="283" spans="1:2" x14ac:dyDescent="0.25">
      <c r="A283" t="s">
        <v>1093</v>
      </c>
      <c r="B283" t="s">
        <v>1105</v>
      </c>
    </row>
    <row r="284" spans="1:2" x14ac:dyDescent="0.25">
      <c r="A284" t="s">
        <v>401</v>
      </c>
      <c r="B284" t="s">
        <v>341</v>
      </c>
    </row>
    <row r="285" spans="1:2" x14ac:dyDescent="0.25">
      <c r="A285" t="s">
        <v>786</v>
      </c>
      <c r="B285" t="s">
        <v>1006</v>
      </c>
    </row>
    <row r="286" spans="1:2" x14ac:dyDescent="0.25">
      <c r="A286" t="s">
        <v>162</v>
      </c>
      <c r="B286" t="s">
        <v>142</v>
      </c>
    </row>
    <row r="287" spans="1:2" x14ac:dyDescent="0.25">
      <c r="A287" t="s">
        <v>752</v>
      </c>
      <c r="B287" t="s">
        <v>168</v>
      </c>
    </row>
    <row r="288" spans="1:2" x14ac:dyDescent="0.25">
      <c r="A288" t="s">
        <v>174</v>
      </c>
      <c r="B288" t="s">
        <v>182</v>
      </c>
    </row>
    <row r="289" spans="1:2" x14ac:dyDescent="0.25">
      <c r="A289" t="s">
        <v>194</v>
      </c>
      <c r="B289" t="s">
        <v>195</v>
      </c>
    </row>
    <row r="290" spans="1:2" x14ac:dyDescent="0.25">
      <c r="A290" t="s">
        <v>209</v>
      </c>
      <c r="B290" t="s">
        <v>212</v>
      </c>
    </row>
    <row r="291" spans="1:2" x14ac:dyDescent="0.25">
      <c r="A291" t="s">
        <v>9</v>
      </c>
      <c r="B291" t="s">
        <v>224</v>
      </c>
    </row>
    <row r="292" spans="1:2" x14ac:dyDescent="0.25">
      <c r="A292" t="s">
        <v>778</v>
      </c>
      <c r="B292" t="s">
        <v>136</v>
      </c>
    </row>
    <row r="293" spans="1:2" x14ac:dyDescent="0.25">
      <c r="A293" t="s">
        <v>11</v>
      </c>
      <c r="B293" t="s">
        <v>850</v>
      </c>
    </row>
    <row r="294" spans="1:2" x14ac:dyDescent="0.25">
      <c r="A294" t="s">
        <v>12</v>
      </c>
      <c r="B294" t="s">
        <v>892</v>
      </c>
    </row>
    <row r="295" spans="1:2" x14ac:dyDescent="0.25">
      <c r="A295" t="s">
        <v>779</v>
      </c>
      <c r="B295" t="s">
        <v>933</v>
      </c>
    </row>
    <row r="296" spans="1:2" x14ac:dyDescent="0.25">
      <c r="A296" t="s">
        <v>248</v>
      </c>
      <c r="B296" t="s">
        <v>937</v>
      </c>
    </row>
    <row r="297" spans="1:2" x14ac:dyDescent="0.25">
      <c r="A297" t="s">
        <v>268</v>
      </c>
      <c r="B297" t="s">
        <v>270</v>
      </c>
    </row>
    <row r="298" spans="1:2" x14ac:dyDescent="0.25">
      <c r="A298" t="s">
        <v>314</v>
      </c>
      <c r="B298" t="s">
        <v>944</v>
      </c>
    </row>
    <row r="299" spans="1:2" x14ac:dyDescent="0.25">
      <c r="A299" t="s">
        <v>787</v>
      </c>
      <c r="B299" t="s">
        <v>690</v>
      </c>
    </row>
    <row r="300" spans="1:2" x14ac:dyDescent="0.25">
      <c r="A300" t="s">
        <v>598</v>
      </c>
      <c r="B300" t="s">
        <v>287</v>
      </c>
    </row>
    <row r="301" spans="1:2" x14ac:dyDescent="0.25">
      <c r="A301" t="s">
        <v>795</v>
      </c>
      <c r="B301" t="s">
        <v>292</v>
      </c>
    </row>
    <row r="302" spans="1:2" x14ac:dyDescent="0.25">
      <c r="A302" t="s">
        <v>21</v>
      </c>
      <c r="B302" t="s">
        <v>292</v>
      </c>
    </row>
    <row r="303" spans="1:2" x14ac:dyDescent="0.25">
      <c r="A303" t="s">
        <v>22</v>
      </c>
      <c r="B303" t="s">
        <v>310</v>
      </c>
    </row>
    <row r="304" spans="1:2" x14ac:dyDescent="0.25">
      <c r="A304" t="s">
        <v>777</v>
      </c>
      <c r="B304" t="s">
        <v>184</v>
      </c>
    </row>
    <row r="305" spans="1:2" x14ac:dyDescent="0.25">
      <c r="A305" t="s">
        <v>788</v>
      </c>
      <c r="B305" t="s">
        <v>962</v>
      </c>
    </row>
    <row r="306" spans="1:2" x14ac:dyDescent="0.25">
      <c r="A306" t="s">
        <v>790</v>
      </c>
      <c r="B306" t="s">
        <v>1112</v>
      </c>
    </row>
    <row r="307" spans="1:2" x14ac:dyDescent="0.25">
      <c r="A307" t="s">
        <v>322</v>
      </c>
      <c r="B307" t="s">
        <v>967</v>
      </c>
    </row>
    <row r="308" spans="1:2" x14ac:dyDescent="0.25">
      <c r="A308" t="s">
        <v>335</v>
      </c>
      <c r="B308" t="s">
        <v>337</v>
      </c>
    </row>
    <row r="309" spans="1:2" x14ac:dyDescent="0.25">
      <c r="A309" t="s">
        <v>1003</v>
      </c>
      <c r="B309" t="s">
        <v>345</v>
      </c>
    </row>
    <row r="310" spans="1:2" x14ac:dyDescent="0.25">
      <c r="A310" t="s">
        <v>352</v>
      </c>
      <c r="B310" t="s">
        <v>351</v>
      </c>
    </row>
    <row r="311" spans="1:2" x14ac:dyDescent="0.25">
      <c r="A311" t="s">
        <v>363</v>
      </c>
      <c r="B311" t="s">
        <v>814</v>
      </c>
    </row>
    <row r="312" spans="1:2" x14ac:dyDescent="0.25">
      <c r="A312" t="s">
        <v>792</v>
      </c>
      <c r="B312" t="s">
        <v>357</v>
      </c>
    </row>
    <row r="313" spans="1:2" x14ac:dyDescent="0.25">
      <c r="A313" t="s">
        <v>793</v>
      </c>
      <c r="B313" t="s">
        <v>211</v>
      </c>
    </row>
    <row r="314" spans="1:2" x14ac:dyDescent="0.25">
      <c r="A314" t="s">
        <v>791</v>
      </c>
      <c r="B314" t="s">
        <v>383</v>
      </c>
    </row>
    <row r="315" spans="1:2" x14ac:dyDescent="0.25">
      <c r="A315" t="s">
        <v>794</v>
      </c>
      <c r="B315" t="s">
        <v>976</v>
      </c>
    </row>
    <row r="316" spans="1:2" x14ac:dyDescent="0.25">
      <c r="A316" t="s">
        <v>796</v>
      </c>
      <c r="B316" t="s">
        <v>981</v>
      </c>
    </row>
    <row r="317" spans="1:2" x14ac:dyDescent="0.25">
      <c r="A317" t="s">
        <v>782</v>
      </c>
      <c r="B317" t="s">
        <v>394</v>
      </c>
    </row>
    <row r="318" spans="1:2" x14ac:dyDescent="0.25">
      <c r="A318" t="s">
        <v>481</v>
      </c>
      <c r="B318" t="s">
        <v>483</v>
      </c>
    </row>
    <row r="319" spans="1:2" x14ac:dyDescent="0.25">
      <c r="A319" t="s">
        <v>306</v>
      </c>
      <c r="B319" t="s">
        <v>487</v>
      </c>
    </row>
    <row r="320" spans="1:2" x14ac:dyDescent="0.25">
      <c r="A320" t="s">
        <v>797</v>
      </c>
      <c r="B320" t="s">
        <v>406</v>
      </c>
    </row>
    <row r="321" spans="1:2" x14ac:dyDescent="0.25">
      <c r="A321" t="s">
        <v>798</v>
      </c>
      <c r="B321" t="s">
        <v>993</v>
      </c>
    </row>
    <row r="322" spans="1:2" x14ac:dyDescent="0.25">
      <c r="A322" t="s">
        <v>799</v>
      </c>
      <c r="B322" t="s">
        <v>818</v>
      </c>
    </row>
    <row r="323" spans="1:2" x14ac:dyDescent="0.25">
      <c r="A323" t="s">
        <v>387</v>
      </c>
      <c r="B323" t="s">
        <v>631</v>
      </c>
    </row>
    <row r="324" spans="1:2" x14ac:dyDescent="0.25">
      <c r="A324" t="s">
        <v>506</v>
      </c>
      <c r="B324" t="s">
        <v>504</v>
      </c>
    </row>
    <row r="325" spans="1:2" x14ac:dyDescent="0.25">
      <c r="A325" t="s">
        <v>800</v>
      </c>
      <c r="B325" t="s">
        <v>515</v>
      </c>
    </row>
    <row r="326" spans="1:2" x14ac:dyDescent="0.25">
      <c r="A326" t="s">
        <v>801</v>
      </c>
      <c r="B326" t="s">
        <v>557</v>
      </c>
    </row>
    <row r="327" spans="1:2" x14ac:dyDescent="0.25">
      <c r="A327" t="s">
        <v>802</v>
      </c>
      <c r="B327" t="s">
        <v>1015</v>
      </c>
    </row>
    <row r="328" spans="1:2" x14ac:dyDescent="0.25">
      <c r="A328" t="s">
        <v>561</v>
      </c>
      <c r="B328" t="s">
        <v>1027</v>
      </c>
    </row>
    <row r="329" spans="1:2" x14ac:dyDescent="0.25">
      <c r="A329" t="s">
        <v>568</v>
      </c>
      <c r="B329" t="s">
        <v>1025</v>
      </c>
    </row>
    <row r="330" spans="1:2" x14ac:dyDescent="0.25">
      <c r="A330" t="s">
        <v>804</v>
      </c>
      <c r="B330" t="s">
        <v>822</v>
      </c>
    </row>
    <row r="331" spans="1:2" x14ac:dyDescent="0.25">
      <c r="A331" t="s">
        <v>580</v>
      </c>
      <c r="B331" t="s">
        <v>577</v>
      </c>
    </row>
    <row r="332" spans="1:2" x14ac:dyDescent="0.25">
      <c r="A332" t="s">
        <v>805</v>
      </c>
      <c r="B332" t="s">
        <v>593</v>
      </c>
    </row>
    <row r="333" spans="1:2" x14ac:dyDescent="0.25">
      <c r="A333" t="s">
        <v>442</v>
      </c>
      <c r="B333" t="s">
        <v>595</v>
      </c>
    </row>
    <row r="334" spans="1:2" x14ac:dyDescent="0.25">
      <c r="A334" t="s">
        <v>834</v>
      </c>
      <c r="B334" t="s">
        <v>1053</v>
      </c>
    </row>
    <row r="335" spans="1:2" x14ac:dyDescent="0.25">
      <c r="A335" t="s">
        <v>315</v>
      </c>
      <c r="B335" t="s">
        <v>602</v>
      </c>
    </row>
    <row r="336" spans="1:2" x14ac:dyDescent="0.25">
      <c r="A336" t="s">
        <v>64</v>
      </c>
      <c r="B336" t="s">
        <v>754</v>
      </c>
    </row>
    <row r="337" spans="1:2" x14ac:dyDescent="0.25">
      <c r="A337" t="s">
        <v>65</v>
      </c>
      <c r="B337" t="s">
        <v>228</v>
      </c>
    </row>
    <row r="338" spans="1:2" x14ac:dyDescent="0.25">
      <c r="A338" t="s">
        <v>66</v>
      </c>
      <c r="B338" t="s">
        <v>243</v>
      </c>
    </row>
    <row r="339" spans="1:2" x14ac:dyDescent="0.25">
      <c r="A339" t="s">
        <v>67</v>
      </c>
      <c r="B339" t="s">
        <v>1060</v>
      </c>
    </row>
    <row r="340" spans="1:2" x14ac:dyDescent="0.25">
      <c r="A340" t="s">
        <v>68</v>
      </c>
      <c r="B340" t="s">
        <v>564</v>
      </c>
    </row>
    <row r="341" spans="1:2" x14ac:dyDescent="0.25">
      <c r="A341" t="s">
        <v>71</v>
      </c>
      <c r="B341" t="s">
        <v>468</v>
      </c>
    </row>
    <row r="342" spans="1:2" x14ac:dyDescent="0.25">
      <c r="A342" t="s">
        <v>76</v>
      </c>
      <c r="B342" t="s">
        <v>547</v>
      </c>
    </row>
    <row r="343" spans="1:2" x14ac:dyDescent="0.25">
      <c r="A343" t="s">
        <v>88</v>
      </c>
      <c r="B343" t="s">
        <v>1064</v>
      </c>
    </row>
    <row r="344" spans="1:2" x14ac:dyDescent="0.25">
      <c r="A344" t="s">
        <v>92</v>
      </c>
      <c r="B344" t="s">
        <v>391</v>
      </c>
    </row>
    <row r="345" spans="1:2" x14ac:dyDescent="0.25">
      <c r="A345" t="s">
        <v>102</v>
      </c>
      <c r="B345" t="s">
        <v>469</v>
      </c>
    </row>
    <row r="346" spans="1:2" x14ac:dyDescent="0.25">
      <c r="A346" t="s">
        <v>833</v>
      </c>
      <c r="B346" t="s">
        <v>456</v>
      </c>
    </row>
    <row r="347" spans="1:2" x14ac:dyDescent="0.25">
      <c r="A347" t="s">
        <v>115</v>
      </c>
      <c r="B347" t="s">
        <v>449</v>
      </c>
    </row>
    <row r="348" spans="1:2" x14ac:dyDescent="0.25">
      <c r="A348" t="s">
        <v>835</v>
      </c>
      <c r="B348" t="s">
        <v>424</v>
      </c>
    </row>
    <row r="349" spans="1:2" x14ac:dyDescent="0.25">
      <c r="A349" t="s">
        <v>125</v>
      </c>
      <c r="B349" t="s">
        <v>223</v>
      </c>
    </row>
    <row r="350" spans="1:2" x14ac:dyDescent="0.25">
      <c r="A350" t="s">
        <v>1090</v>
      </c>
      <c r="B350" t="s">
        <v>1106</v>
      </c>
    </row>
    <row r="351" spans="1:2" x14ac:dyDescent="0.25">
      <c r="A351" t="s">
        <v>1091</v>
      </c>
      <c r="B351" t="s">
        <v>1107</v>
      </c>
    </row>
    <row r="352" spans="1:2" x14ac:dyDescent="0.25">
      <c r="A352" t="s">
        <v>401</v>
      </c>
      <c r="B352" t="s">
        <v>780</v>
      </c>
    </row>
    <row r="353" spans="1:2" x14ac:dyDescent="0.25">
      <c r="A353" t="s">
        <v>786</v>
      </c>
      <c r="B353" t="s">
        <v>1041</v>
      </c>
    </row>
    <row r="354" spans="1:2" x14ac:dyDescent="0.25">
      <c r="A354" t="s">
        <v>162</v>
      </c>
      <c r="B354" t="s">
        <v>143</v>
      </c>
    </row>
    <row r="355" spans="1:2" x14ac:dyDescent="0.25">
      <c r="A355" t="s">
        <v>752</v>
      </c>
      <c r="B355" t="s">
        <v>169</v>
      </c>
    </row>
    <row r="356" spans="1:2" x14ac:dyDescent="0.25">
      <c r="A356" t="s">
        <v>174</v>
      </c>
      <c r="B356" t="s">
        <v>178</v>
      </c>
    </row>
    <row r="357" spans="1:2" x14ac:dyDescent="0.25">
      <c r="A357" t="s">
        <v>194</v>
      </c>
      <c r="B357" t="s">
        <v>196</v>
      </c>
    </row>
    <row r="358" spans="1:2" x14ac:dyDescent="0.25">
      <c r="A358" t="s">
        <v>209</v>
      </c>
      <c r="B358" t="s">
        <v>213</v>
      </c>
    </row>
    <row r="359" spans="1:2" x14ac:dyDescent="0.25">
      <c r="A359" t="s">
        <v>9</v>
      </c>
      <c r="B359" t="s">
        <v>225</v>
      </c>
    </row>
    <row r="360" spans="1:2" x14ac:dyDescent="0.25">
      <c r="A360" t="s">
        <v>778</v>
      </c>
      <c r="B360" t="s">
        <v>231</v>
      </c>
    </row>
    <row r="361" spans="1:2" x14ac:dyDescent="0.25">
      <c r="A361" t="s">
        <v>11</v>
      </c>
      <c r="B361" t="s">
        <v>851</v>
      </c>
    </row>
    <row r="362" spans="1:2" x14ac:dyDescent="0.25">
      <c r="A362" t="s">
        <v>12</v>
      </c>
      <c r="B362" t="s">
        <v>893</v>
      </c>
    </row>
    <row r="363" spans="1:2" x14ac:dyDescent="0.25">
      <c r="A363" t="s">
        <v>779</v>
      </c>
      <c r="B363" t="s">
        <v>756</v>
      </c>
    </row>
    <row r="364" spans="1:2" x14ac:dyDescent="0.25">
      <c r="A364" t="s">
        <v>248</v>
      </c>
      <c r="B364" t="s">
        <v>251</v>
      </c>
    </row>
    <row r="365" spans="1:2" x14ac:dyDescent="0.25">
      <c r="A365" t="s">
        <v>268</v>
      </c>
      <c r="B365" t="s">
        <v>271</v>
      </c>
    </row>
    <row r="366" spans="1:2" x14ac:dyDescent="0.25">
      <c r="A366" t="s">
        <v>314</v>
      </c>
      <c r="B366" t="s">
        <v>278</v>
      </c>
    </row>
    <row r="367" spans="1:2" x14ac:dyDescent="0.25">
      <c r="A367" t="s">
        <v>598</v>
      </c>
      <c r="B367" t="s">
        <v>691</v>
      </c>
    </row>
    <row r="368" spans="1:2" x14ac:dyDescent="0.25">
      <c r="A368" t="s">
        <v>795</v>
      </c>
      <c r="B368" t="s">
        <v>950</v>
      </c>
    </row>
    <row r="369" spans="1:2" x14ac:dyDescent="0.25">
      <c r="A369" t="s">
        <v>21</v>
      </c>
      <c r="B369" t="s">
        <v>950</v>
      </c>
    </row>
    <row r="370" spans="1:2" x14ac:dyDescent="0.25">
      <c r="A370" t="s">
        <v>22</v>
      </c>
      <c r="B370" t="s">
        <v>954</v>
      </c>
    </row>
    <row r="371" spans="1:2" x14ac:dyDescent="0.25">
      <c r="A371" t="s">
        <v>777</v>
      </c>
      <c r="B371" t="s">
        <v>190</v>
      </c>
    </row>
    <row r="372" spans="1:2" x14ac:dyDescent="0.25">
      <c r="A372" t="s">
        <v>788</v>
      </c>
      <c r="B372" t="s">
        <v>964</v>
      </c>
    </row>
    <row r="373" spans="1:2" x14ac:dyDescent="0.25">
      <c r="A373" t="s">
        <v>790</v>
      </c>
      <c r="B373" t="s">
        <v>1113</v>
      </c>
    </row>
    <row r="374" spans="1:2" x14ac:dyDescent="0.25">
      <c r="A374" t="s">
        <v>322</v>
      </c>
      <c r="B374" t="s">
        <v>265</v>
      </c>
    </row>
    <row r="375" spans="1:2" x14ac:dyDescent="0.25">
      <c r="A375" t="s">
        <v>335</v>
      </c>
      <c r="B375" t="s">
        <v>338</v>
      </c>
    </row>
    <row r="376" spans="1:2" x14ac:dyDescent="0.25">
      <c r="A376" t="s">
        <v>1003</v>
      </c>
      <c r="B376" t="s">
        <v>971</v>
      </c>
    </row>
    <row r="377" spans="1:2" x14ac:dyDescent="0.25">
      <c r="A377" t="s">
        <v>352</v>
      </c>
      <c r="B377" t="s">
        <v>352</v>
      </c>
    </row>
    <row r="378" spans="1:2" x14ac:dyDescent="0.25">
      <c r="A378" t="s">
        <v>792</v>
      </c>
      <c r="B378" t="s">
        <v>358</v>
      </c>
    </row>
    <row r="379" spans="1:2" x14ac:dyDescent="0.25">
      <c r="A379" t="s">
        <v>793</v>
      </c>
      <c r="B379" t="s">
        <v>368</v>
      </c>
    </row>
    <row r="380" spans="1:2" x14ac:dyDescent="0.25">
      <c r="A380" t="s">
        <v>791</v>
      </c>
      <c r="B380" t="s">
        <v>386</v>
      </c>
    </row>
    <row r="381" spans="1:2" x14ac:dyDescent="0.25">
      <c r="A381" t="s">
        <v>794</v>
      </c>
      <c r="B381" t="s">
        <v>975</v>
      </c>
    </row>
    <row r="382" spans="1:2" x14ac:dyDescent="0.25">
      <c r="A382" t="s">
        <v>796</v>
      </c>
      <c r="B382" t="s">
        <v>979</v>
      </c>
    </row>
    <row r="383" spans="1:2" x14ac:dyDescent="0.25">
      <c r="A383" t="s">
        <v>782</v>
      </c>
      <c r="B383" t="s">
        <v>395</v>
      </c>
    </row>
    <row r="384" spans="1:2" x14ac:dyDescent="0.25">
      <c r="A384" t="s">
        <v>481</v>
      </c>
      <c r="B384" t="s">
        <v>484</v>
      </c>
    </row>
    <row r="385" spans="1:2" x14ac:dyDescent="0.25">
      <c r="A385" t="s">
        <v>306</v>
      </c>
      <c r="B385" t="s">
        <v>488</v>
      </c>
    </row>
    <row r="386" spans="1:2" x14ac:dyDescent="0.25">
      <c r="A386" t="s">
        <v>797</v>
      </c>
      <c r="B386" t="s">
        <v>413</v>
      </c>
    </row>
    <row r="387" spans="1:2" x14ac:dyDescent="0.25">
      <c r="A387" t="s">
        <v>798</v>
      </c>
      <c r="B387" t="s">
        <v>798</v>
      </c>
    </row>
    <row r="388" spans="1:2" x14ac:dyDescent="0.25">
      <c r="A388" t="s">
        <v>799</v>
      </c>
      <c r="B388" t="s">
        <v>496</v>
      </c>
    </row>
    <row r="389" spans="1:2" x14ac:dyDescent="0.25">
      <c r="A389" t="s">
        <v>387</v>
      </c>
      <c r="B389" t="s">
        <v>636</v>
      </c>
    </row>
    <row r="390" spans="1:2" x14ac:dyDescent="0.25">
      <c r="A390" t="s">
        <v>506</v>
      </c>
      <c r="B390" t="s">
        <v>505</v>
      </c>
    </row>
    <row r="391" spans="1:2" x14ac:dyDescent="0.25">
      <c r="A391" t="s">
        <v>800</v>
      </c>
      <c r="B391" t="s">
        <v>516</v>
      </c>
    </row>
    <row r="392" spans="1:2" x14ac:dyDescent="0.25">
      <c r="A392" t="s">
        <v>801</v>
      </c>
      <c r="B392" t="s">
        <v>558</v>
      </c>
    </row>
    <row r="393" spans="1:2" x14ac:dyDescent="0.25">
      <c r="A393" t="s">
        <v>802</v>
      </c>
      <c r="B393" t="s">
        <v>1012</v>
      </c>
    </row>
    <row r="394" spans="1:2" x14ac:dyDescent="0.25">
      <c r="A394" t="s">
        <v>568</v>
      </c>
      <c r="B394" t="s">
        <v>1026</v>
      </c>
    </row>
    <row r="395" spans="1:2" x14ac:dyDescent="0.25">
      <c r="A395" t="s">
        <v>804</v>
      </c>
      <c r="B395" t="s">
        <v>1029</v>
      </c>
    </row>
    <row r="396" spans="1:2" x14ac:dyDescent="0.25">
      <c r="A396" t="s">
        <v>580</v>
      </c>
      <c r="B396" t="s">
        <v>578</v>
      </c>
    </row>
    <row r="397" spans="1:2" x14ac:dyDescent="0.25">
      <c r="A397" t="s">
        <v>805</v>
      </c>
      <c r="B397" t="s">
        <v>211</v>
      </c>
    </row>
    <row r="398" spans="1:2" x14ac:dyDescent="0.25">
      <c r="A398" t="s">
        <v>442</v>
      </c>
      <c r="B398" t="s">
        <v>474</v>
      </c>
    </row>
    <row r="399" spans="1:2" x14ac:dyDescent="0.25">
      <c r="A399" t="s">
        <v>834</v>
      </c>
      <c r="B399" t="s">
        <v>1054</v>
      </c>
    </row>
    <row r="400" spans="1:2" x14ac:dyDescent="0.25">
      <c r="A400" t="s">
        <v>315</v>
      </c>
      <c r="B400" t="s">
        <v>603</v>
      </c>
    </row>
    <row r="401" spans="1:2" x14ac:dyDescent="0.25">
      <c r="A401" t="s">
        <v>64</v>
      </c>
      <c r="B401" t="s">
        <v>544</v>
      </c>
    </row>
    <row r="402" spans="1:2" x14ac:dyDescent="0.25">
      <c r="A402" t="s">
        <v>65</v>
      </c>
      <c r="B402" t="s">
        <v>614</v>
      </c>
    </row>
    <row r="403" spans="1:2" x14ac:dyDescent="0.25">
      <c r="A403" t="s">
        <v>66</v>
      </c>
      <c r="B403" t="s">
        <v>723</v>
      </c>
    </row>
    <row r="404" spans="1:2" x14ac:dyDescent="0.25">
      <c r="A404" t="s">
        <v>68</v>
      </c>
      <c r="B404" t="s">
        <v>565</v>
      </c>
    </row>
    <row r="405" spans="1:2" x14ac:dyDescent="0.25">
      <c r="A405" t="s">
        <v>71</v>
      </c>
      <c r="B405" t="s">
        <v>726</v>
      </c>
    </row>
    <row r="406" spans="1:2" x14ac:dyDescent="0.25">
      <c r="A406" t="s">
        <v>76</v>
      </c>
      <c r="B406" t="s">
        <v>548</v>
      </c>
    </row>
    <row r="407" spans="1:2" x14ac:dyDescent="0.25">
      <c r="A407" t="s">
        <v>88</v>
      </c>
      <c r="B407" t="s">
        <v>343</v>
      </c>
    </row>
    <row r="408" spans="1:2" x14ac:dyDescent="0.25">
      <c r="A408" t="s">
        <v>92</v>
      </c>
      <c r="B408" t="s">
        <v>389</v>
      </c>
    </row>
    <row r="409" spans="1:2" x14ac:dyDescent="0.25">
      <c r="A409" t="s">
        <v>102</v>
      </c>
      <c r="B409" t="s">
        <v>471</v>
      </c>
    </row>
    <row r="410" spans="1:2" x14ac:dyDescent="0.25">
      <c r="A410" t="s">
        <v>833</v>
      </c>
      <c r="B410" t="s">
        <v>1067</v>
      </c>
    </row>
    <row r="411" spans="1:2" x14ac:dyDescent="0.25">
      <c r="A411" t="s">
        <v>115</v>
      </c>
      <c r="B411" t="s">
        <v>1073</v>
      </c>
    </row>
    <row r="412" spans="1:2" x14ac:dyDescent="0.25">
      <c r="A412" t="s">
        <v>835</v>
      </c>
      <c r="B412" t="s">
        <v>761</v>
      </c>
    </row>
    <row r="413" spans="1:2" x14ac:dyDescent="0.25">
      <c r="A413" t="s">
        <v>125</v>
      </c>
      <c r="B413" t="s">
        <v>433</v>
      </c>
    </row>
    <row r="414" spans="1:2" x14ac:dyDescent="0.25">
      <c r="A414" t="s">
        <v>1090</v>
      </c>
      <c r="B414" t="s">
        <v>1108</v>
      </c>
    </row>
    <row r="415" spans="1:2" x14ac:dyDescent="0.25">
      <c r="A415" t="s">
        <v>401</v>
      </c>
      <c r="B415" t="s">
        <v>648</v>
      </c>
    </row>
    <row r="416" spans="1:2" x14ac:dyDescent="0.25">
      <c r="A416" t="s">
        <v>786</v>
      </c>
      <c r="B416" t="s">
        <v>1007</v>
      </c>
    </row>
    <row r="417" spans="1:2" x14ac:dyDescent="0.25">
      <c r="A417" t="s">
        <v>162</v>
      </c>
      <c r="B417" t="s">
        <v>144</v>
      </c>
    </row>
    <row r="418" spans="1:2" x14ac:dyDescent="0.25">
      <c r="A418" t="s">
        <v>752</v>
      </c>
      <c r="B418" t="s">
        <v>170</v>
      </c>
    </row>
    <row r="419" spans="1:2" x14ac:dyDescent="0.25">
      <c r="A419" t="s">
        <v>174</v>
      </c>
      <c r="B419" t="s">
        <v>776</v>
      </c>
    </row>
    <row r="420" spans="1:2" x14ac:dyDescent="0.25">
      <c r="A420" t="s">
        <v>194</v>
      </c>
      <c r="B420" t="s">
        <v>197</v>
      </c>
    </row>
    <row r="421" spans="1:2" x14ac:dyDescent="0.25">
      <c r="A421" t="s">
        <v>209</v>
      </c>
      <c r="B421" t="s">
        <v>214</v>
      </c>
    </row>
    <row r="422" spans="1:2" x14ac:dyDescent="0.25">
      <c r="A422" t="s">
        <v>9</v>
      </c>
      <c r="B422" t="s">
        <v>226</v>
      </c>
    </row>
    <row r="423" spans="1:2" x14ac:dyDescent="0.25">
      <c r="A423" t="s">
        <v>778</v>
      </c>
      <c r="B423" t="s">
        <v>232</v>
      </c>
    </row>
    <row r="424" spans="1:2" x14ac:dyDescent="0.25">
      <c r="A424" t="s">
        <v>11</v>
      </c>
      <c r="B424" t="s">
        <v>852</v>
      </c>
    </row>
    <row r="425" spans="1:2" x14ac:dyDescent="0.25">
      <c r="A425" t="s">
        <v>12</v>
      </c>
      <c r="B425" t="s">
        <v>894</v>
      </c>
    </row>
    <row r="426" spans="1:2" x14ac:dyDescent="0.25">
      <c r="A426" t="s">
        <v>779</v>
      </c>
      <c r="B426" t="s">
        <v>680</v>
      </c>
    </row>
    <row r="427" spans="1:2" x14ac:dyDescent="0.25">
      <c r="A427" t="s">
        <v>248</v>
      </c>
      <c r="B427" t="s">
        <v>252</v>
      </c>
    </row>
    <row r="428" spans="1:2" x14ac:dyDescent="0.25">
      <c r="A428" t="s">
        <v>268</v>
      </c>
      <c r="B428" t="s">
        <v>272</v>
      </c>
    </row>
    <row r="429" spans="1:2" x14ac:dyDescent="0.25">
      <c r="A429" t="s">
        <v>314</v>
      </c>
      <c r="B429" t="s">
        <v>279</v>
      </c>
    </row>
    <row r="430" spans="1:2" x14ac:dyDescent="0.25">
      <c r="A430" t="s">
        <v>598</v>
      </c>
      <c r="B430" t="s">
        <v>692</v>
      </c>
    </row>
    <row r="431" spans="1:2" x14ac:dyDescent="0.25">
      <c r="A431" t="s">
        <v>795</v>
      </c>
      <c r="B431" t="s">
        <v>293</v>
      </c>
    </row>
    <row r="432" spans="1:2" x14ac:dyDescent="0.25">
      <c r="A432" t="s">
        <v>21</v>
      </c>
      <c r="B432" t="s">
        <v>293</v>
      </c>
    </row>
    <row r="433" spans="1:2" x14ac:dyDescent="0.25">
      <c r="A433" t="s">
        <v>22</v>
      </c>
      <c r="B433" t="s">
        <v>955</v>
      </c>
    </row>
    <row r="434" spans="1:2" x14ac:dyDescent="0.25">
      <c r="A434" t="s">
        <v>777</v>
      </c>
      <c r="B434" t="s">
        <v>776</v>
      </c>
    </row>
    <row r="435" spans="1:2" x14ac:dyDescent="0.25">
      <c r="A435" t="s">
        <v>788</v>
      </c>
      <c r="B435" t="s">
        <v>965</v>
      </c>
    </row>
    <row r="436" spans="1:2" x14ac:dyDescent="0.25">
      <c r="A436" t="s">
        <v>790</v>
      </c>
      <c r="B436" t="s">
        <v>318</v>
      </c>
    </row>
    <row r="437" spans="1:2" x14ac:dyDescent="0.25">
      <c r="A437" t="s">
        <v>322</v>
      </c>
      <c r="B437" t="s">
        <v>322</v>
      </c>
    </row>
    <row r="438" spans="1:2" x14ac:dyDescent="0.25">
      <c r="A438" t="s">
        <v>335</v>
      </c>
      <c r="B438" t="s">
        <v>339</v>
      </c>
    </row>
    <row r="439" spans="1:2" x14ac:dyDescent="0.25">
      <c r="A439" t="s">
        <v>1003</v>
      </c>
      <c r="B439" t="s">
        <v>1042</v>
      </c>
    </row>
    <row r="440" spans="1:2" x14ac:dyDescent="0.25">
      <c r="A440" t="s">
        <v>352</v>
      </c>
      <c r="B440" t="s">
        <v>353</v>
      </c>
    </row>
    <row r="441" spans="1:2" x14ac:dyDescent="0.25">
      <c r="A441" t="s">
        <v>792</v>
      </c>
      <c r="B441" t="s">
        <v>652</v>
      </c>
    </row>
    <row r="442" spans="1:2" x14ac:dyDescent="0.25">
      <c r="A442" t="s">
        <v>793</v>
      </c>
      <c r="B442" t="s">
        <v>212</v>
      </c>
    </row>
    <row r="443" spans="1:2" x14ac:dyDescent="0.25">
      <c r="A443" t="s">
        <v>791</v>
      </c>
      <c r="B443" t="s">
        <v>384</v>
      </c>
    </row>
    <row r="444" spans="1:2" x14ac:dyDescent="0.25">
      <c r="A444" t="s">
        <v>794</v>
      </c>
      <c r="B444" t="s">
        <v>977</v>
      </c>
    </row>
    <row r="445" spans="1:2" x14ac:dyDescent="0.25">
      <c r="A445" t="s">
        <v>796</v>
      </c>
      <c r="B445" t="s">
        <v>1043</v>
      </c>
    </row>
    <row r="446" spans="1:2" x14ac:dyDescent="0.25">
      <c r="A446" t="s">
        <v>782</v>
      </c>
      <c r="B446" t="s">
        <v>396</v>
      </c>
    </row>
    <row r="447" spans="1:2" x14ac:dyDescent="0.25">
      <c r="A447" t="s">
        <v>481</v>
      </c>
      <c r="B447" t="s">
        <v>986</v>
      </c>
    </row>
    <row r="448" spans="1:2" x14ac:dyDescent="0.25">
      <c r="A448" t="s">
        <v>306</v>
      </c>
      <c r="B448" t="s">
        <v>489</v>
      </c>
    </row>
    <row r="449" spans="1:2" x14ac:dyDescent="0.25">
      <c r="A449" t="s">
        <v>797</v>
      </c>
      <c r="B449" t="s">
        <v>415</v>
      </c>
    </row>
    <row r="450" spans="1:2" x14ac:dyDescent="0.25">
      <c r="A450" t="s">
        <v>799</v>
      </c>
      <c r="B450" t="s">
        <v>1018</v>
      </c>
    </row>
    <row r="451" spans="1:2" x14ac:dyDescent="0.25">
      <c r="A451" t="s">
        <v>387</v>
      </c>
      <c r="B451" t="s">
        <v>706</v>
      </c>
    </row>
    <row r="452" spans="1:2" x14ac:dyDescent="0.25">
      <c r="A452" t="s">
        <v>506</v>
      </c>
      <c r="B452" t="s">
        <v>1000</v>
      </c>
    </row>
    <row r="453" spans="1:2" x14ac:dyDescent="0.25">
      <c r="A453" t="s">
        <v>800</v>
      </c>
      <c r="B453" t="s">
        <v>517</v>
      </c>
    </row>
    <row r="454" spans="1:2" x14ac:dyDescent="0.25">
      <c r="A454" t="s">
        <v>801</v>
      </c>
      <c r="B454" t="s">
        <v>1012</v>
      </c>
    </row>
    <row r="455" spans="1:2" x14ac:dyDescent="0.25">
      <c r="A455" t="s">
        <v>802</v>
      </c>
      <c r="B455" t="s">
        <v>1016</v>
      </c>
    </row>
    <row r="456" spans="1:2" x14ac:dyDescent="0.25">
      <c r="A456" t="s">
        <v>568</v>
      </c>
      <c r="B456" t="s">
        <v>1028</v>
      </c>
    </row>
    <row r="457" spans="1:2" x14ac:dyDescent="0.25">
      <c r="A457" t="s">
        <v>580</v>
      </c>
      <c r="B457" t="s">
        <v>579</v>
      </c>
    </row>
    <row r="458" spans="1:2" x14ac:dyDescent="0.25">
      <c r="A458" t="s">
        <v>805</v>
      </c>
      <c r="B458" t="s">
        <v>1045</v>
      </c>
    </row>
    <row r="459" spans="1:2" x14ac:dyDescent="0.25">
      <c r="A459" t="s">
        <v>442</v>
      </c>
      <c r="B459" t="s">
        <v>77</v>
      </c>
    </row>
    <row r="460" spans="1:2" x14ac:dyDescent="0.25">
      <c r="A460" t="s">
        <v>834</v>
      </c>
      <c r="B460" t="s">
        <v>600</v>
      </c>
    </row>
    <row r="461" spans="1:2" x14ac:dyDescent="0.25">
      <c r="A461" t="s">
        <v>315</v>
      </c>
      <c r="B461" t="s">
        <v>604</v>
      </c>
    </row>
    <row r="462" spans="1:2" x14ac:dyDescent="0.25">
      <c r="A462" t="s">
        <v>64</v>
      </c>
      <c r="B462" t="s">
        <v>463</v>
      </c>
    </row>
    <row r="463" spans="1:2" x14ac:dyDescent="0.25">
      <c r="A463" t="s">
        <v>66</v>
      </c>
      <c r="B463" t="s">
        <v>1059</v>
      </c>
    </row>
    <row r="464" spans="1:2" x14ac:dyDescent="0.25">
      <c r="A464" t="s">
        <v>68</v>
      </c>
      <c r="B464" t="s">
        <v>635</v>
      </c>
    </row>
    <row r="465" spans="1:2" x14ac:dyDescent="0.25">
      <c r="A465" t="s">
        <v>71</v>
      </c>
      <c r="B465" t="s">
        <v>727</v>
      </c>
    </row>
    <row r="466" spans="1:2" x14ac:dyDescent="0.25">
      <c r="A466" t="s">
        <v>76</v>
      </c>
      <c r="B466" t="s">
        <v>549</v>
      </c>
    </row>
    <row r="467" spans="1:2" x14ac:dyDescent="0.25">
      <c r="A467" t="s">
        <v>88</v>
      </c>
      <c r="B467" t="s">
        <v>1042</v>
      </c>
    </row>
    <row r="468" spans="1:2" x14ac:dyDescent="0.25">
      <c r="A468" t="s">
        <v>92</v>
      </c>
      <c r="B468" t="s">
        <v>360</v>
      </c>
    </row>
    <row r="469" spans="1:2" x14ac:dyDescent="0.25">
      <c r="A469" t="s">
        <v>102</v>
      </c>
      <c r="B469" t="s">
        <v>734</v>
      </c>
    </row>
    <row r="470" spans="1:2" x14ac:dyDescent="0.25">
      <c r="A470" t="s">
        <v>833</v>
      </c>
      <c r="B470" t="s">
        <v>1068</v>
      </c>
    </row>
    <row r="471" spans="1:2" x14ac:dyDescent="0.25">
      <c r="A471" t="s">
        <v>835</v>
      </c>
      <c r="B471" t="s">
        <v>428</v>
      </c>
    </row>
    <row r="472" spans="1:2" x14ac:dyDescent="0.25">
      <c r="A472" t="s">
        <v>125</v>
      </c>
      <c r="B472" t="s">
        <v>434</v>
      </c>
    </row>
    <row r="473" spans="1:2" x14ac:dyDescent="0.25">
      <c r="A473" t="s">
        <v>1090</v>
      </c>
      <c r="B473" t="s">
        <v>843</v>
      </c>
    </row>
    <row r="474" spans="1:2" x14ac:dyDescent="0.25">
      <c r="A474" t="s">
        <v>401</v>
      </c>
      <c r="B474" t="s">
        <v>781</v>
      </c>
    </row>
    <row r="475" spans="1:2" x14ac:dyDescent="0.25">
      <c r="A475" t="s">
        <v>786</v>
      </c>
      <c r="B475" t="s">
        <v>1008</v>
      </c>
    </row>
    <row r="476" spans="1:2" x14ac:dyDescent="0.25">
      <c r="A476" t="s">
        <v>162</v>
      </c>
      <c r="B476" t="s">
        <v>145</v>
      </c>
    </row>
    <row r="477" spans="1:2" x14ac:dyDescent="0.25">
      <c r="A477" t="s">
        <v>752</v>
      </c>
      <c r="B477" t="s">
        <v>171</v>
      </c>
    </row>
    <row r="478" spans="1:2" x14ac:dyDescent="0.25">
      <c r="A478" t="s">
        <v>174</v>
      </c>
      <c r="B478" t="s">
        <v>179</v>
      </c>
    </row>
    <row r="479" spans="1:2" x14ac:dyDescent="0.25">
      <c r="A479" t="s">
        <v>194</v>
      </c>
      <c r="B479" t="s">
        <v>198</v>
      </c>
    </row>
    <row r="480" spans="1:2" x14ac:dyDescent="0.25">
      <c r="A480" t="s">
        <v>209</v>
      </c>
      <c r="B480" t="s">
        <v>842</v>
      </c>
    </row>
    <row r="481" spans="1:2" x14ac:dyDescent="0.25">
      <c r="A481" t="s">
        <v>9</v>
      </c>
      <c r="B481" t="s">
        <v>642</v>
      </c>
    </row>
    <row r="482" spans="1:2" x14ac:dyDescent="0.25">
      <c r="A482" t="s">
        <v>778</v>
      </c>
      <c r="B482" t="s">
        <v>233</v>
      </c>
    </row>
    <row r="483" spans="1:2" x14ac:dyDescent="0.25">
      <c r="A483" t="s">
        <v>11</v>
      </c>
      <c r="B483" t="s">
        <v>853</v>
      </c>
    </row>
    <row r="484" spans="1:2" x14ac:dyDescent="0.25">
      <c r="A484" t="s">
        <v>12</v>
      </c>
      <c r="B484" t="s">
        <v>895</v>
      </c>
    </row>
    <row r="485" spans="1:2" x14ac:dyDescent="0.25">
      <c r="A485" t="s">
        <v>779</v>
      </c>
      <c r="B485" t="s">
        <v>779</v>
      </c>
    </row>
    <row r="486" spans="1:2" x14ac:dyDescent="0.25">
      <c r="A486" t="s">
        <v>248</v>
      </c>
      <c r="B486" t="s">
        <v>763</v>
      </c>
    </row>
    <row r="487" spans="1:2" x14ac:dyDescent="0.25">
      <c r="A487" t="s">
        <v>268</v>
      </c>
      <c r="B487" t="s">
        <v>273</v>
      </c>
    </row>
    <row r="488" spans="1:2" x14ac:dyDescent="0.25">
      <c r="A488" t="s">
        <v>314</v>
      </c>
      <c r="B488" t="s">
        <v>382</v>
      </c>
    </row>
    <row r="489" spans="1:2" x14ac:dyDescent="0.25">
      <c r="A489" t="s">
        <v>598</v>
      </c>
      <c r="B489" t="s">
        <v>693</v>
      </c>
    </row>
    <row r="490" spans="1:2" x14ac:dyDescent="0.25">
      <c r="A490" t="s">
        <v>795</v>
      </c>
      <c r="B490" t="s">
        <v>294</v>
      </c>
    </row>
    <row r="491" spans="1:2" x14ac:dyDescent="0.25">
      <c r="A491" t="s">
        <v>21</v>
      </c>
      <c r="B491" t="s">
        <v>294</v>
      </c>
    </row>
    <row r="492" spans="1:2" x14ac:dyDescent="0.25">
      <c r="A492" t="s">
        <v>22</v>
      </c>
      <c r="B492" t="s">
        <v>956</v>
      </c>
    </row>
    <row r="493" spans="1:2" x14ac:dyDescent="0.25">
      <c r="A493" t="s">
        <v>777</v>
      </c>
      <c r="B493" t="s">
        <v>179</v>
      </c>
    </row>
    <row r="494" spans="1:2" x14ac:dyDescent="0.25">
      <c r="A494" t="s">
        <v>322</v>
      </c>
      <c r="B494" t="s">
        <v>323</v>
      </c>
    </row>
    <row r="495" spans="1:2" x14ac:dyDescent="0.25">
      <c r="A495" t="s">
        <v>335</v>
      </c>
      <c r="B495" t="s">
        <v>340</v>
      </c>
    </row>
    <row r="496" spans="1:2" x14ac:dyDescent="0.25">
      <c r="A496" t="s">
        <v>1003</v>
      </c>
      <c r="B496" t="s">
        <v>346</v>
      </c>
    </row>
    <row r="497" spans="1:2" x14ac:dyDescent="0.25">
      <c r="A497" t="s">
        <v>352</v>
      </c>
      <c r="B497" t="s">
        <v>341</v>
      </c>
    </row>
    <row r="498" spans="1:2" x14ac:dyDescent="0.25">
      <c r="A498" t="s">
        <v>793</v>
      </c>
      <c r="B498" t="s">
        <v>213</v>
      </c>
    </row>
    <row r="499" spans="1:2" x14ac:dyDescent="0.25">
      <c r="A499" t="s">
        <v>791</v>
      </c>
      <c r="B499" t="s">
        <v>385</v>
      </c>
    </row>
    <row r="500" spans="1:2" x14ac:dyDescent="0.25">
      <c r="A500" t="s">
        <v>794</v>
      </c>
      <c r="B500" t="s">
        <v>978</v>
      </c>
    </row>
    <row r="501" spans="1:2" x14ac:dyDescent="0.25">
      <c r="A501" t="s">
        <v>796</v>
      </c>
      <c r="B501" t="s">
        <v>980</v>
      </c>
    </row>
    <row r="502" spans="1:2" x14ac:dyDescent="0.25">
      <c r="A502" t="s">
        <v>782</v>
      </c>
      <c r="B502" t="s">
        <v>351</v>
      </c>
    </row>
    <row r="503" spans="1:2" x14ac:dyDescent="0.25">
      <c r="A503" t="s">
        <v>481</v>
      </c>
      <c r="B503" t="s">
        <v>644</v>
      </c>
    </row>
    <row r="504" spans="1:2" x14ac:dyDescent="0.25">
      <c r="A504" t="s">
        <v>306</v>
      </c>
      <c r="B504" t="s">
        <v>490</v>
      </c>
    </row>
    <row r="505" spans="1:2" x14ac:dyDescent="0.25">
      <c r="A505" t="s">
        <v>797</v>
      </c>
      <c r="B505" t="s">
        <v>407</v>
      </c>
    </row>
    <row r="506" spans="1:2" x14ac:dyDescent="0.25">
      <c r="A506" t="s">
        <v>799</v>
      </c>
      <c r="B506" t="s">
        <v>497</v>
      </c>
    </row>
    <row r="507" spans="1:2" x14ac:dyDescent="0.25">
      <c r="A507" t="s">
        <v>506</v>
      </c>
      <c r="B507" t="s">
        <v>506</v>
      </c>
    </row>
    <row r="508" spans="1:2" x14ac:dyDescent="0.25">
      <c r="A508" t="s">
        <v>800</v>
      </c>
      <c r="B508" t="s">
        <v>518</v>
      </c>
    </row>
    <row r="509" spans="1:2" x14ac:dyDescent="0.25">
      <c r="A509" t="s">
        <v>580</v>
      </c>
      <c r="B509" t="s">
        <v>580</v>
      </c>
    </row>
    <row r="510" spans="1:2" x14ac:dyDescent="0.25">
      <c r="A510" t="s">
        <v>805</v>
      </c>
      <c r="B510" t="s">
        <v>1046</v>
      </c>
    </row>
    <row r="511" spans="1:2" x14ac:dyDescent="0.25">
      <c r="A511" t="s">
        <v>442</v>
      </c>
      <c r="B511" t="s">
        <v>597</v>
      </c>
    </row>
    <row r="512" spans="1:2" x14ac:dyDescent="0.25">
      <c r="A512" t="s">
        <v>834</v>
      </c>
      <c r="B512" t="s">
        <v>640</v>
      </c>
    </row>
    <row r="513" spans="1:2" x14ac:dyDescent="0.25">
      <c r="A513" t="s">
        <v>315</v>
      </c>
      <c r="B513" t="s">
        <v>605</v>
      </c>
    </row>
    <row r="514" spans="1:2" x14ac:dyDescent="0.25">
      <c r="A514" t="s">
        <v>64</v>
      </c>
      <c r="B514" t="s">
        <v>467</v>
      </c>
    </row>
    <row r="515" spans="1:2" x14ac:dyDescent="0.25">
      <c r="A515" t="s">
        <v>68</v>
      </c>
      <c r="B515" t="s">
        <v>634</v>
      </c>
    </row>
    <row r="516" spans="1:2" x14ac:dyDescent="0.25">
      <c r="A516" t="s">
        <v>76</v>
      </c>
      <c r="B516" t="s">
        <v>550</v>
      </c>
    </row>
    <row r="517" spans="1:2" x14ac:dyDescent="0.25">
      <c r="A517" t="s">
        <v>88</v>
      </c>
      <c r="B517" t="s">
        <v>1065</v>
      </c>
    </row>
    <row r="518" spans="1:2" x14ac:dyDescent="0.25">
      <c r="A518" t="s">
        <v>92</v>
      </c>
      <c r="B518" t="s">
        <v>632</v>
      </c>
    </row>
    <row r="519" spans="1:2" x14ac:dyDescent="0.25">
      <c r="A519" t="s">
        <v>102</v>
      </c>
      <c r="B519" t="s">
        <v>735</v>
      </c>
    </row>
    <row r="520" spans="1:2" x14ac:dyDescent="0.25">
      <c r="A520" t="s">
        <v>833</v>
      </c>
      <c r="B520" t="s">
        <v>1069</v>
      </c>
    </row>
    <row r="521" spans="1:2" x14ac:dyDescent="0.25">
      <c r="A521" t="s">
        <v>125</v>
      </c>
      <c r="B521" t="s">
        <v>435</v>
      </c>
    </row>
    <row r="522" spans="1:2" x14ac:dyDescent="0.25">
      <c r="A522" t="s">
        <v>1090</v>
      </c>
      <c r="B522" t="s">
        <v>1109</v>
      </c>
    </row>
    <row r="523" spans="1:2" x14ac:dyDescent="0.25">
      <c r="A523" t="s">
        <v>786</v>
      </c>
      <c r="B523" t="s">
        <v>1009</v>
      </c>
    </row>
    <row r="524" spans="1:2" x14ac:dyDescent="0.25">
      <c r="A524" t="s">
        <v>162</v>
      </c>
      <c r="B524" t="s">
        <v>146</v>
      </c>
    </row>
    <row r="525" spans="1:2" x14ac:dyDescent="0.25">
      <c r="A525" t="s">
        <v>752</v>
      </c>
      <c r="B525" t="s">
        <v>817</v>
      </c>
    </row>
    <row r="526" spans="1:2" x14ac:dyDescent="0.25">
      <c r="A526" t="s">
        <v>174</v>
      </c>
      <c r="B526" t="s">
        <v>180</v>
      </c>
    </row>
    <row r="527" spans="1:2" x14ac:dyDescent="0.25">
      <c r="A527" t="s">
        <v>194</v>
      </c>
      <c r="B527" t="s">
        <v>199</v>
      </c>
    </row>
    <row r="528" spans="1:2" x14ac:dyDescent="0.25">
      <c r="A528" t="s">
        <v>209</v>
      </c>
      <c r="B528" t="s">
        <v>215</v>
      </c>
    </row>
    <row r="529" spans="1:2" x14ac:dyDescent="0.25">
      <c r="A529" t="s">
        <v>9</v>
      </c>
      <c r="B529" t="s">
        <v>673</v>
      </c>
    </row>
    <row r="530" spans="1:2" x14ac:dyDescent="0.25">
      <c r="A530" t="s">
        <v>778</v>
      </c>
      <c r="B530" t="s">
        <v>234</v>
      </c>
    </row>
    <row r="531" spans="1:2" x14ac:dyDescent="0.25">
      <c r="A531" t="s">
        <v>11</v>
      </c>
      <c r="B531" t="s">
        <v>854</v>
      </c>
    </row>
    <row r="532" spans="1:2" x14ac:dyDescent="0.25">
      <c r="A532" t="s">
        <v>12</v>
      </c>
      <c r="B532" t="s">
        <v>896</v>
      </c>
    </row>
    <row r="533" spans="1:2" x14ac:dyDescent="0.25">
      <c r="A533" t="s">
        <v>779</v>
      </c>
      <c r="B533" t="s">
        <v>934</v>
      </c>
    </row>
    <row r="534" spans="1:2" x14ac:dyDescent="0.25">
      <c r="A534" t="s">
        <v>248</v>
      </c>
      <c r="B534" t="s">
        <v>253</v>
      </c>
    </row>
    <row r="535" spans="1:2" x14ac:dyDescent="0.25">
      <c r="A535" t="s">
        <v>268</v>
      </c>
      <c r="B535" t="s">
        <v>274</v>
      </c>
    </row>
    <row r="536" spans="1:2" x14ac:dyDescent="0.25">
      <c r="A536" t="s">
        <v>314</v>
      </c>
      <c r="B536" t="s">
        <v>651</v>
      </c>
    </row>
    <row r="537" spans="1:2" x14ac:dyDescent="0.25">
      <c r="A537" t="s">
        <v>598</v>
      </c>
      <c r="B537" t="s">
        <v>945</v>
      </c>
    </row>
    <row r="538" spans="1:2" x14ac:dyDescent="0.25">
      <c r="A538" t="s">
        <v>795</v>
      </c>
      <c r="B538" t="s">
        <v>295</v>
      </c>
    </row>
    <row r="539" spans="1:2" x14ac:dyDescent="0.25">
      <c r="A539" t="s">
        <v>21</v>
      </c>
      <c r="B539" t="s">
        <v>295</v>
      </c>
    </row>
    <row r="540" spans="1:2" x14ac:dyDescent="0.25">
      <c r="A540" t="s">
        <v>22</v>
      </c>
      <c r="B540" t="s">
        <v>461</v>
      </c>
    </row>
    <row r="541" spans="1:2" x14ac:dyDescent="0.25">
      <c r="A541" t="s">
        <v>777</v>
      </c>
      <c r="B541" t="s">
        <v>180</v>
      </c>
    </row>
    <row r="542" spans="1:2" x14ac:dyDescent="0.25">
      <c r="A542" t="s">
        <v>322</v>
      </c>
      <c r="B542" t="s">
        <v>324</v>
      </c>
    </row>
    <row r="543" spans="1:2" x14ac:dyDescent="0.25">
      <c r="A543" t="s">
        <v>335</v>
      </c>
      <c r="B543" t="s">
        <v>969</v>
      </c>
    </row>
    <row r="544" spans="1:2" x14ac:dyDescent="0.25">
      <c r="A544" t="s">
        <v>1003</v>
      </c>
      <c r="B544" t="s">
        <v>452</v>
      </c>
    </row>
    <row r="545" spans="1:2" x14ac:dyDescent="0.25">
      <c r="A545" t="s">
        <v>352</v>
      </c>
      <c r="B545" t="s">
        <v>355</v>
      </c>
    </row>
    <row r="546" spans="1:2" x14ac:dyDescent="0.25">
      <c r="A546" t="s">
        <v>793</v>
      </c>
      <c r="B546" t="s">
        <v>370</v>
      </c>
    </row>
    <row r="547" spans="1:2" x14ac:dyDescent="0.25">
      <c r="A547" t="s">
        <v>791</v>
      </c>
      <c r="B547" t="s">
        <v>388</v>
      </c>
    </row>
    <row r="548" spans="1:2" x14ac:dyDescent="0.25">
      <c r="A548" t="s">
        <v>782</v>
      </c>
      <c r="B548" t="s">
        <v>397</v>
      </c>
    </row>
    <row r="549" spans="1:2" x14ac:dyDescent="0.25">
      <c r="A549" t="s">
        <v>481</v>
      </c>
      <c r="B549" t="s">
        <v>653</v>
      </c>
    </row>
    <row r="550" spans="1:2" x14ac:dyDescent="0.25">
      <c r="A550" t="s">
        <v>306</v>
      </c>
      <c r="B550" t="s">
        <v>491</v>
      </c>
    </row>
    <row r="551" spans="1:2" x14ac:dyDescent="0.25">
      <c r="A551" t="s">
        <v>797</v>
      </c>
      <c r="B551" t="s">
        <v>408</v>
      </c>
    </row>
    <row r="552" spans="1:2" x14ac:dyDescent="0.25">
      <c r="A552" t="s">
        <v>799</v>
      </c>
      <c r="B552" t="s">
        <v>425</v>
      </c>
    </row>
    <row r="553" spans="1:2" x14ac:dyDescent="0.25">
      <c r="A553" t="s">
        <v>506</v>
      </c>
      <c r="B553" t="s">
        <v>507</v>
      </c>
    </row>
    <row r="554" spans="1:2" x14ac:dyDescent="0.25">
      <c r="A554" t="s">
        <v>800</v>
      </c>
      <c r="B554" t="s">
        <v>519</v>
      </c>
    </row>
    <row r="555" spans="1:2" x14ac:dyDescent="0.25">
      <c r="A555" t="s">
        <v>580</v>
      </c>
      <c r="B555" t="s">
        <v>581</v>
      </c>
    </row>
    <row r="556" spans="1:2" x14ac:dyDescent="0.25">
      <c r="A556" t="s">
        <v>805</v>
      </c>
      <c r="B556" t="s">
        <v>1047</v>
      </c>
    </row>
    <row r="557" spans="1:2" x14ac:dyDescent="0.25">
      <c r="A557" t="s">
        <v>442</v>
      </c>
      <c r="B557" t="s">
        <v>714</v>
      </c>
    </row>
    <row r="558" spans="1:2" x14ac:dyDescent="0.25">
      <c r="A558" t="s">
        <v>834</v>
      </c>
      <c r="B558" t="s">
        <v>715</v>
      </c>
    </row>
    <row r="559" spans="1:2" x14ac:dyDescent="0.25">
      <c r="A559" t="s">
        <v>315</v>
      </c>
      <c r="B559" t="s">
        <v>606</v>
      </c>
    </row>
    <row r="560" spans="1:2" x14ac:dyDescent="0.25">
      <c r="A560" t="s">
        <v>64</v>
      </c>
      <c r="B560" t="s">
        <v>470</v>
      </c>
    </row>
    <row r="561" spans="1:2" x14ac:dyDescent="0.25">
      <c r="A561" t="s">
        <v>68</v>
      </c>
      <c r="B561" t="s">
        <v>724</v>
      </c>
    </row>
    <row r="562" spans="1:2" x14ac:dyDescent="0.25">
      <c r="A562" t="s">
        <v>92</v>
      </c>
      <c r="B562" t="s">
        <v>755</v>
      </c>
    </row>
    <row r="563" spans="1:2" x14ac:dyDescent="0.25">
      <c r="A563" t="s">
        <v>833</v>
      </c>
      <c r="B563" t="s">
        <v>1070</v>
      </c>
    </row>
    <row r="564" spans="1:2" x14ac:dyDescent="0.25">
      <c r="A564" t="s">
        <v>125</v>
      </c>
      <c r="B564" t="s">
        <v>436</v>
      </c>
    </row>
    <row r="565" spans="1:2" x14ac:dyDescent="0.25">
      <c r="A565" t="s">
        <v>786</v>
      </c>
      <c r="B565" t="s">
        <v>1010</v>
      </c>
    </row>
    <row r="566" spans="1:2" x14ac:dyDescent="0.25">
      <c r="A566" t="s">
        <v>162</v>
      </c>
      <c r="B566" t="s">
        <v>147</v>
      </c>
    </row>
    <row r="567" spans="1:2" x14ac:dyDescent="0.25">
      <c r="A567" t="s">
        <v>752</v>
      </c>
      <c r="B567" t="s">
        <v>762</v>
      </c>
    </row>
    <row r="568" spans="1:2" x14ac:dyDescent="0.25">
      <c r="A568" t="s">
        <v>174</v>
      </c>
      <c r="B568" t="s">
        <v>181</v>
      </c>
    </row>
    <row r="569" spans="1:2" x14ac:dyDescent="0.25">
      <c r="A569" t="s">
        <v>194</v>
      </c>
      <c r="B569" t="s">
        <v>200</v>
      </c>
    </row>
    <row r="570" spans="1:2" x14ac:dyDescent="0.25">
      <c r="A570" t="s">
        <v>209</v>
      </c>
      <c r="B570" t="s">
        <v>813</v>
      </c>
    </row>
    <row r="571" spans="1:2" x14ac:dyDescent="0.25">
      <c r="A571" t="s">
        <v>9</v>
      </c>
      <c r="B571" t="s">
        <v>674</v>
      </c>
    </row>
    <row r="572" spans="1:2" x14ac:dyDescent="0.25">
      <c r="A572" t="s">
        <v>778</v>
      </c>
      <c r="B572" t="s">
        <v>235</v>
      </c>
    </row>
    <row r="573" spans="1:2" x14ac:dyDescent="0.25">
      <c r="A573" t="s">
        <v>11</v>
      </c>
      <c r="B573" t="s">
        <v>855</v>
      </c>
    </row>
    <row r="574" spans="1:2" x14ac:dyDescent="0.25">
      <c r="A574" t="s">
        <v>12</v>
      </c>
      <c r="B574" t="s">
        <v>897</v>
      </c>
    </row>
    <row r="575" spans="1:2" x14ac:dyDescent="0.25">
      <c r="A575" t="s">
        <v>779</v>
      </c>
      <c r="B575" t="s">
        <v>935</v>
      </c>
    </row>
    <row r="576" spans="1:2" x14ac:dyDescent="0.25">
      <c r="A576" t="s">
        <v>248</v>
      </c>
      <c r="B576" t="s">
        <v>254</v>
      </c>
    </row>
    <row r="577" spans="1:2" x14ac:dyDescent="0.25">
      <c r="A577" t="s">
        <v>268</v>
      </c>
      <c r="B577" t="s">
        <v>942</v>
      </c>
    </row>
    <row r="578" spans="1:2" x14ac:dyDescent="0.25">
      <c r="A578" t="s">
        <v>314</v>
      </c>
      <c r="B578" t="s">
        <v>686</v>
      </c>
    </row>
    <row r="579" spans="1:2" x14ac:dyDescent="0.25">
      <c r="A579" t="s">
        <v>598</v>
      </c>
      <c r="B579" t="s">
        <v>946</v>
      </c>
    </row>
    <row r="580" spans="1:2" x14ac:dyDescent="0.25">
      <c r="A580" t="s">
        <v>795</v>
      </c>
      <c r="B580" t="s">
        <v>296</v>
      </c>
    </row>
    <row r="581" spans="1:2" x14ac:dyDescent="0.25">
      <c r="A581" t="s">
        <v>21</v>
      </c>
      <c r="B581" t="s">
        <v>296</v>
      </c>
    </row>
    <row r="582" spans="1:2" x14ac:dyDescent="0.25">
      <c r="A582" t="s">
        <v>22</v>
      </c>
      <c r="B582" t="s">
        <v>695</v>
      </c>
    </row>
    <row r="583" spans="1:2" x14ac:dyDescent="0.25">
      <c r="A583" t="s">
        <v>777</v>
      </c>
      <c r="B583" t="s">
        <v>186</v>
      </c>
    </row>
    <row r="584" spans="1:2" x14ac:dyDescent="0.25">
      <c r="A584" t="s">
        <v>322</v>
      </c>
      <c r="B584" t="s">
        <v>325</v>
      </c>
    </row>
    <row r="585" spans="1:2" x14ac:dyDescent="0.25">
      <c r="A585" t="s">
        <v>335</v>
      </c>
      <c r="B585" t="s">
        <v>633</v>
      </c>
    </row>
    <row r="586" spans="1:2" x14ac:dyDescent="0.25">
      <c r="A586" t="s">
        <v>1003</v>
      </c>
      <c r="B586" t="s">
        <v>453</v>
      </c>
    </row>
    <row r="587" spans="1:2" x14ac:dyDescent="0.25">
      <c r="A587" t="s">
        <v>352</v>
      </c>
      <c r="B587" t="s">
        <v>356</v>
      </c>
    </row>
    <row r="588" spans="1:2" x14ac:dyDescent="0.25">
      <c r="A588" t="s">
        <v>793</v>
      </c>
      <c r="B588" t="s">
        <v>371</v>
      </c>
    </row>
    <row r="589" spans="1:2" x14ac:dyDescent="0.25">
      <c r="A589" t="s">
        <v>782</v>
      </c>
      <c r="B589" t="s">
        <v>398</v>
      </c>
    </row>
    <row r="590" spans="1:2" x14ac:dyDescent="0.25">
      <c r="A590" t="s">
        <v>481</v>
      </c>
      <c r="B590" t="s">
        <v>984</v>
      </c>
    </row>
    <row r="591" spans="1:2" x14ac:dyDescent="0.25">
      <c r="A591" t="s">
        <v>306</v>
      </c>
      <c r="B591" t="s">
        <v>492</v>
      </c>
    </row>
    <row r="592" spans="1:2" x14ac:dyDescent="0.25">
      <c r="A592" t="s">
        <v>797</v>
      </c>
      <c r="B592" t="s">
        <v>543</v>
      </c>
    </row>
    <row r="593" spans="1:2" x14ac:dyDescent="0.25">
      <c r="A593" t="s">
        <v>799</v>
      </c>
      <c r="B593" t="s">
        <v>436</v>
      </c>
    </row>
    <row r="594" spans="1:2" x14ac:dyDescent="0.25">
      <c r="A594" t="s">
        <v>506</v>
      </c>
      <c r="B594" t="s">
        <v>508</v>
      </c>
    </row>
    <row r="595" spans="1:2" x14ac:dyDescent="0.25">
      <c r="A595" t="s">
        <v>800</v>
      </c>
      <c r="B595" t="s">
        <v>520</v>
      </c>
    </row>
    <row r="596" spans="1:2" x14ac:dyDescent="0.25">
      <c r="A596" t="s">
        <v>580</v>
      </c>
      <c r="B596" t="s">
        <v>582</v>
      </c>
    </row>
    <row r="597" spans="1:2" x14ac:dyDescent="0.25">
      <c r="A597" t="s">
        <v>805</v>
      </c>
      <c r="B597" t="s">
        <v>1048</v>
      </c>
    </row>
    <row r="598" spans="1:2" x14ac:dyDescent="0.25">
      <c r="A598" t="s">
        <v>442</v>
      </c>
      <c r="B598" t="s">
        <v>594</v>
      </c>
    </row>
    <row r="599" spans="1:2" x14ac:dyDescent="0.25">
      <c r="A599" t="s">
        <v>834</v>
      </c>
      <c r="B599" t="s">
        <v>716</v>
      </c>
    </row>
    <row r="600" spans="1:2" x14ac:dyDescent="0.25">
      <c r="A600" t="s">
        <v>315</v>
      </c>
      <c r="B600" t="s">
        <v>551</v>
      </c>
    </row>
    <row r="601" spans="1:2" x14ac:dyDescent="0.25">
      <c r="A601" t="s">
        <v>64</v>
      </c>
      <c r="B601" t="s">
        <v>768</v>
      </c>
    </row>
    <row r="602" spans="1:2" x14ac:dyDescent="0.25">
      <c r="A602" t="s">
        <v>125</v>
      </c>
      <c r="B602" t="s">
        <v>674</v>
      </c>
    </row>
    <row r="603" spans="1:2" x14ac:dyDescent="0.25">
      <c r="A603" t="s">
        <v>162</v>
      </c>
      <c r="B603" t="s">
        <v>148</v>
      </c>
    </row>
    <row r="604" spans="1:2" x14ac:dyDescent="0.25">
      <c r="A604" t="s">
        <v>752</v>
      </c>
      <c r="B604" t="s">
        <v>172</v>
      </c>
    </row>
    <row r="605" spans="1:2" x14ac:dyDescent="0.25">
      <c r="A605" t="s">
        <v>174</v>
      </c>
      <c r="B605" t="s">
        <v>186</v>
      </c>
    </row>
    <row r="606" spans="1:2" x14ac:dyDescent="0.25">
      <c r="A606" t="s">
        <v>194</v>
      </c>
      <c r="B606" t="s">
        <v>201</v>
      </c>
    </row>
    <row r="607" spans="1:2" x14ac:dyDescent="0.25">
      <c r="A607" t="s">
        <v>209</v>
      </c>
      <c r="B607" t="s">
        <v>216</v>
      </c>
    </row>
    <row r="608" spans="1:2" x14ac:dyDescent="0.25">
      <c r="A608" t="s">
        <v>9</v>
      </c>
      <c r="B608" t="s">
        <v>845</v>
      </c>
    </row>
    <row r="609" spans="1:2" x14ac:dyDescent="0.25">
      <c r="A609" t="s">
        <v>778</v>
      </c>
      <c r="B609" t="s">
        <v>137</v>
      </c>
    </row>
    <row r="610" spans="1:2" x14ac:dyDescent="0.25">
      <c r="A610" t="s">
        <v>11</v>
      </c>
      <c r="B610" t="s">
        <v>856</v>
      </c>
    </row>
    <row r="611" spans="1:2" x14ac:dyDescent="0.25">
      <c r="A611" t="s">
        <v>12</v>
      </c>
      <c r="B611" t="s">
        <v>909</v>
      </c>
    </row>
    <row r="612" spans="1:2" x14ac:dyDescent="0.25">
      <c r="A612" t="s">
        <v>779</v>
      </c>
      <c r="B612" t="s">
        <v>1077</v>
      </c>
    </row>
    <row r="613" spans="1:2" x14ac:dyDescent="0.25">
      <c r="A613" t="s">
        <v>248</v>
      </c>
      <c r="B613" t="s">
        <v>764</v>
      </c>
    </row>
    <row r="614" spans="1:2" x14ac:dyDescent="0.25">
      <c r="A614" t="s">
        <v>268</v>
      </c>
      <c r="B614" t="s">
        <v>253</v>
      </c>
    </row>
    <row r="615" spans="1:2" x14ac:dyDescent="0.25">
      <c r="A615" t="s">
        <v>314</v>
      </c>
      <c r="B615" t="s">
        <v>687</v>
      </c>
    </row>
    <row r="616" spans="1:2" x14ac:dyDescent="0.25">
      <c r="A616" t="s">
        <v>598</v>
      </c>
      <c r="B616" t="s">
        <v>947</v>
      </c>
    </row>
    <row r="617" spans="1:2" x14ac:dyDescent="0.25">
      <c r="A617" t="s">
        <v>795</v>
      </c>
      <c r="B617" t="s">
        <v>297</v>
      </c>
    </row>
    <row r="618" spans="1:2" x14ac:dyDescent="0.25">
      <c r="A618" t="s">
        <v>21</v>
      </c>
      <c r="B618" t="s">
        <v>297</v>
      </c>
    </row>
    <row r="619" spans="1:2" x14ac:dyDescent="0.25">
      <c r="A619" t="s">
        <v>22</v>
      </c>
      <c r="B619" t="s">
        <v>696</v>
      </c>
    </row>
    <row r="620" spans="1:2" x14ac:dyDescent="0.25">
      <c r="A620" t="s">
        <v>777</v>
      </c>
      <c r="B620" t="s">
        <v>174</v>
      </c>
    </row>
    <row r="621" spans="1:2" x14ac:dyDescent="0.25">
      <c r="A621" t="s">
        <v>322</v>
      </c>
      <c r="B621" t="s">
        <v>326</v>
      </c>
    </row>
    <row r="622" spans="1:2" x14ac:dyDescent="0.25">
      <c r="A622" t="s">
        <v>335</v>
      </c>
      <c r="B622" t="s">
        <v>765</v>
      </c>
    </row>
    <row r="623" spans="1:2" x14ac:dyDescent="0.25">
      <c r="A623" t="s">
        <v>1003</v>
      </c>
      <c r="B623" t="s">
        <v>439</v>
      </c>
    </row>
    <row r="624" spans="1:2" x14ac:dyDescent="0.25">
      <c r="A624" t="s">
        <v>352</v>
      </c>
      <c r="B624" t="s">
        <v>357</v>
      </c>
    </row>
    <row r="625" spans="1:2" x14ac:dyDescent="0.25">
      <c r="A625" t="s">
        <v>793</v>
      </c>
      <c r="B625" t="s">
        <v>369</v>
      </c>
    </row>
    <row r="626" spans="1:2" x14ac:dyDescent="0.25">
      <c r="A626" t="s">
        <v>782</v>
      </c>
      <c r="B626" t="s">
        <v>399</v>
      </c>
    </row>
    <row r="627" spans="1:2" x14ac:dyDescent="0.25">
      <c r="A627" t="s">
        <v>481</v>
      </c>
      <c r="B627" t="s">
        <v>985</v>
      </c>
    </row>
    <row r="628" spans="1:2" x14ac:dyDescent="0.25">
      <c r="A628" t="s">
        <v>306</v>
      </c>
      <c r="B628" t="s">
        <v>493</v>
      </c>
    </row>
    <row r="629" spans="1:2" x14ac:dyDescent="0.25">
      <c r="A629" t="s">
        <v>797</v>
      </c>
      <c r="B629" t="s">
        <v>405</v>
      </c>
    </row>
    <row r="630" spans="1:2" x14ac:dyDescent="0.25">
      <c r="A630" t="s">
        <v>799</v>
      </c>
      <c r="B630" t="s">
        <v>1019</v>
      </c>
    </row>
    <row r="631" spans="1:2" x14ac:dyDescent="0.25">
      <c r="A631" t="s">
        <v>506</v>
      </c>
      <c r="B631" t="s">
        <v>509</v>
      </c>
    </row>
    <row r="632" spans="1:2" x14ac:dyDescent="0.25">
      <c r="A632" t="s">
        <v>800</v>
      </c>
      <c r="B632" t="s">
        <v>1001</v>
      </c>
    </row>
    <row r="633" spans="1:2" x14ac:dyDescent="0.25">
      <c r="A633" t="s">
        <v>580</v>
      </c>
      <c r="B633" t="s">
        <v>583</v>
      </c>
    </row>
    <row r="634" spans="1:2" x14ac:dyDescent="0.25">
      <c r="A634" t="s">
        <v>442</v>
      </c>
      <c r="B634" t="s">
        <v>1049</v>
      </c>
    </row>
    <row r="635" spans="1:2" x14ac:dyDescent="0.25">
      <c r="A635" t="s">
        <v>834</v>
      </c>
      <c r="B635" t="s">
        <v>717</v>
      </c>
    </row>
    <row r="636" spans="1:2" x14ac:dyDescent="0.25">
      <c r="A636" t="s">
        <v>315</v>
      </c>
      <c r="B636" t="s">
        <v>613</v>
      </c>
    </row>
    <row r="637" spans="1:2" x14ac:dyDescent="0.25">
      <c r="A637" t="s">
        <v>64</v>
      </c>
      <c r="B637" t="s">
        <v>1058</v>
      </c>
    </row>
    <row r="638" spans="1:2" x14ac:dyDescent="0.25">
      <c r="A638" t="s">
        <v>162</v>
      </c>
      <c r="B638" t="s">
        <v>836</v>
      </c>
    </row>
    <row r="639" spans="1:2" x14ac:dyDescent="0.25">
      <c r="A639" t="s">
        <v>752</v>
      </c>
      <c r="B639" t="s">
        <v>173</v>
      </c>
    </row>
    <row r="640" spans="1:2" x14ac:dyDescent="0.25">
      <c r="A640" t="s">
        <v>174</v>
      </c>
      <c r="B640" t="s">
        <v>187</v>
      </c>
    </row>
    <row r="641" spans="1:2" x14ac:dyDescent="0.25">
      <c r="A641" t="s">
        <v>194</v>
      </c>
      <c r="B641" t="s">
        <v>202</v>
      </c>
    </row>
    <row r="642" spans="1:2" x14ac:dyDescent="0.25">
      <c r="A642" t="s">
        <v>209</v>
      </c>
      <c r="B642" t="s">
        <v>843</v>
      </c>
    </row>
    <row r="643" spans="1:2" x14ac:dyDescent="0.25">
      <c r="A643" t="s">
        <v>778</v>
      </c>
      <c r="B643" t="s">
        <v>236</v>
      </c>
    </row>
    <row r="644" spans="1:2" x14ac:dyDescent="0.25">
      <c r="A644" t="s">
        <v>11</v>
      </c>
      <c r="B644" t="s">
        <v>857</v>
      </c>
    </row>
    <row r="645" spans="1:2" x14ac:dyDescent="0.25">
      <c r="A645" t="s">
        <v>12</v>
      </c>
      <c r="B645" t="s">
        <v>898</v>
      </c>
    </row>
    <row r="646" spans="1:2" x14ac:dyDescent="0.25">
      <c r="A646" t="s">
        <v>248</v>
      </c>
      <c r="B646" t="s">
        <v>1044</v>
      </c>
    </row>
    <row r="647" spans="1:2" x14ac:dyDescent="0.25">
      <c r="A647" t="s">
        <v>268</v>
      </c>
      <c r="B647" t="s">
        <v>683</v>
      </c>
    </row>
    <row r="648" spans="1:2" x14ac:dyDescent="0.25">
      <c r="A648" t="s">
        <v>314</v>
      </c>
      <c r="B648" t="s">
        <v>688</v>
      </c>
    </row>
    <row r="649" spans="1:2" x14ac:dyDescent="0.25">
      <c r="A649" t="s">
        <v>598</v>
      </c>
      <c r="B649" t="s">
        <v>948</v>
      </c>
    </row>
    <row r="650" spans="1:2" x14ac:dyDescent="0.25">
      <c r="A650" t="s">
        <v>795</v>
      </c>
      <c r="B650" t="s">
        <v>298</v>
      </c>
    </row>
    <row r="651" spans="1:2" x14ac:dyDescent="0.25">
      <c r="A651" t="s">
        <v>21</v>
      </c>
      <c r="B651" t="s">
        <v>298</v>
      </c>
    </row>
    <row r="652" spans="1:2" x14ac:dyDescent="0.25">
      <c r="A652" t="s">
        <v>22</v>
      </c>
      <c r="B652" t="s">
        <v>697</v>
      </c>
    </row>
    <row r="653" spans="1:2" x14ac:dyDescent="0.25">
      <c r="A653" t="s">
        <v>777</v>
      </c>
      <c r="B653" t="s">
        <v>837</v>
      </c>
    </row>
    <row r="654" spans="1:2" x14ac:dyDescent="0.25">
      <c r="A654" t="s">
        <v>322</v>
      </c>
      <c r="B654" t="s">
        <v>264</v>
      </c>
    </row>
    <row r="655" spans="1:2" x14ac:dyDescent="0.25">
      <c r="A655" t="s">
        <v>335</v>
      </c>
      <c r="B655" t="s">
        <v>661</v>
      </c>
    </row>
    <row r="656" spans="1:2" x14ac:dyDescent="0.25">
      <c r="A656" t="s">
        <v>1003</v>
      </c>
      <c r="B656" t="s">
        <v>441</v>
      </c>
    </row>
    <row r="657" spans="1:2" x14ac:dyDescent="0.25">
      <c r="A657" t="s">
        <v>352</v>
      </c>
      <c r="B657" t="s">
        <v>358</v>
      </c>
    </row>
    <row r="658" spans="1:2" x14ac:dyDescent="0.25">
      <c r="A658" t="s">
        <v>793</v>
      </c>
      <c r="B658" t="s">
        <v>372</v>
      </c>
    </row>
    <row r="659" spans="1:2" x14ac:dyDescent="0.25">
      <c r="A659" t="s">
        <v>782</v>
      </c>
      <c r="B659" t="s">
        <v>400</v>
      </c>
    </row>
    <row r="660" spans="1:2" x14ac:dyDescent="0.25">
      <c r="A660" t="s">
        <v>481</v>
      </c>
      <c r="B660" t="s">
        <v>987</v>
      </c>
    </row>
    <row r="661" spans="1:2" x14ac:dyDescent="0.25">
      <c r="A661" t="s">
        <v>306</v>
      </c>
      <c r="B661" t="s">
        <v>275</v>
      </c>
    </row>
    <row r="662" spans="1:2" x14ac:dyDescent="0.25">
      <c r="A662" t="s">
        <v>797</v>
      </c>
      <c r="B662" t="s">
        <v>988</v>
      </c>
    </row>
    <row r="663" spans="1:2" x14ac:dyDescent="0.25">
      <c r="A663" t="s">
        <v>799</v>
      </c>
      <c r="B663" t="s">
        <v>1020</v>
      </c>
    </row>
    <row r="664" spans="1:2" x14ac:dyDescent="0.25">
      <c r="A664" t="s">
        <v>506</v>
      </c>
      <c r="B664" t="s">
        <v>510</v>
      </c>
    </row>
    <row r="665" spans="1:2" x14ac:dyDescent="0.25">
      <c r="A665" t="s">
        <v>800</v>
      </c>
      <c r="B665" t="s">
        <v>521</v>
      </c>
    </row>
    <row r="666" spans="1:2" x14ac:dyDescent="0.25">
      <c r="A666" t="s">
        <v>580</v>
      </c>
      <c r="B666" t="s">
        <v>584</v>
      </c>
    </row>
    <row r="667" spans="1:2" x14ac:dyDescent="0.25">
      <c r="A667" t="s">
        <v>442</v>
      </c>
      <c r="B667" t="s">
        <v>596</v>
      </c>
    </row>
    <row r="668" spans="1:2" x14ac:dyDescent="0.25">
      <c r="A668" t="s">
        <v>834</v>
      </c>
      <c r="B668" t="s">
        <v>718</v>
      </c>
    </row>
    <row r="669" spans="1:2" x14ac:dyDescent="0.25">
      <c r="A669" t="s">
        <v>315</v>
      </c>
      <c r="B669" t="s">
        <v>654</v>
      </c>
    </row>
    <row r="670" spans="1:2" x14ac:dyDescent="0.25">
      <c r="A670" t="s">
        <v>162</v>
      </c>
      <c r="B670" t="s">
        <v>149</v>
      </c>
    </row>
    <row r="671" spans="1:2" x14ac:dyDescent="0.25">
      <c r="A671" t="s">
        <v>752</v>
      </c>
      <c r="B671" t="s">
        <v>626</v>
      </c>
    </row>
    <row r="672" spans="1:2" x14ac:dyDescent="0.25">
      <c r="A672" t="s">
        <v>174</v>
      </c>
      <c r="B672" t="s">
        <v>183</v>
      </c>
    </row>
    <row r="673" spans="1:2" x14ac:dyDescent="0.25">
      <c r="A673" t="s">
        <v>194</v>
      </c>
      <c r="B673" t="s">
        <v>203</v>
      </c>
    </row>
    <row r="674" spans="1:2" x14ac:dyDescent="0.25">
      <c r="A674" t="s">
        <v>209</v>
      </c>
      <c r="B674" t="s">
        <v>217</v>
      </c>
    </row>
    <row r="675" spans="1:2" x14ac:dyDescent="0.25">
      <c r="A675" t="s">
        <v>778</v>
      </c>
      <c r="B675" t="s">
        <v>237</v>
      </c>
    </row>
    <row r="676" spans="1:2" x14ac:dyDescent="0.25">
      <c r="A676" t="s">
        <v>11</v>
      </c>
      <c r="B676" t="s">
        <v>1033</v>
      </c>
    </row>
    <row r="677" spans="1:2" x14ac:dyDescent="0.25">
      <c r="A677" t="s">
        <v>12</v>
      </c>
      <c r="B677" t="s">
        <v>899</v>
      </c>
    </row>
    <row r="678" spans="1:2" x14ac:dyDescent="0.25">
      <c r="A678" t="s">
        <v>248</v>
      </c>
      <c r="B678" t="s">
        <v>255</v>
      </c>
    </row>
    <row r="679" spans="1:2" x14ac:dyDescent="0.25">
      <c r="A679" t="s">
        <v>268</v>
      </c>
      <c r="B679" t="s">
        <v>684</v>
      </c>
    </row>
    <row r="680" spans="1:2" x14ac:dyDescent="0.25">
      <c r="A680" t="s">
        <v>598</v>
      </c>
      <c r="B680" t="s">
        <v>958</v>
      </c>
    </row>
    <row r="681" spans="1:2" x14ac:dyDescent="0.25">
      <c r="A681" t="s">
        <v>795</v>
      </c>
      <c r="B681" t="s">
        <v>299</v>
      </c>
    </row>
    <row r="682" spans="1:2" x14ac:dyDescent="0.25">
      <c r="A682" t="s">
        <v>21</v>
      </c>
      <c r="B682" t="s">
        <v>299</v>
      </c>
    </row>
    <row r="683" spans="1:2" x14ac:dyDescent="0.25">
      <c r="A683" t="s">
        <v>22</v>
      </c>
      <c r="B683" t="s">
        <v>957</v>
      </c>
    </row>
    <row r="684" spans="1:2" x14ac:dyDescent="0.25">
      <c r="A684" t="s">
        <v>777</v>
      </c>
      <c r="B684" t="s">
        <v>189</v>
      </c>
    </row>
    <row r="685" spans="1:2" x14ac:dyDescent="0.25">
      <c r="A685" t="s">
        <v>322</v>
      </c>
      <c r="B685" t="s">
        <v>327</v>
      </c>
    </row>
    <row r="686" spans="1:2" x14ac:dyDescent="0.25">
      <c r="A686" t="s">
        <v>1003</v>
      </c>
      <c r="B686" t="s">
        <v>444</v>
      </c>
    </row>
    <row r="687" spans="1:2" x14ac:dyDescent="0.25">
      <c r="A687" t="s">
        <v>352</v>
      </c>
      <c r="B687" t="s">
        <v>359</v>
      </c>
    </row>
    <row r="688" spans="1:2" x14ac:dyDescent="0.25">
      <c r="A688" t="s">
        <v>793</v>
      </c>
      <c r="B688" t="s">
        <v>373</v>
      </c>
    </row>
    <row r="689" spans="1:2" x14ac:dyDescent="0.25">
      <c r="A689" t="s">
        <v>782</v>
      </c>
      <c r="B689" t="s">
        <v>401</v>
      </c>
    </row>
    <row r="690" spans="1:2" x14ac:dyDescent="0.25">
      <c r="A690" t="s">
        <v>797</v>
      </c>
      <c r="B690" t="s">
        <v>767</v>
      </c>
    </row>
    <row r="691" spans="1:2" x14ac:dyDescent="0.25">
      <c r="A691" t="s">
        <v>799</v>
      </c>
      <c r="B691" t="s">
        <v>414</v>
      </c>
    </row>
    <row r="692" spans="1:2" x14ac:dyDescent="0.25">
      <c r="A692" t="s">
        <v>506</v>
      </c>
      <c r="B692" t="s">
        <v>630</v>
      </c>
    </row>
    <row r="693" spans="1:2" x14ac:dyDescent="0.25">
      <c r="A693" t="s">
        <v>800</v>
      </c>
      <c r="B693" t="s">
        <v>437</v>
      </c>
    </row>
    <row r="694" spans="1:2" x14ac:dyDescent="0.25">
      <c r="A694" t="s">
        <v>580</v>
      </c>
      <c r="B694" t="s">
        <v>1030</v>
      </c>
    </row>
    <row r="695" spans="1:2" x14ac:dyDescent="0.25">
      <c r="A695" t="s">
        <v>834</v>
      </c>
      <c r="B695" t="s">
        <v>1055</v>
      </c>
    </row>
    <row r="696" spans="1:2" x14ac:dyDescent="0.25">
      <c r="A696" t="s">
        <v>315</v>
      </c>
      <c r="B696" t="s">
        <v>770</v>
      </c>
    </row>
    <row r="697" spans="1:2" x14ac:dyDescent="0.25">
      <c r="A697" t="s">
        <v>162</v>
      </c>
      <c r="B697" t="s">
        <v>150</v>
      </c>
    </row>
    <row r="698" spans="1:2" x14ac:dyDescent="0.25">
      <c r="A698" t="s">
        <v>752</v>
      </c>
      <c r="B698" t="s">
        <v>752</v>
      </c>
    </row>
    <row r="699" spans="1:2" x14ac:dyDescent="0.25">
      <c r="A699" t="s">
        <v>174</v>
      </c>
      <c r="B699" t="s">
        <v>184</v>
      </c>
    </row>
    <row r="700" spans="1:2" x14ac:dyDescent="0.25">
      <c r="A700" t="s">
        <v>194</v>
      </c>
      <c r="B700" t="s">
        <v>204</v>
      </c>
    </row>
    <row r="701" spans="1:2" x14ac:dyDescent="0.25">
      <c r="A701" t="s">
        <v>209</v>
      </c>
      <c r="B701" t="s">
        <v>218</v>
      </c>
    </row>
    <row r="702" spans="1:2" x14ac:dyDescent="0.25">
      <c r="A702" t="s">
        <v>778</v>
      </c>
      <c r="B702" t="s">
        <v>238</v>
      </c>
    </row>
    <row r="703" spans="1:2" x14ac:dyDescent="0.25">
      <c r="A703" t="s">
        <v>11</v>
      </c>
      <c r="B703" t="s">
        <v>1034</v>
      </c>
    </row>
    <row r="704" spans="1:2" x14ac:dyDescent="0.25">
      <c r="A704" t="s">
        <v>12</v>
      </c>
      <c r="B704" t="s">
        <v>900</v>
      </c>
    </row>
    <row r="705" spans="1:2" x14ac:dyDescent="0.25">
      <c r="A705" t="s">
        <v>248</v>
      </c>
      <c r="B705" t="s">
        <v>256</v>
      </c>
    </row>
    <row r="706" spans="1:2" x14ac:dyDescent="0.25">
      <c r="A706" t="s">
        <v>268</v>
      </c>
      <c r="B706" t="s">
        <v>685</v>
      </c>
    </row>
    <row r="707" spans="1:2" x14ac:dyDescent="0.25">
      <c r="A707" t="s">
        <v>598</v>
      </c>
      <c r="B707" t="s">
        <v>959</v>
      </c>
    </row>
    <row r="708" spans="1:2" x14ac:dyDescent="0.25">
      <c r="A708" t="s">
        <v>795</v>
      </c>
      <c r="B708" t="s">
        <v>300</v>
      </c>
    </row>
    <row r="709" spans="1:2" x14ac:dyDescent="0.25">
      <c r="A709" t="s">
        <v>21</v>
      </c>
      <c r="B709" t="s">
        <v>300</v>
      </c>
    </row>
    <row r="710" spans="1:2" x14ac:dyDescent="0.25">
      <c r="A710" t="s">
        <v>777</v>
      </c>
      <c r="B710" t="s">
        <v>648</v>
      </c>
    </row>
    <row r="711" spans="1:2" x14ac:dyDescent="0.25">
      <c r="A711" t="s">
        <v>322</v>
      </c>
      <c r="B711" t="s">
        <v>328</v>
      </c>
    </row>
    <row r="712" spans="1:2" x14ac:dyDescent="0.25">
      <c r="A712" t="s">
        <v>1003</v>
      </c>
      <c r="B712" t="s">
        <v>446</v>
      </c>
    </row>
    <row r="713" spans="1:2" x14ac:dyDescent="0.25">
      <c r="A713" t="s">
        <v>352</v>
      </c>
      <c r="B713" t="s">
        <v>360</v>
      </c>
    </row>
    <row r="714" spans="1:2" x14ac:dyDescent="0.25">
      <c r="A714" t="s">
        <v>793</v>
      </c>
      <c r="B714" t="s">
        <v>374</v>
      </c>
    </row>
    <row r="715" spans="1:2" x14ac:dyDescent="0.25">
      <c r="A715" t="s">
        <v>782</v>
      </c>
      <c r="B715" t="s">
        <v>341</v>
      </c>
    </row>
    <row r="716" spans="1:2" x14ac:dyDescent="0.25">
      <c r="A716" t="s">
        <v>797</v>
      </c>
      <c r="B716" t="s">
        <v>701</v>
      </c>
    </row>
    <row r="717" spans="1:2" x14ac:dyDescent="0.25">
      <c r="A717" t="s">
        <v>799</v>
      </c>
      <c r="B717" t="s">
        <v>1022</v>
      </c>
    </row>
    <row r="718" spans="1:2" x14ac:dyDescent="0.25">
      <c r="A718" t="s">
        <v>506</v>
      </c>
      <c r="B718" t="s">
        <v>639</v>
      </c>
    </row>
    <row r="719" spans="1:2" x14ac:dyDescent="0.25">
      <c r="A719" t="s">
        <v>800</v>
      </c>
      <c r="B719" t="s">
        <v>522</v>
      </c>
    </row>
    <row r="720" spans="1:2" x14ac:dyDescent="0.25">
      <c r="A720" t="s">
        <v>580</v>
      </c>
      <c r="B720" t="s">
        <v>585</v>
      </c>
    </row>
    <row r="721" spans="1:2" x14ac:dyDescent="0.25">
      <c r="A721" t="s">
        <v>834</v>
      </c>
      <c r="B721" t="s">
        <v>1056</v>
      </c>
    </row>
    <row r="722" spans="1:2" x14ac:dyDescent="0.25">
      <c r="A722" t="s">
        <v>315</v>
      </c>
      <c r="B722" t="s">
        <v>612</v>
      </c>
    </row>
    <row r="723" spans="1:2" x14ac:dyDescent="0.25">
      <c r="A723" t="s">
        <v>162</v>
      </c>
      <c r="B723" t="s">
        <v>151</v>
      </c>
    </row>
    <row r="724" spans="1:2" x14ac:dyDescent="0.25">
      <c r="A724" t="s">
        <v>752</v>
      </c>
      <c r="B724" t="s">
        <v>656</v>
      </c>
    </row>
    <row r="725" spans="1:2" x14ac:dyDescent="0.25">
      <c r="A725" t="s">
        <v>174</v>
      </c>
      <c r="B725" t="s">
        <v>185</v>
      </c>
    </row>
    <row r="726" spans="1:2" x14ac:dyDescent="0.25">
      <c r="A726" t="s">
        <v>194</v>
      </c>
      <c r="B726" t="s">
        <v>205</v>
      </c>
    </row>
    <row r="727" spans="1:2" x14ac:dyDescent="0.25">
      <c r="A727" t="s">
        <v>209</v>
      </c>
      <c r="B727" t="s">
        <v>219</v>
      </c>
    </row>
    <row r="728" spans="1:2" x14ac:dyDescent="0.25">
      <c r="A728" t="s">
        <v>778</v>
      </c>
      <c r="B728" t="s">
        <v>239</v>
      </c>
    </row>
    <row r="729" spans="1:2" x14ac:dyDescent="0.25">
      <c r="A729" t="s">
        <v>11</v>
      </c>
      <c r="B729" t="s">
        <v>858</v>
      </c>
    </row>
    <row r="730" spans="1:2" x14ac:dyDescent="0.25">
      <c r="A730" t="s">
        <v>12</v>
      </c>
      <c r="B730" t="s">
        <v>901</v>
      </c>
    </row>
    <row r="731" spans="1:2" x14ac:dyDescent="0.25">
      <c r="A731" t="s">
        <v>248</v>
      </c>
      <c r="B731" t="s">
        <v>257</v>
      </c>
    </row>
    <row r="732" spans="1:2" x14ac:dyDescent="0.25">
      <c r="A732" t="s">
        <v>795</v>
      </c>
      <c r="B732" t="s">
        <v>301</v>
      </c>
    </row>
    <row r="733" spans="1:2" x14ac:dyDescent="0.25">
      <c r="A733" t="s">
        <v>21</v>
      </c>
      <c r="B733" t="s">
        <v>301</v>
      </c>
    </row>
    <row r="734" spans="1:2" x14ac:dyDescent="0.25">
      <c r="A734" t="s">
        <v>777</v>
      </c>
      <c r="B734" t="s">
        <v>816</v>
      </c>
    </row>
    <row r="735" spans="1:2" x14ac:dyDescent="0.25">
      <c r="A735" t="s">
        <v>322</v>
      </c>
      <c r="B735" t="s">
        <v>329</v>
      </c>
    </row>
    <row r="736" spans="1:2" x14ac:dyDescent="0.25">
      <c r="A736" t="s">
        <v>352</v>
      </c>
      <c r="B736" t="s">
        <v>972</v>
      </c>
    </row>
    <row r="737" spans="1:2" x14ac:dyDescent="0.25">
      <c r="A737" t="s">
        <v>793</v>
      </c>
      <c r="B737" t="s">
        <v>375</v>
      </c>
    </row>
    <row r="738" spans="1:2" x14ac:dyDescent="0.25">
      <c r="A738" t="s">
        <v>782</v>
      </c>
      <c r="B738" t="s">
        <v>402</v>
      </c>
    </row>
    <row r="739" spans="1:2" x14ac:dyDescent="0.25">
      <c r="A739" t="s">
        <v>797</v>
      </c>
      <c r="B739" t="s">
        <v>702</v>
      </c>
    </row>
    <row r="740" spans="1:2" x14ac:dyDescent="0.25">
      <c r="A740" t="s">
        <v>799</v>
      </c>
      <c r="B740" t="s">
        <v>1023</v>
      </c>
    </row>
    <row r="741" spans="1:2" x14ac:dyDescent="0.25">
      <c r="A741" t="s">
        <v>506</v>
      </c>
      <c r="B741" t="s">
        <v>662</v>
      </c>
    </row>
    <row r="742" spans="1:2" x14ac:dyDescent="0.25">
      <c r="A742" t="s">
        <v>800</v>
      </c>
      <c r="B742" t="s">
        <v>523</v>
      </c>
    </row>
    <row r="743" spans="1:2" x14ac:dyDescent="0.25">
      <c r="A743" t="s">
        <v>580</v>
      </c>
      <c r="B743" t="s">
        <v>586</v>
      </c>
    </row>
    <row r="744" spans="1:2" x14ac:dyDescent="0.25">
      <c r="A744" t="s">
        <v>315</v>
      </c>
      <c r="B744" t="s">
        <v>610</v>
      </c>
    </row>
    <row r="745" spans="1:2" x14ac:dyDescent="0.25">
      <c r="A745" t="s">
        <v>162</v>
      </c>
      <c r="B745" t="s">
        <v>152</v>
      </c>
    </row>
    <row r="746" spans="1:2" x14ac:dyDescent="0.25">
      <c r="A746" t="s">
        <v>752</v>
      </c>
      <c r="B746" t="s">
        <v>657</v>
      </c>
    </row>
    <row r="747" spans="1:2" x14ac:dyDescent="0.25">
      <c r="A747" t="s">
        <v>174</v>
      </c>
      <c r="B747" t="s">
        <v>311</v>
      </c>
    </row>
    <row r="748" spans="1:2" x14ac:dyDescent="0.25">
      <c r="A748" t="s">
        <v>194</v>
      </c>
      <c r="B748" t="s">
        <v>206</v>
      </c>
    </row>
    <row r="749" spans="1:2" x14ac:dyDescent="0.25">
      <c r="A749" t="s">
        <v>209</v>
      </c>
      <c r="B749" t="s">
        <v>220</v>
      </c>
    </row>
    <row r="750" spans="1:2" x14ac:dyDescent="0.25">
      <c r="A750" t="s">
        <v>778</v>
      </c>
      <c r="B750" t="s">
        <v>240</v>
      </c>
    </row>
    <row r="751" spans="1:2" x14ac:dyDescent="0.25">
      <c r="A751" t="s">
        <v>11</v>
      </c>
      <c r="B751" t="s">
        <v>242</v>
      </c>
    </row>
    <row r="752" spans="1:2" x14ac:dyDescent="0.25">
      <c r="A752" t="s">
        <v>12</v>
      </c>
      <c r="B752" t="s">
        <v>902</v>
      </c>
    </row>
    <row r="753" spans="1:2" x14ac:dyDescent="0.25">
      <c r="A753" t="s">
        <v>248</v>
      </c>
      <c r="B753" t="s">
        <v>258</v>
      </c>
    </row>
    <row r="754" spans="1:2" x14ac:dyDescent="0.25">
      <c r="A754" t="s">
        <v>795</v>
      </c>
      <c r="B754" t="s">
        <v>302</v>
      </c>
    </row>
    <row r="755" spans="1:2" x14ac:dyDescent="0.25">
      <c r="A755" t="s">
        <v>21</v>
      </c>
      <c r="B755" t="s">
        <v>302</v>
      </c>
    </row>
    <row r="756" spans="1:2" x14ac:dyDescent="0.25">
      <c r="A756" t="s">
        <v>777</v>
      </c>
      <c r="B756" t="s">
        <v>961</v>
      </c>
    </row>
    <row r="757" spans="1:2" x14ac:dyDescent="0.25">
      <c r="A757" t="s">
        <v>322</v>
      </c>
      <c r="B757" t="s">
        <v>330</v>
      </c>
    </row>
    <row r="758" spans="1:2" x14ac:dyDescent="0.25">
      <c r="A758" t="s">
        <v>793</v>
      </c>
      <c r="B758" t="s">
        <v>376</v>
      </c>
    </row>
    <row r="759" spans="1:2" x14ac:dyDescent="0.25">
      <c r="A759" t="s">
        <v>782</v>
      </c>
      <c r="B759" t="s">
        <v>357</v>
      </c>
    </row>
    <row r="760" spans="1:2" x14ac:dyDescent="0.25">
      <c r="A760" t="s">
        <v>797</v>
      </c>
      <c r="B760" t="s">
        <v>703</v>
      </c>
    </row>
    <row r="761" spans="1:2" x14ac:dyDescent="0.25">
      <c r="A761" t="s">
        <v>800</v>
      </c>
      <c r="B761" t="s">
        <v>524</v>
      </c>
    </row>
    <row r="762" spans="1:2" x14ac:dyDescent="0.25">
      <c r="A762" t="s">
        <v>580</v>
      </c>
      <c r="B762" t="s">
        <v>1031</v>
      </c>
    </row>
    <row r="763" spans="1:2" x14ac:dyDescent="0.25">
      <c r="A763" t="s">
        <v>315</v>
      </c>
      <c r="B763" t="s">
        <v>611</v>
      </c>
    </row>
    <row r="764" spans="1:2" x14ac:dyDescent="0.25">
      <c r="A764" t="s">
        <v>162</v>
      </c>
      <c r="B764" t="s">
        <v>153</v>
      </c>
    </row>
    <row r="765" spans="1:2" x14ac:dyDescent="0.25">
      <c r="A765" t="s">
        <v>752</v>
      </c>
      <c r="B765" t="s">
        <v>670</v>
      </c>
    </row>
    <row r="766" spans="1:2" x14ac:dyDescent="0.25">
      <c r="A766" t="s">
        <v>174</v>
      </c>
      <c r="B766" t="s">
        <v>188</v>
      </c>
    </row>
    <row r="767" spans="1:2" x14ac:dyDescent="0.25">
      <c r="A767" t="s">
        <v>194</v>
      </c>
      <c r="B767" t="s">
        <v>207</v>
      </c>
    </row>
    <row r="768" spans="1:2" x14ac:dyDescent="0.25">
      <c r="A768" t="s">
        <v>209</v>
      </c>
      <c r="B768" t="s">
        <v>844</v>
      </c>
    </row>
    <row r="769" spans="1:2" x14ac:dyDescent="0.25">
      <c r="A769" t="s">
        <v>778</v>
      </c>
      <c r="B769" t="s">
        <v>1035</v>
      </c>
    </row>
    <row r="770" spans="1:2" x14ac:dyDescent="0.25">
      <c r="A770" t="s">
        <v>11</v>
      </c>
      <c r="B770" t="s">
        <v>859</v>
      </c>
    </row>
    <row r="771" spans="1:2" x14ac:dyDescent="0.25">
      <c r="A771" t="s">
        <v>12</v>
      </c>
      <c r="B771" t="s">
        <v>1036</v>
      </c>
    </row>
    <row r="772" spans="1:2" x14ac:dyDescent="0.25">
      <c r="A772" t="s">
        <v>248</v>
      </c>
      <c r="B772" t="s">
        <v>259</v>
      </c>
    </row>
    <row r="773" spans="1:2" x14ac:dyDescent="0.25">
      <c r="A773" t="s">
        <v>795</v>
      </c>
      <c r="B773" t="s">
        <v>303</v>
      </c>
    </row>
    <row r="774" spans="1:2" x14ac:dyDescent="0.25">
      <c r="A774" t="s">
        <v>21</v>
      </c>
      <c r="B774" t="s">
        <v>303</v>
      </c>
    </row>
    <row r="775" spans="1:2" x14ac:dyDescent="0.25">
      <c r="A775" t="s">
        <v>777</v>
      </c>
      <c r="B775" t="s">
        <v>181</v>
      </c>
    </row>
    <row r="776" spans="1:2" x14ac:dyDescent="0.25">
      <c r="A776" t="s">
        <v>322</v>
      </c>
      <c r="B776" t="s">
        <v>331</v>
      </c>
    </row>
    <row r="777" spans="1:2" x14ac:dyDescent="0.25">
      <c r="A777" t="s">
        <v>793</v>
      </c>
      <c r="B777" t="s">
        <v>377</v>
      </c>
    </row>
    <row r="778" spans="1:2" x14ac:dyDescent="0.25">
      <c r="A778" t="s">
        <v>782</v>
      </c>
      <c r="B778" t="s">
        <v>403</v>
      </c>
    </row>
    <row r="779" spans="1:2" x14ac:dyDescent="0.25">
      <c r="A779" t="s">
        <v>797</v>
      </c>
      <c r="B779" t="s">
        <v>704</v>
      </c>
    </row>
    <row r="780" spans="1:2" x14ac:dyDescent="0.25">
      <c r="A780" t="s">
        <v>800</v>
      </c>
      <c r="B780" t="s">
        <v>525</v>
      </c>
    </row>
    <row r="781" spans="1:2" x14ac:dyDescent="0.25">
      <c r="A781" t="s">
        <v>580</v>
      </c>
      <c r="B781" t="s">
        <v>1032</v>
      </c>
    </row>
    <row r="782" spans="1:2" x14ac:dyDescent="0.25">
      <c r="A782" t="s">
        <v>315</v>
      </c>
      <c r="B782" t="s">
        <v>608</v>
      </c>
    </row>
    <row r="783" spans="1:2" x14ac:dyDescent="0.25">
      <c r="A783" t="s">
        <v>162</v>
      </c>
      <c r="B783" t="s">
        <v>154</v>
      </c>
    </row>
    <row r="784" spans="1:2" x14ac:dyDescent="0.25">
      <c r="A784" t="s">
        <v>174</v>
      </c>
      <c r="B784" t="s">
        <v>189</v>
      </c>
    </row>
    <row r="785" spans="1:2" x14ac:dyDescent="0.25">
      <c r="A785" t="s">
        <v>194</v>
      </c>
      <c r="B785" t="s">
        <v>839</v>
      </c>
    </row>
    <row r="786" spans="1:2" x14ac:dyDescent="0.25">
      <c r="A786" t="s">
        <v>778</v>
      </c>
      <c r="B786" t="s">
        <v>815</v>
      </c>
    </row>
    <row r="787" spans="1:2" x14ac:dyDescent="0.25">
      <c r="A787" t="s">
        <v>11</v>
      </c>
      <c r="B787" t="s">
        <v>628</v>
      </c>
    </row>
    <row r="788" spans="1:2" x14ac:dyDescent="0.25">
      <c r="A788" t="s">
        <v>12</v>
      </c>
      <c r="B788" t="s">
        <v>903</v>
      </c>
    </row>
    <row r="789" spans="1:2" x14ac:dyDescent="0.25">
      <c r="A789" t="s">
        <v>248</v>
      </c>
      <c r="B789" t="s">
        <v>260</v>
      </c>
    </row>
    <row r="790" spans="1:2" x14ac:dyDescent="0.25">
      <c r="A790" t="s">
        <v>795</v>
      </c>
      <c r="B790" t="s">
        <v>1037</v>
      </c>
    </row>
    <row r="791" spans="1:2" x14ac:dyDescent="0.25">
      <c r="A791" t="s">
        <v>21</v>
      </c>
      <c r="B791" t="s">
        <v>1037</v>
      </c>
    </row>
    <row r="792" spans="1:2" x14ac:dyDescent="0.25">
      <c r="A792" t="s">
        <v>322</v>
      </c>
      <c r="B792" t="s">
        <v>332</v>
      </c>
    </row>
    <row r="793" spans="1:2" x14ac:dyDescent="0.25">
      <c r="A793" t="s">
        <v>793</v>
      </c>
      <c r="B793" t="s">
        <v>220</v>
      </c>
    </row>
    <row r="794" spans="1:2" x14ac:dyDescent="0.25">
      <c r="A794" t="s">
        <v>782</v>
      </c>
      <c r="B794" t="s">
        <v>391</v>
      </c>
    </row>
    <row r="795" spans="1:2" x14ac:dyDescent="0.25">
      <c r="A795" t="s">
        <v>797</v>
      </c>
      <c r="B795" t="s">
        <v>422</v>
      </c>
    </row>
    <row r="796" spans="1:2" x14ac:dyDescent="0.25">
      <c r="A796" t="s">
        <v>800</v>
      </c>
      <c r="B796" t="s">
        <v>526</v>
      </c>
    </row>
    <row r="797" spans="1:2" x14ac:dyDescent="0.25">
      <c r="A797" t="s">
        <v>580</v>
      </c>
      <c r="B797" t="s">
        <v>587</v>
      </c>
    </row>
    <row r="798" spans="1:2" x14ac:dyDescent="0.25">
      <c r="A798" t="s">
        <v>315</v>
      </c>
      <c r="B798" t="s">
        <v>609</v>
      </c>
    </row>
    <row r="799" spans="1:2" x14ac:dyDescent="0.25">
      <c r="A799" t="s">
        <v>162</v>
      </c>
      <c r="B799" t="s">
        <v>155</v>
      </c>
    </row>
    <row r="800" spans="1:2" x14ac:dyDescent="0.25">
      <c r="A800" t="s">
        <v>174</v>
      </c>
      <c r="B800" t="s">
        <v>190</v>
      </c>
    </row>
    <row r="801" spans="1:2" x14ac:dyDescent="0.25">
      <c r="A801" t="s">
        <v>194</v>
      </c>
      <c r="B801" t="s">
        <v>208</v>
      </c>
    </row>
    <row r="802" spans="1:2" x14ac:dyDescent="0.25">
      <c r="A802" t="s">
        <v>778</v>
      </c>
      <c r="B802" t="s">
        <v>241</v>
      </c>
    </row>
    <row r="803" spans="1:2" x14ac:dyDescent="0.25">
      <c r="A803" t="s">
        <v>11</v>
      </c>
      <c r="B803" t="s">
        <v>860</v>
      </c>
    </row>
    <row r="804" spans="1:2" x14ac:dyDescent="0.25">
      <c r="A804" t="s">
        <v>12</v>
      </c>
      <c r="B804" t="s">
        <v>910</v>
      </c>
    </row>
    <row r="805" spans="1:2" x14ac:dyDescent="0.25">
      <c r="A805" t="s">
        <v>248</v>
      </c>
      <c r="B805" t="s">
        <v>261</v>
      </c>
    </row>
    <row r="806" spans="1:2" x14ac:dyDescent="0.25">
      <c r="A806" t="s">
        <v>795</v>
      </c>
      <c r="B806" t="s">
        <v>304</v>
      </c>
    </row>
    <row r="807" spans="1:2" x14ac:dyDescent="0.25">
      <c r="A807" t="s">
        <v>21</v>
      </c>
      <c r="B807" t="s">
        <v>304</v>
      </c>
    </row>
    <row r="808" spans="1:2" x14ac:dyDescent="0.25">
      <c r="A808" t="s">
        <v>322</v>
      </c>
      <c r="B808" t="s">
        <v>333</v>
      </c>
    </row>
    <row r="809" spans="1:2" x14ac:dyDescent="0.25">
      <c r="A809" t="s">
        <v>782</v>
      </c>
      <c r="B809" t="s">
        <v>389</v>
      </c>
    </row>
    <row r="810" spans="1:2" x14ac:dyDescent="0.25">
      <c r="A810" t="s">
        <v>797</v>
      </c>
      <c r="B810" t="s">
        <v>288</v>
      </c>
    </row>
    <row r="811" spans="1:2" x14ac:dyDescent="0.25">
      <c r="A811" t="s">
        <v>800</v>
      </c>
      <c r="B811" t="s">
        <v>527</v>
      </c>
    </row>
    <row r="812" spans="1:2" x14ac:dyDescent="0.25">
      <c r="A812" t="s">
        <v>580</v>
      </c>
      <c r="B812" t="s">
        <v>588</v>
      </c>
    </row>
    <row r="813" spans="1:2" x14ac:dyDescent="0.25">
      <c r="A813" t="s">
        <v>162</v>
      </c>
      <c r="B813" t="s">
        <v>156</v>
      </c>
    </row>
    <row r="814" spans="1:2" x14ac:dyDescent="0.25">
      <c r="A814" t="s">
        <v>174</v>
      </c>
      <c r="B814" t="s">
        <v>816</v>
      </c>
    </row>
    <row r="815" spans="1:2" x14ac:dyDescent="0.25">
      <c r="A815" t="s">
        <v>194</v>
      </c>
      <c r="B815" t="s">
        <v>641</v>
      </c>
    </row>
    <row r="816" spans="1:2" x14ac:dyDescent="0.25">
      <c r="A816" t="s">
        <v>778</v>
      </c>
      <c r="B816" t="s">
        <v>242</v>
      </c>
    </row>
    <row r="817" spans="1:2" x14ac:dyDescent="0.25">
      <c r="A817" t="s">
        <v>11</v>
      </c>
      <c r="B817" t="s">
        <v>861</v>
      </c>
    </row>
    <row r="818" spans="1:2" x14ac:dyDescent="0.25">
      <c r="A818" t="s">
        <v>12</v>
      </c>
      <c r="B818" t="s">
        <v>904</v>
      </c>
    </row>
    <row r="819" spans="1:2" x14ac:dyDescent="0.25">
      <c r="A819" t="s">
        <v>248</v>
      </c>
      <c r="B819" t="s">
        <v>262</v>
      </c>
    </row>
    <row r="820" spans="1:2" x14ac:dyDescent="0.25">
      <c r="A820" t="s">
        <v>795</v>
      </c>
      <c r="B820" t="s">
        <v>951</v>
      </c>
    </row>
    <row r="821" spans="1:2" x14ac:dyDescent="0.25">
      <c r="A821" t="s">
        <v>21</v>
      </c>
      <c r="B821" t="s">
        <v>951</v>
      </c>
    </row>
    <row r="822" spans="1:2" x14ac:dyDescent="0.25">
      <c r="A822" t="s">
        <v>322</v>
      </c>
      <c r="B822" t="s">
        <v>659</v>
      </c>
    </row>
    <row r="823" spans="1:2" x14ac:dyDescent="0.25">
      <c r="A823" t="s">
        <v>782</v>
      </c>
      <c r="B823" t="s">
        <v>360</v>
      </c>
    </row>
    <row r="824" spans="1:2" x14ac:dyDescent="0.25">
      <c r="A824" t="s">
        <v>797</v>
      </c>
      <c r="B824" t="s">
        <v>427</v>
      </c>
    </row>
    <row r="825" spans="1:2" x14ac:dyDescent="0.25">
      <c r="A825" t="s">
        <v>800</v>
      </c>
      <c r="B825" t="s">
        <v>528</v>
      </c>
    </row>
    <row r="826" spans="1:2" x14ac:dyDescent="0.25">
      <c r="A826" t="s">
        <v>580</v>
      </c>
      <c r="B826" t="s">
        <v>665</v>
      </c>
    </row>
    <row r="827" spans="1:2" x14ac:dyDescent="0.25">
      <c r="A827" t="s">
        <v>162</v>
      </c>
      <c r="B827" t="s">
        <v>157</v>
      </c>
    </row>
    <row r="828" spans="1:2" x14ac:dyDescent="0.25">
      <c r="A828" t="s">
        <v>174</v>
      </c>
      <c r="B828" t="s">
        <v>312</v>
      </c>
    </row>
    <row r="829" spans="1:2" x14ac:dyDescent="0.25">
      <c r="A829" t="s">
        <v>194</v>
      </c>
      <c r="B829" t="s">
        <v>840</v>
      </c>
    </row>
    <row r="830" spans="1:2" x14ac:dyDescent="0.25">
      <c r="A830" t="s">
        <v>778</v>
      </c>
      <c r="B830" t="s">
        <v>243</v>
      </c>
    </row>
    <row r="831" spans="1:2" x14ac:dyDescent="0.25">
      <c r="A831" t="s">
        <v>11</v>
      </c>
      <c r="B831" t="s">
        <v>679</v>
      </c>
    </row>
    <row r="832" spans="1:2" x14ac:dyDescent="0.25">
      <c r="A832" t="s">
        <v>12</v>
      </c>
      <c r="B832" t="s">
        <v>905</v>
      </c>
    </row>
    <row r="833" spans="1:2" x14ac:dyDescent="0.25">
      <c r="A833" t="s">
        <v>248</v>
      </c>
      <c r="B833" t="s">
        <v>938</v>
      </c>
    </row>
    <row r="834" spans="1:2" x14ac:dyDescent="0.25">
      <c r="A834" t="s">
        <v>795</v>
      </c>
      <c r="B834" t="s">
        <v>952</v>
      </c>
    </row>
    <row r="835" spans="1:2" x14ac:dyDescent="0.25">
      <c r="A835" t="s">
        <v>21</v>
      </c>
      <c r="B835" t="s">
        <v>952</v>
      </c>
    </row>
    <row r="836" spans="1:2" x14ac:dyDescent="0.25">
      <c r="A836" t="s">
        <v>322</v>
      </c>
      <c r="B836" t="s">
        <v>660</v>
      </c>
    </row>
    <row r="837" spans="1:2" x14ac:dyDescent="0.25">
      <c r="A837" t="s">
        <v>782</v>
      </c>
      <c r="B837" t="s">
        <v>404</v>
      </c>
    </row>
    <row r="838" spans="1:2" x14ac:dyDescent="0.25">
      <c r="A838" t="s">
        <v>797</v>
      </c>
      <c r="B838" t="s">
        <v>429</v>
      </c>
    </row>
    <row r="839" spans="1:2" x14ac:dyDescent="0.25">
      <c r="A839" t="s">
        <v>800</v>
      </c>
      <c r="B839" t="s">
        <v>529</v>
      </c>
    </row>
    <row r="840" spans="1:2" x14ac:dyDescent="0.25">
      <c r="A840" t="s">
        <v>580</v>
      </c>
      <c r="B840" t="s">
        <v>711</v>
      </c>
    </row>
    <row r="841" spans="1:2" x14ac:dyDescent="0.25">
      <c r="A841" t="s">
        <v>162</v>
      </c>
      <c r="B841" t="s">
        <v>158</v>
      </c>
    </row>
    <row r="842" spans="1:2" x14ac:dyDescent="0.25">
      <c r="A842" t="s">
        <v>174</v>
      </c>
      <c r="B842" t="s">
        <v>511</v>
      </c>
    </row>
    <row r="843" spans="1:2" x14ac:dyDescent="0.25">
      <c r="A843" t="s">
        <v>778</v>
      </c>
      <c r="B843" t="s">
        <v>658</v>
      </c>
    </row>
    <row r="844" spans="1:2" x14ac:dyDescent="0.25">
      <c r="A844" t="s">
        <v>11</v>
      </c>
      <c r="B844" t="s">
        <v>862</v>
      </c>
    </row>
    <row r="845" spans="1:2" x14ac:dyDescent="0.25">
      <c r="A845" t="s">
        <v>12</v>
      </c>
      <c r="B845" t="s">
        <v>629</v>
      </c>
    </row>
    <row r="846" spans="1:2" x14ac:dyDescent="0.25">
      <c r="A846" t="s">
        <v>248</v>
      </c>
      <c r="B846" t="s">
        <v>939</v>
      </c>
    </row>
    <row r="847" spans="1:2" x14ac:dyDescent="0.25">
      <c r="A847" t="s">
        <v>795</v>
      </c>
      <c r="B847" t="s">
        <v>305</v>
      </c>
    </row>
    <row r="848" spans="1:2" x14ac:dyDescent="0.25">
      <c r="A848" t="s">
        <v>21</v>
      </c>
      <c r="B848" t="s">
        <v>305</v>
      </c>
    </row>
    <row r="849" spans="1:2" x14ac:dyDescent="0.25">
      <c r="A849" t="s">
        <v>322</v>
      </c>
      <c r="B849" t="s">
        <v>698</v>
      </c>
    </row>
    <row r="850" spans="1:2" x14ac:dyDescent="0.25">
      <c r="A850" t="s">
        <v>782</v>
      </c>
      <c r="B850" t="s">
        <v>361</v>
      </c>
    </row>
    <row r="851" spans="1:2" x14ac:dyDescent="0.25">
      <c r="A851" t="s">
        <v>797</v>
      </c>
      <c r="B851" t="s">
        <v>431</v>
      </c>
    </row>
    <row r="852" spans="1:2" x14ac:dyDescent="0.25">
      <c r="A852" t="s">
        <v>800</v>
      </c>
      <c r="B852" t="s">
        <v>530</v>
      </c>
    </row>
    <row r="853" spans="1:2" x14ac:dyDescent="0.25">
      <c r="A853" t="s">
        <v>580</v>
      </c>
      <c r="B853" t="s">
        <v>712</v>
      </c>
    </row>
    <row r="854" spans="1:2" x14ac:dyDescent="0.25">
      <c r="A854" t="s">
        <v>162</v>
      </c>
      <c r="B854" t="s">
        <v>159</v>
      </c>
    </row>
    <row r="855" spans="1:2" x14ac:dyDescent="0.25">
      <c r="A855" t="s">
        <v>174</v>
      </c>
      <c r="B855" t="s">
        <v>191</v>
      </c>
    </row>
    <row r="856" spans="1:2" x14ac:dyDescent="0.25">
      <c r="A856" t="s">
        <v>778</v>
      </c>
      <c r="B856" t="s">
        <v>675</v>
      </c>
    </row>
    <row r="857" spans="1:2" x14ac:dyDescent="0.25">
      <c r="A857" t="s">
        <v>11</v>
      </c>
      <c r="B857" t="s">
        <v>863</v>
      </c>
    </row>
    <row r="858" spans="1:2" x14ac:dyDescent="0.25">
      <c r="A858" t="s">
        <v>12</v>
      </c>
      <c r="B858" t="s">
        <v>906</v>
      </c>
    </row>
    <row r="859" spans="1:2" x14ac:dyDescent="0.25">
      <c r="A859" t="s">
        <v>248</v>
      </c>
      <c r="B859" t="s">
        <v>940</v>
      </c>
    </row>
    <row r="860" spans="1:2" x14ac:dyDescent="0.25">
      <c r="A860" t="s">
        <v>795</v>
      </c>
      <c r="B860" t="s">
        <v>771</v>
      </c>
    </row>
    <row r="861" spans="1:2" x14ac:dyDescent="0.25">
      <c r="A861" t="s">
        <v>21</v>
      </c>
      <c r="B861" t="s">
        <v>771</v>
      </c>
    </row>
    <row r="862" spans="1:2" x14ac:dyDescent="0.25">
      <c r="A862" t="s">
        <v>322</v>
      </c>
      <c r="B862" t="s">
        <v>699</v>
      </c>
    </row>
    <row r="863" spans="1:2" x14ac:dyDescent="0.25">
      <c r="A863" t="s">
        <v>782</v>
      </c>
      <c r="B863" t="s">
        <v>638</v>
      </c>
    </row>
    <row r="864" spans="1:2" x14ac:dyDescent="0.25">
      <c r="A864" t="s">
        <v>797</v>
      </c>
      <c r="B864" t="s">
        <v>416</v>
      </c>
    </row>
    <row r="865" spans="1:2" x14ac:dyDescent="0.25">
      <c r="A865" t="s">
        <v>800</v>
      </c>
      <c r="B865" t="s">
        <v>531</v>
      </c>
    </row>
    <row r="866" spans="1:2" x14ac:dyDescent="0.25">
      <c r="A866" t="s">
        <v>162</v>
      </c>
      <c r="B866" t="s">
        <v>160</v>
      </c>
    </row>
    <row r="867" spans="1:2" x14ac:dyDescent="0.25">
      <c r="A867" t="s">
        <v>174</v>
      </c>
      <c r="B867" t="s">
        <v>620</v>
      </c>
    </row>
    <row r="868" spans="1:2" x14ac:dyDescent="0.25">
      <c r="A868" t="s">
        <v>778</v>
      </c>
      <c r="B868" t="s">
        <v>627</v>
      </c>
    </row>
    <row r="869" spans="1:2" x14ac:dyDescent="0.25">
      <c r="A869" t="s">
        <v>11</v>
      </c>
      <c r="B869" t="s">
        <v>864</v>
      </c>
    </row>
    <row r="870" spans="1:2" x14ac:dyDescent="0.25">
      <c r="A870" t="s">
        <v>12</v>
      </c>
      <c r="B870" t="s">
        <v>907</v>
      </c>
    </row>
    <row r="871" spans="1:2" x14ac:dyDescent="0.25">
      <c r="A871" t="s">
        <v>248</v>
      </c>
      <c r="B871" t="s">
        <v>263</v>
      </c>
    </row>
    <row r="872" spans="1:2" x14ac:dyDescent="0.25">
      <c r="A872" t="s">
        <v>795</v>
      </c>
      <c r="B872" t="s">
        <v>811</v>
      </c>
    </row>
    <row r="873" spans="1:2" x14ac:dyDescent="0.25">
      <c r="A873" t="s">
        <v>21</v>
      </c>
      <c r="B873" t="s">
        <v>811</v>
      </c>
    </row>
    <row r="874" spans="1:2" x14ac:dyDescent="0.25">
      <c r="A874" t="s">
        <v>782</v>
      </c>
      <c r="B874" t="s">
        <v>475</v>
      </c>
    </row>
    <row r="875" spans="1:2" x14ac:dyDescent="0.25">
      <c r="A875" t="s">
        <v>797</v>
      </c>
      <c r="B875" t="s">
        <v>417</v>
      </c>
    </row>
    <row r="876" spans="1:2" x14ac:dyDescent="0.25">
      <c r="A876" t="s">
        <v>800</v>
      </c>
      <c r="B876" t="s">
        <v>532</v>
      </c>
    </row>
    <row r="877" spans="1:2" x14ac:dyDescent="0.25">
      <c r="A877" t="s">
        <v>162</v>
      </c>
      <c r="B877" t="s">
        <v>161</v>
      </c>
    </row>
    <row r="878" spans="1:2" x14ac:dyDescent="0.25">
      <c r="A878" t="s">
        <v>174</v>
      </c>
      <c r="B878" t="s">
        <v>648</v>
      </c>
    </row>
    <row r="879" spans="1:2" x14ac:dyDescent="0.25">
      <c r="A879" t="s">
        <v>778</v>
      </c>
      <c r="B879" t="s">
        <v>676</v>
      </c>
    </row>
    <row r="880" spans="1:2" x14ac:dyDescent="0.25">
      <c r="A880" t="s">
        <v>11</v>
      </c>
      <c r="B880" t="s">
        <v>865</v>
      </c>
    </row>
    <row r="881" spans="1:2" x14ac:dyDescent="0.25">
      <c r="A881" t="s">
        <v>12</v>
      </c>
      <c r="B881" t="s">
        <v>908</v>
      </c>
    </row>
    <row r="882" spans="1:2" x14ac:dyDescent="0.25">
      <c r="A882" t="s">
        <v>248</v>
      </c>
      <c r="B882" t="s">
        <v>649</v>
      </c>
    </row>
    <row r="883" spans="1:2" x14ac:dyDescent="0.25">
      <c r="A883" t="s">
        <v>795</v>
      </c>
      <c r="B883" t="s">
        <v>953</v>
      </c>
    </row>
    <row r="884" spans="1:2" x14ac:dyDescent="0.25">
      <c r="A884" t="s">
        <v>21</v>
      </c>
      <c r="B884" t="s">
        <v>953</v>
      </c>
    </row>
    <row r="885" spans="1:2" x14ac:dyDescent="0.25">
      <c r="A885" t="s">
        <v>782</v>
      </c>
      <c r="B885" t="s">
        <v>476</v>
      </c>
    </row>
    <row r="886" spans="1:2" x14ac:dyDescent="0.25">
      <c r="A886" t="s">
        <v>797</v>
      </c>
      <c r="B886" t="s">
        <v>418</v>
      </c>
    </row>
    <row r="887" spans="1:2" x14ac:dyDescent="0.25">
      <c r="A887" t="s">
        <v>800</v>
      </c>
      <c r="B887" t="s">
        <v>533</v>
      </c>
    </row>
    <row r="888" spans="1:2" x14ac:dyDescent="0.25">
      <c r="A888" t="s">
        <v>162</v>
      </c>
      <c r="B888" t="s">
        <v>162</v>
      </c>
    </row>
    <row r="889" spans="1:2" x14ac:dyDescent="0.25">
      <c r="A889" t="s">
        <v>174</v>
      </c>
      <c r="B889" t="s">
        <v>766</v>
      </c>
    </row>
    <row r="890" spans="1:2" x14ac:dyDescent="0.25">
      <c r="A890" t="s">
        <v>778</v>
      </c>
      <c r="B890" t="s">
        <v>677</v>
      </c>
    </row>
    <row r="891" spans="1:2" x14ac:dyDescent="0.25">
      <c r="A891" t="s">
        <v>11</v>
      </c>
      <c r="B891" t="s">
        <v>866</v>
      </c>
    </row>
    <row r="892" spans="1:2" x14ac:dyDescent="0.25">
      <c r="A892" t="s">
        <v>12</v>
      </c>
      <c r="B892" t="s">
        <v>911</v>
      </c>
    </row>
    <row r="893" spans="1:2" x14ac:dyDescent="0.25">
      <c r="A893" t="s">
        <v>248</v>
      </c>
      <c r="B893" t="s">
        <v>650</v>
      </c>
    </row>
    <row r="894" spans="1:2" x14ac:dyDescent="0.25">
      <c r="A894" t="s">
        <v>795</v>
      </c>
      <c r="B894" t="s">
        <v>694</v>
      </c>
    </row>
    <row r="895" spans="1:2" x14ac:dyDescent="0.25">
      <c r="A895" t="s">
        <v>21</v>
      </c>
      <c r="B895" t="s">
        <v>694</v>
      </c>
    </row>
    <row r="896" spans="1:2" x14ac:dyDescent="0.25">
      <c r="A896" t="s">
        <v>782</v>
      </c>
      <c r="B896" t="s">
        <v>477</v>
      </c>
    </row>
    <row r="897" spans="1:2" x14ac:dyDescent="0.25">
      <c r="A897" t="s">
        <v>797</v>
      </c>
      <c r="B897" t="s">
        <v>419</v>
      </c>
    </row>
    <row r="898" spans="1:2" x14ac:dyDescent="0.25">
      <c r="A898" t="s">
        <v>800</v>
      </c>
      <c r="B898" t="s">
        <v>534</v>
      </c>
    </row>
    <row r="899" spans="1:2" x14ac:dyDescent="0.25">
      <c r="A899" t="s">
        <v>162</v>
      </c>
      <c r="B899" t="s">
        <v>163</v>
      </c>
    </row>
    <row r="900" spans="1:2" x14ac:dyDescent="0.25">
      <c r="A900" t="s">
        <v>174</v>
      </c>
      <c r="B900" t="s">
        <v>725</v>
      </c>
    </row>
    <row r="901" spans="1:2" x14ac:dyDescent="0.25">
      <c r="A901" t="s">
        <v>778</v>
      </c>
      <c r="B901" t="s">
        <v>678</v>
      </c>
    </row>
    <row r="902" spans="1:2" x14ac:dyDescent="0.25">
      <c r="A902" t="s">
        <v>11</v>
      </c>
      <c r="B902" t="s">
        <v>867</v>
      </c>
    </row>
    <row r="903" spans="1:2" x14ac:dyDescent="0.25">
      <c r="A903" t="s">
        <v>12</v>
      </c>
      <c r="B903" t="s">
        <v>912</v>
      </c>
    </row>
    <row r="904" spans="1:2" x14ac:dyDescent="0.25">
      <c r="A904" t="s">
        <v>248</v>
      </c>
      <c r="B904" t="s">
        <v>941</v>
      </c>
    </row>
    <row r="905" spans="1:2" x14ac:dyDescent="0.25">
      <c r="A905" t="s">
        <v>782</v>
      </c>
      <c r="B905" t="s">
        <v>478</v>
      </c>
    </row>
    <row r="906" spans="1:2" x14ac:dyDescent="0.25">
      <c r="A906" t="s">
        <v>797</v>
      </c>
      <c r="B906" t="s">
        <v>420</v>
      </c>
    </row>
    <row r="907" spans="1:2" x14ac:dyDescent="0.25">
      <c r="A907" t="s">
        <v>800</v>
      </c>
      <c r="B907" t="s">
        <v>535</v>
      </c>
    </row>
    <row r="908" spans="1:2" x14ac:dyDescent="0.25">
      <c r="A908" t="s">
        <v>162</v>
      </c>
      <c r="B908" t="s">
        <v>164</v>
      </c>
    </row>
    <row r="909" spans="1:2" x14ac:dyDescent="0.25">
      <c r="A909" t="s">
        <v>174</v>
      </c>
      <c r="B909" t="s">
        <v>671</v>
      </c>
    </row>
    <row r="910" spans="1:2" x14ac:dyDescent="0.25">
      <c r="A910" t="s">
        <v>11</v>
      </c>
      <c r="B910" t="s">
        <v>868</v>
      </c>
    </row>
    <row r="911" spans="1:2" x14ac:dyDescent="0.25">
      <c r="A911" t="s">
        <v>12</v>
      </c>
      <c r="B911" t="s">
        <v>913</v>
      </c>
    </row>
    <row r="912" spans="1:2" x14ac:dyDescent="0.25">
      <c r="A912" t="s">
        <v>248</v>
      </c>
      <c r="B912" t="s">
        <v>681</v>
      </c>
    </row>
    <row r="913" spans="1:2" x14ac:dyDescent="0.25">
      <c r="A913" t="s">
        <v>782</v>
      </c>
      <c r="B913" t="s">
        <v>729</v>
      </c>
    </row>
    <row r="914" spans="1:2" x14ac:dyDescent="0.25">
      <c r="A914" t="s">
        <v>797</v>
      </c>
      <c r="B914" t="s">
        <v>989</v>
      </c>
    </row>
    <row r="915" spans="1:2" x14ac:dyDescent="0.25">
      <c r="A915" t="s">
        <v>800</v>
      </c>
      <c r="B915" t="s">
        <v>536</v>
      </c>
    </row>
    <row r="916" spans="1:2" x14ac:dyDescent="0.25">
      <c r="A916" t="s">
        <v>162</v>
      </c>
      <c r="B916" t="s">
        <v>625</v>
      </c>
    </row>
    <row r="917" spans="1:2" x14ac:dyDescent="0.25">
      <c r="A917" t="s">
        <v>174</v>
      </c>
      <c r="B917" t="s">
        <v>672</v>
      </c>
    </row>
    <row r="918" spans="1:2" x14ac:dyDescent="0.25">
      <c r="A918" t="s">
        <v>11</v>
      </c>
      <c r="B918" t="s">
        <v>869</v>
      </c>
    </row>
    <row r="919" spans="1:2" x14ac:dyDescent="0.25">
      <c r="A919" t="s">
        <v>12</v>
      </c>
      <c r="B919" t="s">
        <v>914</v>
      </c>
    </row>
    <row r="920" spans="1:2" x14ac:dyDescent="0.25">
      <c r="A920" t="s">
        <v>248</v>
      </c>
      <c r="B920" t="s">
        <v>997</v>
      </c>
    </row>
    <row r="921" spans="1:2" x14ac:dyDescent="0.25">
      <c r="A921" t="s">
        <v>782</v>
      </c>
      <c r="B921" t="s">
        <v>730</v>
      </c>
    </row>
    <row r="922" spans="1:2" x14ac:dyDescent="0.25">
      <c r="A922" t="s">
        <v>797</v>
      </c>
      <c r="B922" t="s">
        <v>990</v>
      </c>
    </row>
    <row r="923" spans="1:2" x14ac:dyDescent="0.25">
      <c r="A923" t="s">
        <v>800</v>
      </c>
      <c r="B923" t="s">
        <v>537</v>
      </c>
    </row>
    <row r="924" spans="1:2" x14ac:dyDescent="0.25">
      <c r="A924" t="s">
        <v>162</v>
      </c>
      <c r="B924" t="s">
        <v>637</v>
      </c>
    </row>
    <row r="925" spans="1:2" x14ac:dyDescent="0.25">
      <c r="A925" t="s">
        <v>174</v>
      </c>
      <c r="B925" t="s">
        <v>837</v>
      </c>
    </row>
    <row r="926" spans="1:2" x14ac:dyDescent="0.25">
      <c r="A926" t="s">
        <v>11</v>
      </c>
      <c r="B926" t="s">
        <v>870</v>
      </c>
    </row>
    <row r="927" spans="1:2" x14ac:dyDescent="0.25">
      <c r="A927" t="s">
        <v>12</v>
      </c>
      <c r="B927" t="s">
        <v>915</v>
      </c>
    </row>
    <row r="928" spans="1:2" x14ac:dyDescent="0.25">
      <c r="A928" t="s">
        <v>248</v>
      </c>
      <c r="B928" t="s">
        <v>682</v>
      </c>
    </row>
    <row r="929" spans="1:2" x14ac:dyDescent="0.25">
      <c r="A929" t="s">
        <v>782</v>
      </c>
      <c r="B929" t="s">
        <v>457</v>
      </c>
    </row>
    <row r="930" spans="1:2" x14ac:dyDescent="0.25">
      <c r="A930" t="s">
        <v>797</v>
      </c>
      <c r="B930" t="s">
        <v>655</v>
      </c>
    </row>
    <row r="931" spans="1:2" x14ac:dyDescent="0.25">
      <c r="A931" t="s">
        <v>800</v>
      </c>
      <c r="B931" t="s">
        <v>538</v>
      </c>
    </row>
    <row r="932" spans="1:2" x14ac:dyDescent="0.25">
      <c r="A932" t="s">
        <v>162</v>
      </c>
      <c r="B932" t="s">
        <v>645</v>
      </c>
    </row>
    <row r="933" spans="1:2" x14ac:dyDescent="0.25">
      <c r="A933" t="s">
        <v>11</v>
      </c>
      <c r="B933" t="s">
        <v>871</v>
      </c>
    </row>
    <row r="934" spans="1:2" x14ac:dyDescent="0.25">
      <c r="A934" t="s">
        <v>12</v>
      </c>
      <c r="B934" t="s">
        <v>916</v>
      </c>
    </row>
    <row r="935" spans="1:2" x14ac:dyDescent="0.25">
      <c r="A935" t="s">
        <v>782</v>
      </c>
      <c r="B935" t="s">
        <v>459</v>
      </c>
    </row>
    <row r="936" spans="1:2" x14ac:dyDescent="0.25">
      <c r="A936" t="s">
        <v>797</v>
      </c>
      <c r="B936" t="s">
        <v>728</v>
      </c>
    </row>
    <row r="937" spans="1:2" x14ac:dyDescent="0.25">
      <c r="A937" t="s">
        <v>800</v>
      </c>
      <c r="B937" t="s">
        <v>539</v>
      </c>
    </row>
    <row r="938" spans="1:2" x14ac:dyDescent="0.25">
      <c r="A938" t="s">
        <v>162</v>
      </c>
      <c r="B938" t="s">
        <v>646</v>
      </c>
    </row>
    <row r="939" spans="1:2" x14ac:dyDescent="0.25">
      <c r="A939" t="s">
        <v>11</v>
      </c>
      <c r="B939" t="s">
        <v>872</v>
      </c>
    </row>
    <row r="940" spans="1:2" x14ac:dyDescent="0.25">
      <c r="A940" t="s">
        <v>12</v>
      </c>
      <c r="B940" t="s">
        <v>917</v>
      </c>
    </row>
    <row r="941" spans="1:2" x14ac:dyDescent="0.25">
      <c r="A941" t="s">
        <v>782</v>
      </c>
      <c r="B941" t="s">
        <v>101</v>
      </c>
    </row>
    <row r="942" spans="1:2" x14ac:dyDescent="0.25">
      <c r="A942" t="s">
        <v>797</v>
      </c>
      <c r="B942" t="s">
        <v>991</v>
      </c>
    </row>
    <row r="943" spans="1:2" x14ac:dyDescent="0.25">
      <c r="A943" t="s">
        <v>800</v>
      </c>
      <c r="B943" t="s">
        <v>540</v>
      </c>
    </row>
    <row r="944" spans="1:2" x14ac:dyDescent="0.25">
      <c r="A944" t="s">
        <v>162</v>
      </c>
      <c r="B944" t="s">
        <v>647</v>
      </c>
    </row>
    <row r="945" spans="1:2" x14ac:dyDescent="0.25">
      <c r="A945" t="s">
        <v>11</v>
      </c>
      <c r="B945" t="s">
        <v>1038</v>
      </c>
    </row>
    <row r="946" spans="1:2" x14ac:dyDescent="0.25">
      <c r="A946" t="s">
        <v>12</v>
      </c>
      <c r="B946" t="s">
        <v>918</v>
      </c>
    </row>
    <row r="947" spans="1:2" x14ac:dyDescent="0.25">
      <c r="A947" t="s">
        <v>782</v>
      </c>
      <c r="B947" t="s">
        <v>464</v>
      </c>
    </row>
    <row r="948" spans="1:2" x14ac:dyDescent="0.25">
      <c r="A948" t="s">
        <v>800</v>
      </c>
      <c r="B948" t="s">
        <v>541</v>
      </c>
    </row>
    <row r="949" spans="1:2" x14ac:dyDescent="0.25">
      <c r="A949" t="s">
        <v>162</v>
      </c>
      <c r="B949" t="s">
        <v>669</v>
      </c>
    </row>
    <row r="950" spans="1:2" x14ac:dyDescent="0.25">
      <c r="A950" t="s">
        <v>11</v>
      </c>
      <c r="B950" t="s">
        <v>873</v>
      </c>
    </row>
    <row r="951" spans="1:2" x14ac:dyDescent="0.25">
      <c r="A951" t="s">
        <v>12</v>
      </c>
      <c r="B951" t="s">
        <v>919</v>
      </c>
    </row>
    <row r="952" spans="1:2" x14ac:dyDescent="0.25">
      <c r="A952" t="s">
        <v>782</v>
      </c>
      <c r="B952" t="s">
        <v>731</v>
      </c>
    </row>
    <row r="953" spans="1:2" x14ac:dyDescent="0.25">
      <c r="A953" t="s">
        <v>800</v>
      </c>
      <c r="B953" t="s">
        <v>542</v>
      </c>
    </row>
    <row r="954" spans="1:2" x14ac:dyDescent="0.25">
      <c r="A954" t="s">
        <v>11</v>
      </c>
      <c r="B954" t="s">
        <v>874</v>
      </c>
    </row>
    <row r="955" spans="1:2" x14ac:dyDescent="0.25">
      <c r="A955" t="s">
        <v>12</v>
      </c>
      <c r="B955" t="s">
        <v>920</v>
      </c>
    </row>
    <row r="956" spans="1:2" x14ac:dyDescent="0.25">
      <c r="A956" t="s">
        <v>782</v>
      </c>
      <c r="B956" t="s">
        <v>732</v>
      </c>
    </row>
    <row r="957" spans="1:2" x14ac:dyDescent="0.25">
      <c r="A957" t="s">
        <v>800</v>
      </c>
      <c r="B957" t="s">
        <v>772</v>
      </c>
    </row>
    <row r="958" spans="1:2" x14ac:dyDescent="0.25">
      <c r="A958" t="s">
        <v>11</v>
      </c>
      <c r="B958" t="s">
        <v>875</v>
      </c>
    </row>
    <row r="959" spans="1:2" x14ac:dyDescent="0.25">
      <c r="A959" t="s">
        <v>12</v>
      </c>
      <c r="B959" t="s">
        <v>921</v>
      </c>
    </row>
    <row r="960" spans="1:2" x14ac:dyDescent="0.25">
      <c r="A960" t="s">
        <v>782</v>
      </c>
      <c r="B960" t="s">
        <v>733</v>
      </c>
    </row>
    <row r="961" spans="1:2" x14ac:dyDescent="0.25">
      <c r="A961" t="s">
        <v>800</v>
      </c>
      <c r="B961" t="s">
        <v>643</v>
      </c>
    </row>
    <row r="962" spans="1:2" x14ac:dyDescent="0.25">
      <c r="A962" t="s">
        <v>11</v>
      </c>
      <c r="B962" t="s">
        <v>876</v>
      </c>
    </row>
    <row r="963" spans="1:2" x14ac:dyDescent="0.25">
      <c r="A963" t="s">
        <v>12</v>
      </c>
      <c r="B963" t="s">
        <v>922</v>
      </c>
    </row>
    <row r="964" spans="1:2" x14ac:dyDescent="0.25">
      <c r="A964" t="s">
        <v>800</v>
      </c>
      <c r="B964" t="s">
        <v>663</v>
      </c>
    </row>
    <row r="965" spans="1:2" x14ac:dyDescent="0.25">
      <c r="A965" t="s">
        <v>11</v>
      </c>
      <c r="B965" t="s">
        <v>877</v>
      </c>
    </row>
    <row r="966" spans="1:2" x14ac:dyDescent="0.25">
      <c r="A966" t="s">
        <v>12</v>
      </c>
      <c r="B966" t="s">
        <v>923</v>
      </c>
    </row>
    <row r="967" spans="1:2" x14ac:dyDescent="0.25">
      <c r="A967" t="s">
        <v>800</v>
      </c>
      <c r="B967" t="s">
        <v>664</v>
      </c>
    </row>
    <row r="968" spans="1:2" x14ac:dyDescent="0.25">
      <c r="A968" t="s">
        <v>11</v>
      </c>
      <c r="B968" t="s">
        <v>878</v>
      </c>
    </row>
    <row r="969" spans="1:2" x14ac:dyDescent="0.25">
      <c r="A969" t="s">
        <v>12</v>
      </c>
      <c r="B969" t="s">
        <v>924</v>
      </c>
    </row>
    <row r="970" spans="1:2" x14ac:dyDescent="0.25">
      <c r="A970" t="s">
        <v>11</v>
      </c>
      <c r="B970" t="s">
        <v>879</v>
      </c>
    </row>
    <row r="971" spans="1:2" x14ac:dyDescent="0.25">
      <c r="A971" t="s">
        <v>12</v>
      </c>
      <c r="B971" t="s">
        <v>925</v>
      </c>
    </row>
    <row r="972" spans="1:2" x14ac:dyDescent="0.25">
      <c r="A972" t="s">
        <v>11</v>
      </c>
      <c r="B972" t="s">
        <v>880</v>
      </c>
    </row>
    <row r="973" spans="1:2" x14ac:dyDescent="0.25">
      <c r="A973" t="s">
        <v>12</v>
      </c>
      <c r="B973" t="s">
        <v>926</v>
      </c>
    </row>
    <row r="974" spans="1:2" x14ac:dyDescent="0.25">
      <c r="A974" t="s">
        <v>11</v>
      </c>
      <c r="B974" t="s">
        <v>881</v>
      </c>
    </row>
    <row r="975" spans="1:2" x14ac:dyDescent="0.25">
      <c r="A975" t="s">
        <v>12</v>
      </c>
      <c r="B975" t="s">
        <v>1039</v>
      </c>
    </row>
    <row r="976" spans="1:2" x14ac:dyDescent="0.25">
      <c r="A976" t="s">
        <v>11</v>
      </c>
      <c r="B976" t="s">
        <v>882</v>
      </c>
    </row>
    <row r="977" spans="1:2" x14ac:dyDescent="0.25">
      <c r="A977" t="s">
        <v>12</v>
      </c>
      <c r="B977" t="s">
        <v>927</v>
      </c>
    </row>
    <row r="978" spans="1:2" x14ac:dyDescent="0.25">
      <c r="A978" t="s">
        <v>11</v>
      </c>
      <c r="B978" t="s">
        <v>883</v>
      </c>
    </row>
    <row r="979" spans="1:2" x14ac:dyDescent="0.25">
      <c r="A979" t="s">
        <v>12</v>
      </c>
      <c r="B979" t="s">
        <v>928</v>
      </c>
    </row>
    <row r="980" spans="1:2" x14ac:dyDescent="0.25">
      <c r="A980" t="s">
        <v>11</v>
      </c>
      <c r="B980" t="s">
        <v>884</v>
      </c>
    </row>
    <row r="981" spans="1:2" x14ac:dyDescent="0.25">
      <c r="A981" t="s">
        <v>12</v>
      </c>
      <c r="B981" t="s">
        <v>929</v>
      </c>
    </row>
    <row r="982" spans="1:2" x14ac:dyDescent="0.25">
      <c r="A982" t="s">
        <v>11</v>
      </c>
      <c r="B982" t="s">
        <v>885</v>
      </c>
    </row>
    <row r="983" spans="1:2" x14ac:dyDescent="0.25">
      <c r="A983" t="s">
        <v>12</v>
      </c>
      <c r="B983" t="s">
        <v>930</v>
      </c>
    </row>
    <row r="984" spans="1:2" x14ac:dyDescent="0.25">
      <c r="A984" t="s">
        <v>11</v>
      </c>
      <c r="B984" t="s">
        <v>1040</v>
      </c>
    </row>
    <row r="985" spans="1:2" x14ac:dyDescent="0.25">
      <c r="A985" t="s">
        <v>12</v>
      </c>
      <c r="B985" t="s">
        <v>931</v>
      </c>
    </row>
    <row r="986" spans="1:2" x14ac:dyDescent="0.25">
      <c r="A986" t="s">
        <v>11</v>
      </c>
      <c r="B986" t="s">
        <v>886</v>
      </c>
    </row>
    <row r="987" spans="1:2" x14ac:dyDescent="0.25">
      <c r="A987" t="s">
        <v>12</v>
      </c>
      <c r="B987" t="s">
        <v>932</v>
      </c>
    </row>
    <row r="988" spans="1:2" x14ac:dyDescent="0.25">
      <c r="A988" t="s">
        <v>11</v>
      </c>
      <c r="B988" t="s">
        <v>887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ED441-FFAC-4F0E-B887-3807C3AE383B}">
  <sheetPr>
    <tabColor theme="0" tint="-0.499984740745262"/>
  </sheetPr>
  <dimension ref="A3:B73"/>
  <sheetViews>
    <sheetView workbookViewId="0">
      <selection activeCell="A30" sqref="A30:B30"/>
    </sheetView>
  </sheetViews>
  <sheetFormatPr defaultRowHeight="15" x14ac:dyDescent="0.25"/>
  <cols>
    <col min="1" max="1" width="37.140625" bestFit="1" customWidth="1"/>
    <col min="2" max="2" width="14.85546875" bestFit="1" customWidth="1"/>
  </cols>
  <sheetData>
    <row r="3" spans="1:2" x14ac:dyDescent="0.25">
      <c r="A3" s="5" t="s">
        <v>806</v>
      </c>
      <c r="B3" t="s">
        <v>1125</v>
      </c>
    </row>
    <row r="4" spans="1:2" x14ac:dyDescent="0.25">
      <c r="A4" s="6"/>
      <c r="B4">
        <v>878</v>
      </c>
    </row>
    <row r="5" spans="1:2" x14ac:dyDescent="0.25">
      <c r="A5" s="6" t="s">
        <v>786</v>
      </c>
      <c r="B5">
        <v>6</v>
      </c>
    </row>
    <row r="6" spans="1:2" x14ac:dyDescent="0.25">
      <c r="A6" s="6" t="s">
        <v>115</v>
      </c>
      <c r="B6">
        <v>5</v>
      </c>
    </row>
    <row r="7" spans="1:2" x14ac:dyDescent="0.25">
      <c r="A7" s="6" t="s">
        <v>162</v>
      </c>
      <c r="B7">
        <v>3</v>
      </c>
    </row>
    <row r="8" spans="1:2" x14ac:dyDescent="0.25">
      <c r="A8" s="6" t="s">
        <v>752</v>
      </c>
      <c r="B8">
        <v>3</v>
      </c>
    </row>
    <row r="9" spans="1:2" x14ac:dyDescent="0.25">
      <c r="A9" s="6" t="s">
        <v>174</v>
      </c>
      <c r="B9">
        <v>5</v>
      </c>
    </row>
    <row r="10" spans="1:2" x14ac:dyDescent="0.25">
      <c r="A10" s="6" t="s">
        <v>194</v>
      </c>
      <c r="B10">
        <v>8</v>
      </c>
    </row>
    <row r="11" spans="1:2" x14ac:dyDescent="0.25">
      <c r="A11" s="6" t="s">
        <v>9</v>
      </c>
      <c r="B11">
        <v>3</v>
      </c>
    </row>
    <row r="12" spans="1:2" x14ac:dyDescent="0.25">
      <c r="A12" s="6" t="s">
        <v>125</v>
      </c>
      <c r="B12">
        <v>2</v>
      </c>
    </row>
    <row r="13" spans="1:2" x14ac:dyDescent="0.25">
      <c r="A13" s="6" t="s">
        <v>66</v>
      </c>
      <c r="B13">
        <v>5</v>
      </c>
    </row>
    <row r="14" spans="1:2" x14ac:dyDescent="0.25">
      <c r="A14" s="6" t="s">
        <v>209</v>
      </c>
      <c r="B14">
        <v>3</v>
      </c>
    </row>
    <row r="15" spans="1:2" x14ac:dyDescent="0.25">
      <c r="A15" s="6" t="s">
        <v>778</v>
      </c>
      <c r="B15">
        <v>10</v>
      </c>
    </row>
    <row r="16" spans="1:2" x14ac:dyDescent="0.25">
      <c r="A16" s="6" t="s">
        <v>12</v>
      </c>
      <c r="B16">
        <v>2</v>
      </c>
    </row>
    <row r="17" spans="1:2" x14ac:dyDescent="0.25">
      <c r="A17" s="6" t="s">
        <v>11</v>
      </c>
      <c r="B17">
        <v>2</v>
      </c>
    </row>
    <row r="18" spans="1:2" x14ac:dyDescent="0.25">
      <c r="A18" s="6" t="s">
        <v>779</v>
      </c>
      <c r="B18">
        <v>3</v>
      </c>
    </row>
    <row r="19" spans="1:2" x14ac:dyDescent="0.25">
      <c r="A19" s="6" t="s">
        <v>248</v>
      </c>
      <c r="B19">
        <v>3</v>
      </c>
    </row>
    <row r="20" spans="1:2" x14ac:dyDescent="0.25">
      <c r="A20" s="6" t="s">
        <v>268</v>
      </c>
      <c r="B20">
        <v>3</v>
      </c>
    </row>
    <row r="21" spans="1:2" x14ac:dyDescent="0.25">
      <c r="A21" s="6" t="s">
        <v>314</v>
      </c>
      <c r="B21">
        <v>5</v>
      </c>
    </row>
    <row r="22" spans="1:2" x14ac:dyDescent="0.25">
      <c r="A22" s="6" t="s">
        <v>787</v>
      </c>
      <c r="B22">
        <v>5</v>
      </c>
    </row>
    <row r="23" spans="1:2" x14ac:dyDescent="0.25">
      <c r="A23" s="6" t="s">
        <v>598</v>
      </c>
      <c r="B23">
        <v>4</v>
      </c>
    </row>
    <row r="24" spans="1:2" x14ac:dyDescent="0.25">
      <c r="A24" s="6" t="s">
        <v>22</v>
      </c>
      <c r="B24">
        <v>4</v>
      </c>
    </row>
    <row r="25" spans="1:2" x14ac:dyDescent="0.25">
      <c r="A25" s="6" t="s">
        <v>777</v>
      </c>
      <c r="B25">
        <v>7</v>
      </c>
    </row>
    <row r="26" spans="1:2" x14ac:dyDescent="0.25">
      <c r="A26" s="6" t="s">
        <v>788</v>
      </c>
      <c r="B26">
        <v>4</v>
      </c>
    </row>
    <row r="27" spans="1:2" x14ac:dyDescent="0.25">
      <c r="A27" s="6" t="s">
        <v>790</v>
      </c>
      <c r="B27">
        <v>3</v>
      </c>
    </row>
    <row r="28" spans="1:2" x14ac:dyDescent="0.25">
      <c r="A28" s="6" t="s">
        <v>322</v>
      </c>
      <c r="B28">
        <v>3</v>
      </c>
    </row>
    <row r="29" spans="1:2" x14ac:dyDescent="0.25">
      <c r="A29" s="6" t="s">
        <v>335</v>
      </c>
      <c r="B29">
        <v>3</v>
      </c>
    </row>
    <row r="30" spans="1:2" x14ac:dyDescent="0.25">
      <c r="A30" s="6" t="s">
        <v>1003</v>
      </c>
      <c r="B30">
        <v>12</v>
      </c>
    </row>
    <row r="31" spans="1:2" x14ac:dyDescent="0.25">
      <c r="A31" s="6" t="s">
        <v>76</v>
      </c>
      <c r="B31">
        <v>2</v>
      </c>
    </row>
    <row r="32" spans="1:2" x14ac:dyDescent="0.25">
      <c r="A32" s="6" t="s">
        <v>102</v>
      </c>
      <c r="B32">
        <v>3</v>
      </c>
    </row>
    <row r="33" spans="1:2" x14ac:dyDescent="0.25">
      <c r="A33" s="6" t="s">
        <v>835</v>
      </c>
      <c r="B33">
        <v>6</v>
      </c>
    </row>
    <row r="34" spans="1:2" x14ac:dyDescent="0.25">
      <c r="A34" s="6" t="s">
        <v>791</v>
      </c>
      <c r="B34">
        <v>5</v>
      </c>
    </row>
    <row r="35" spans="1:2" x14ac:dyDescent="0.25">
      <c r="A35" s="6" t="s">
        <v>71</v>
      </c>
      <c r="B35">
        <v>4</v>
      </c>
    </row>
    <row r="36" spans="1:2" x14ac:dyDescent="0.25">
      <c r="A36" s="6" t="s">
        <v>352</v>
      </c>
      <c r="B36">
        <v>5</v>
      </c>
    </row>
    <row r="37" spans="1:2" x14ac:dyDescent="0.25">
      <c r="A37" s="6" t="s">
        <v>363</v>
      </c>
      <c r="B37">
        <v>4</v>
      </c>
    </row>
    <row r="38" spans="1:2" x14ac:dyDescent="0.25">
      <c r="A38" s="6" t="s">
        <v>792</v>
      </c>
      <c r="B38">
        <v>4</v>
      </c>
    </row>
    <row r="39" spans="1:2" x14ac:dyDescent="0.25">
      <c r="A39" s="6" t="s">
        <v>793</v>
      </c>
      <c r="B39">
        <v>2</v>
      </c>
    </row>
    <row r="40" spans="1:2" x14ac:dyDescent="0.25">
      <c r="A40" s="6" t="s">
        <v>67</v>
      </c>
      <c r="B40">
        <v>4</v>
      </c>
    </row>
    <row r="41" spans="1:2" x14ac:dyDescent="0.25">
      <c r="A41" s="6" t="s">
        <v>794</v>
      </c>
      <c r="B41">
        <v>6</v>
      </c>
    </row>
    <row r="42" spans="1:2" x14ac:dyDescent="0.25">
      <c r="A42" s="6" t="s">
        <v>795</v>
      </c>
      <c r="B42">
        <v>3</v>
      </c>
    </row>
    <row r="43" spans="1:2" x14ac:dyDescent="0.25">
      <c r="A43" s="6" t="s">
        <v>796</v>
      </c>
      <c r="B43">
        <v>5</v>
      </c>
    </row>
    <row r="44" spans="1:2" x14ac:dyDescent="0.25">
      <c r="A44" s="6" t="s">
        <v>21</v>
      </c>
      <c r="B44">
        <v>3</v>
      </c>
    </row>
    <row r="45" spans="1:2" x14ac:dyDescent="0.25">
      <c r="A45" s="6" t="s">
        <v>782</v>
      </c>
      <c r="B45">
        <v>6</v>
      </c>
    </row>
    <row r="46" spans="1:2" x14ac:dyDescent="0.25">
      <c r="A46" s="6" t="s">
        <v>64</v>
      </c>
      <c r="B46">
        <v>4</v>
      </c>
    </row>
    <row r="47" spans="1:2" x14ac:dyDescent="0.25">
      <c r="A47" s="6" t="s">
        <v>481</v>
      </c>
      <c r="B47">
        <v>3</v>
      </c>
    </row>
    <row r="48" spans="1:2" x14ac:dyDescent="0.25">
      <c r="A48" s="6" t="s">
        <v>65</v>
      </c>
      <c r="B48">
        <v>6</v>
      </c>
    </row>
    <row r="49" spans="1:2" x14ac:dyDescent="0.25">
      <c r="A49" s="6" t="s">
        <v>306</v>
      </c>
      <c r="B49">
        <v>2</v>
      </c>
    </row>
    <row r="50" spans="1:2" x14ac:dyDescent="0.25">
      <c r="A50" s="6" t="s">
        <v>797</v>
      </c>
      <c r="B50">
        <v>10</v>
      </c>
    </row>
    <row r="51" spans="1:2" x14ac:dyDescent="0.25">
      <c r="A51" s="6" t="s">
        <v>798</v>
      </c>
      <c r="B51">
        <v>6</v>
      </c>
    </row>
    <row r="52" spans="1:2" x14ac:dyDescent="0.25">
      <c r="A52" s="6" t="s">
        <v>799</v>
      </c>
      <c r="B52">
        <v>12</v>
      </c>
    </row>
    <row r="53" spans="1:2" x14ac:dyDescent="0.25">
      <c r="A53" s="6" t="s">
        <v>387</v>
      </c>
      <c r="B53">
        <v>5</v>
      </c>
    </row>
    <row r="54" spans="1:2" x14ac:dyDescent="0.25">
      <c r="A54" s="6" t="s">
        <v>506</v>
      </c>
      <c r="B54">
        <v>5</v>
      </c>
    </row>
    <row r="55" spans="1:2" x14ac:dyDescent="0.25">
      <c r="A55" s="6" t="s">
        <v>401</v>
      </c>
      <c r="B55">
        <v>7</v>
      </c>
    </row>
    <row r="56" spans="1:2" x14ac:dyDescent="0.25">
      <c r="A56" s="6" t="s">
        <v>800</v>
      </c>
      <c r="B56">
        <v>3</v>
      </c>
    </row>
    <row r="57" spans="1:2" x14ac:dyDescent="0.25">
      <c r="A57" s="6" t="s">
        <v>801</v>
      </c>
      <c r="B57">
        <v>3</v>
      </c>
    </row>
    <row r="58" spans="1:2" x14ac:dyDescent="0.25">
      <c r="A58" s="6" t="s">
        <v>802</v>
      </c>
      <c r="B58">
        <v>3</v>
      </c>
    </row>
    <row r="59" spans="1:2" x14ac:dyDescent="0.25">
      <c r="A59" s="6" t="s">
        <v>803</v>
      </c>
      <c r="B59">
        <v>6</v>
      </c>
    </row>
    <row r="60" spans="1:2" x14ac:dyDescent="0.25">
      <c r="A60" s="6" t="s">
        <v>561</v>
      </c>
      <c r="B60">
        <v>6</v>
      </c>
    </row>
    <row r="61" spans="1:2" x14ac:dyDescent="0.25">
      <c r="A61" s="6" t="s">
        <v>568</v>
      </c>
      <c r="B61">
        <v>6</v>
      </c>
    </row>
    <row r="62" spans="1:2" x14ac:dyDescent="0.25">
      <c r="A62" s="6" t="s">
        <v>804</v>
      </c>
      <c r="B62">
        <v>7</v>
      </c>
    </row>
    <row r="63" spans="1:2" x14ac:dyDescent="0.25">
      <c r="A63" s="6" t="s">
        <v>68</v>
      </c>
      <c r="B63">
        <v>6</v>
      </c>
    </row>
    <row r="64" spans="1:2" x14ac:dyDescent="0.25">
      <c r="A64" s="6" t="s">
        <v>833</v>
      </c>
      <c r="B64">
        <v>7</v>
      </c>
    </row>
    <row r="65" spans="1:2" x14ac:dyDescent="0.25">
      <c r="A65" s="6" t="s">
        <v>580</v>
      </c>
      <c r="B65">
        <v>4</v>
      </c>
    </row>
    <row r="66" spans="1:2" x14ac:dyDescent="0.25">
      <c r="A66" s="6" t="s">
        <v>805</v>
      </c>
      <c r="B66">
        <v>1</v>
      </c>
    </row>
    <row r="67" spans="1:2" x14ac:dyDescent="0.25">
      <c r="A67" s="6" t="s">
        <v>88</v>
      </c>
      <c r="B67">
        <v>4</v>
      </c>
    </row>
    <row r="68" spans="1:2" x14ac:dyDescent="0.25">
      <c r="A68" s="6" t="s">
        <v>442</v>
      </c>
      <c r="B68">
        <v>2</v>
      </c>
    </row>
    <row r="69" spans="1:2" x14ac:dyDescent="0.25">
      <c r="A69" s="6" t="s">
        <v>834</v>
      </c>
      <c r="B69">
        <v>6</v>
      </c>
    </row>
    <row r="70" spans="1:2" x14ac:dyDescent="0.25">
      <c r="A70" s="6" t="s">
        <v>92</v>
      </c>
      <c r="B70">
        <v>4</v>
      </c>
    </row>
    <row r="71" spans="1:2" x14ac:dyDescent="0.25">
      <c r="A71" s="6" t="s">
        <v>315</v>
      </c>
      <c r="B71">
        <v>5</v>
      </c>
    </row>
    <row r="72" spans="1:2" x14ac:dyDescent="0.25">
      <c r="A72" s="6" t="s">
        <v>1124</v>
      </c>
    </row>
    <row r="73" spans="1:2" x14ac:dyDescent="0.25">
      <c r="A73" s="6" t="s">
        <v>624</v>
      </c>
      <c r="B73">
        <v>1189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186F0-66EB-4BA3-9734-1AC00A1B6D7A}">
  <sheetPr>
    <tabColor theme="0" tint="-0.499984740745262"/>
  </sheetPr>
  <dimension ref="A3:K1298"/>
  <sheetViews>
    <sheetView tabSelected="1" workbookViewId="0"/>
  </sheetViews>
  <sheetFormatPr defaultRowHeight="15" x14ac:dyDescent="0.25"/>
  <cols>
    <col min="1" max="1" width="20" customWidth="1"/>
    <col min="2" max="2" width="33.85546875" customWidth="1"/>
    <col min="3" max="3" width="41.140625" customWidth="1"/>
    <col min="4" max="4" width="10.28515625" customWidth="1"/>
    <col min="5" max="5" width="63.42578125" customWidth="1"/>
    <col min="6" max="6" width="14.7109375" customWidth="1"/>
    <col min="8" max="8" width="16.5703125" customWidth="1"/>
  </cols>
  <sheetData>
    <row r="3" spans="1:11" x14ac:dyDescent="0.25">
      <c r="A3" t="s">
        <v>1127</v>
      </c>
      <c r="B3" t="s">
        <v>619</v>
      </c>
      <c r="C3" t="s">
        <v>773</v>
      </c>
      <c r="D3" t="s">
        <v>774</v>
      </c>
      <c r="E3" t="s">
        <v>760</v>
      </c>
      <c r="F3" t="s">
        <v>758</v>
      </c>
      <c r="G3" t="s">
        <v>759</v>
      </c>
      <c r="H3" t="s">
        <v>736</v>
      </c>
      <c r="I3" t="s">
        <v>737</v>
      </c>
      <c r="J3">
        <f ca="1">COUNTA(_xlfn.UNIQUE(B4:B395))</f>
        <v>1</v>
      </c>
      <c r="K3" t="s">
        <v>1128</v>
      </c>
    </row>
    <row r="4" spans="1:11" x14ac:dyDescent="0.25">
      <c r="A4" s="29" t="s">
        <v>809</v>
      </c>
      <c r="B4" s="29" t="s">
        <v>442</v>
      </c>
      <c r="C4" s="29" t="s">
        <v>1129</v>
      </c>
      <c r="D4" s="29">
        <v>1</v>
      </c>
      <c r="E4" s="29" t="s">
        <v>820</v>
      </c>
      <c r="F4" s="29" t="s">
        <v>1130</v>
      </c>
      <c r="G4" s="29" t="s">
        <v>133</v>
      </c>
      <c r="K4" t="s">
        <v>1131</v>
      </c>
    </row>
    <row r="5" spans="1:11" x14ac:dyDescent="0.25">
      <c r="A5" s="29" t="s">
        <v>809</v>
      </c>
      <c r="B5" s="29" t="s">
        <v>442</v>
      </c>
      <c r="C5" s="29" t="s">
        <v>1132</v>
      </c>
      <c r="D5" s="29">
        <v>2</v>
      </c>
      <c r="E5" s="29" t="s">
        <v>821</v>
      </c>
      <c r="F5" s="29" t="s">
        <v>1133</v>
      </c>
      <c r="G5" s="29" t="s">
        <v>133</v>
      </c>
      <c r="K5" t="s">
        <v>1134</v>
      </c>
    </row>
    <row r="6" spans="1:11" x14ac:dyDescent="0.25">
      <c r="A6" s="29" t="s">
        <v>809</v>
      </c>
      <c r="B6" s="29" t="s">
        <v>805</v>
      </c>
      <c r="C6" s="29" t="s">
        <v>1129</v>
      </c>
      <c r="D6" s="29">
        <v>1</v>
      </c>
      <c r="E6" s="29" t="s">
        <v>1135</v>
      </c>
      <c r="F6" s="29" t="s">
        <v>1136</v>
      </c>
      <c r="G6" s="29" t="s">
        <v>133</v>
      </c>
      <c r="K6" t="s">
        <v>1137</v>
      </c>
    </row>
    <row r="7" spans="1:11" x14ac:dyDescent="0.25">
      <c r="A7" s="29" t="s">
        <v>809</v>
      </c>
      <c r="B7" s="29" t="s">
        <v>363</v>
      </c>
      <c r="C7" s="29" t="s">
        <v>1129</v>
      </c>
      <c r="D7" s="29">
        <v>1</v>
      </c>
      <c r="E7" s="29" t="s">
        <v>1138</v>
      </c>
      <c r="F7" s="29" t="s">
        <v>1139</v>
      </c>
      <c r="G7" s="29" t="s">
        <v>133</v>
      </c>
      <c r="H7" s="30"/>
      <c r="I7" s="30"/>
    </row>
    <row r="8" spans="1:11" x14ac:dyDescent="0.25">
      <c r="A8" s="29" t="s">
        <v>809</v>
      </c>
      <c r="B8" s="29" t="s">
        <v>363</v>
      </c>
      <c r="C8" s="29" t="s">
        <v>1140</v>
      </c>
      <c r="D8" s="29">
        <v>2</v>
      </c>
      <c r="E8" s="29" t="s">
        <v>1141</v>
      </c>
      <c r="F8" s="29" t="s">
        <v>1142</v>
      </c>
      <c r="G8" s="29" t="s">
        <v>133</v>
      </c>
      <c r="H8" s="30"/>
      <c r="I8" s="30"/>
    </row>
    <row r="9" spans="1:11" x14ac:dyDescent="0.25">
      <c r="A9" s="29" t="s">
        <v>809</v>
      </c>
      <c r="B9" s="29" t="s">
        <v>363</v>
      </c>
      <c r="C9" s="29" t="s">
        <v>1143</v>
      </c>
      <c r="D9" s="29">
        <v>3</v>
      </c>
      <c r="E9" s="29" t="s">
        <v>1144</v>
      </c>
      <c r="F9" s="29" t="s">
        <v>1145</v>
      </c>
      <c r="G9" s="29" t="s">
        <v>133</v>
      </c>
    </row>
    <row r="10" spans="1:11" x14ac:dyDescent="0.25">
      <c r="A10" s="29" t="s">
        <v>809</v>
      </c>
      <c r="B10" s="29" t="s">
        <v>363</v>
      </c>
      <c r="C10" s="29" t="s">
        <v>1146</v>
      </c>
      <c r="D10" s="29">
        <v>4</v>
      </c>
      <c r="E10" s="29" t="s">
        <v>1147</v>
      </c>
      <c r="F10" s="29" t="s">
        <v>1148</v>
      </c>
      <c r="G10" s="29" t="s">
        <v>133</v>
      </c>
    </row>
    <row r="11" spans="1:11" x14ac:dyDescent="0.25">
      <c r="A11" s="29" t="s">
        <v>809</v>
      </c>
      <c r="B11" s="29" t="s">
        <v>71</v>
      </c>
      <c r="C11" s="29" t="s">
        <v>1149</v>
      </c>
      <c r="D11" s="29">
        <v>1</v>
      </c>
      <c r="E11" s="29" t="s">
        <v>1150</v>
      </c>
      <c r="F11" s="29" t="s">
        <v>1151</v>
      </c>
      <c r="G11" s="29" t="s">
        <v>1152</v>
      </c>
    </row>
    <row r="12" spans="1:11" x14ac:dyDescent="0.25">
      <c r="A12" s="29" t="s">
        <v>809</v>
      </c>
      <c r="B12" s="29" t="s">
        <v>71</v>
      </c>
      <c r="C12" s="29" t="s">
        <v>1153</v>
      </c>
      <c r="D12" s="29">
        <v>2</v>
      </c>
      <c r="E12" s="29" t="s">
        <v>1154</v>
      </c>
      <c r="F12" s="29" t="s">
        <v>1151</v>
      </c>
      <c r="G12" s="29" t="s">
        <v>1152</v>
      </c>
    </row>
    <row r="13" spans="1:11" x14ac:dyDescent="0.25">
      <c r="A13" s="29" t="s">
        <v>809</v>
      </c>
      <c r="B13" s="29" t="s">
        <v>71</v>
      </c>
      <c r="C13" s="29" t="s">
        <v>1155</v>
      </c>
      <c r="D13" s="29">
        <v>3</v>
      </c>
      <c r="E13" s="29" t="s">
        <v>1156</v>
      </c>
      <c r="F13" s="29" t="s">
        <v>1151</v>
      </c>
      <c r="G13" s="29" t="s">
        <v>1152</v>
      </c>
    </row>
    <row r="14" spans="1:11" x14ac:dyDescent="0.25">
      <c r="A14" s="29" t="s">
        <v>809</v>
      </c>
      <c r="B14" s="29" t="s">
        <v>71</v>
      </c>
      <c r="C14" s="29" t="s">
        <v>1157</v>
      </c>
      <c r="D14" s="29">
        <v>4</v>
      </c>
      <c r="E14" s="29" t="s">
        <v>1158</v>
      </c>
      <c r="F14" s="29" t="s">
        <v>1159</v>
      </c>
      <c r="G14" s="29" t="s">
        <v>133</v>
      </c>
    </row>
    <row r="15" spans="1:11" x14ac:dyDescent="0.25">
      <c r="A15" s="29" t="s">
        <v>809</v>
      </c>
      <c r="B15" s="29" t="s">
        <v>76</v>
      </c>
      <c r="C15" s="29" t="s">
        <v>1129</v>
      </c>
      <c r="D15" s="29">
        <v>1</v>
      </c>
      <c r="E15" s="29" t="s">
        <v>1160</v>
      </c>
      <c r="F15" s="29" t="s">
        <v>1161</v>
      </c>
      <c r="G15" s="29" t="s">
        <v>133</v>
      </c>
      <c r="H15" s="30"/>
      <c r="I15" s="30"/>
    </row>
    <row r="16" spans="1:11" x14ac:dyDescent="0.25">
      <c r="A16" s="29" t="s">
        <v>809</v>
      </c>
      <c r="B16" s="29" t="s">
        <v>76</v>
      </c>
      <c r="C16" s="29" t="s">
        <v>1162</v>
      </c>
      <c r="D16" s="29">
        <v>2</v>
      </c>
      <c r="E16" s="29" t="s">
        <v>1163</v>
      </c>
      <c r="F16" s="29" t="s">
        <v>1164</v>
      </c>
      <c r="G16" s="29" t="s">
        <v>133</v>
      </c>
      <c r="H16" s="30"/>
      <c r="I16" s="30"/>
    </row>
    <row r="17" spans="1:9" x14ac:dyDescent="0.25">
      <c r="A17" s="29" t="s">
        <v>809</v>
      </c>
      <c r="B17" s="29" t="s">
        <v>209</v>
      </c>
      <c r="C17" s="29" t="s">
        <v>1129</v>
      </c>
      <c r="D17" s="29">
        <v>1</v>
      </c>
      <c r="E17" s="29" t="s">
        <v>1165</v>
      </c>
      <c r="F17" s="29" t="s">
        <v>819</v>
      </c>
      <c r="G17" s="29" t="s">
        <v>133</v>
      </c>
      <c r="H17" s="30"/>
      <c r="I17" s="30"/>
    </row>
    <row r="18" spans="1:9" x14ac:dyDescent="0.25">
      <c r="A18" s="29" t="s">
        <v>809</v>
      </c>
      <c r="B18" s="29" t="s">
        <v>209</v>
      </c>
      <c r="C18" s="29" t="s">
        <v>1166</v>
      </c>
      <c r="D18" s="29">
        <v>2</v>
      </c>
      <c r="E18" s="29" t="s">
        <v>1167</v>
      </c>
      <c r="F18" s="29" t="s">
        <v>1168</v>
      </c>
      <c r="G18" s="29" t="s">
        <v>133</v>
      </c>
      <c r="H18" s="30"/>
      <c r="I18" s="30"/>
    </row>
    <row r="19" spans="1:9" x14ac:dyDescent="0.25">
      <c r="A19" s="29" t="s">
        <v>809</v>
      </c>
      <c r="B19" s="29" t="s">
        <v>209</v>
      </c>
      <c r="C19" s="29" t="s">
        <v>1169</v>
      </c>
      <c r="D19" s="29">
        <v>3</v>
      </c>
      <c r="E19" s="29" t="s">
        <v>1170</v>
      </c>
      <c r="F19" s="29" t="s">
        <v>1171</v>
      </c>
      <c r="G19" s="29" t="s">
        <v>133</v>
      </c>
      <c r="H19" s="30"/>
      <c r="I19" s="30"/>
    </row>
    <row r="20" spans="1:9" x14ac:dyDescent="0.25">
      <c r="A20" s="29" t="s">
        <v>1002</v>
      </c>
      <c r="B20" s="29" t="s">
        <v>834</v>
      </c>
      <c r="C20" s="29" t="s">
        <v>1172</v>
      </c>
      <c r="D20" s="29">
        <v>1</v>
      </c>
      <c r="E20" s="29" t="s">
        <v>1173</v>
      </c>
      <c r="F20" s="29" t="s">
        <v>1174</v>
      </c>
      <c r="G20" s="29" t="s">
        <v>133</v>
      </c>
    </row>
    <row r="21" spans="1:9" x14ac:dyDescent="0.25">
      <c r="A21" s="29" t="s">
        <v>1002</v>
      </c>
      <c r="B21" s="29" t="s">
        <v>834</v>
      </c>
      <c r="C21" s="29" t="s">
        <v>1175</v>
      </c>
      <c r="D21" s="29">
        <v>2</v>
      </c>
      <c r="E21" s="29" t="s">
        <v>1176</v>
      </c>
      <c r="F21" s="29" t="s">
        <v>1177</v>
      </c>
      <c r="G21" s="29" t="s">
        <v>133</v>
      </c>
    </row>
    <row r="22" spans="1:9" x14ac:dyDescent="0.25">
      <c r="A22" s="29" t="s">
        <v>1002</v>
      </c>
      <c r="B22" s="29" t="s">
        <v>834</v>
      </c>
      <c r="C22" s="29" t="s">
        <v>1178</v>
      </c>
      <c r="D22" s="29">
        <v>3</v>
      </c>
      <c r="E22" s="29" t="s">
        <v>1179</v>
      </c>
      <c r="F22" s="29" t="s">
        <v>1177</v>
      </c>
      <c r="G22" s="29" t="s">
        <v>133</v>
      </c>
    </row>
    <row r="23" spans="1:9" x14ac:dyDescent="0.25">
      <c r="A23" s="29" t="s">
        <v>1002</v>
      </c>
      <c r="B23" s="29" t="s">
        <v>834</v>
      </c>
      <c r="C23" s="29" t="s">
        <v>1180</v>
      </c>
      <c r="D23" s="29">
        <v>4</v>
      </c>
      <c r="E23" s="29" t="s">
        <v>1181</v>
      </c>
      <c r="F23" s="29" t="s">
        <v>1182</v>
      </c>
      <c r="G23" s="29" t="s">
        <v>1183</v>
      </c>
    </row>
    <row r="24" spans="1:9" x14ac:dyDescent="0.25">
      <c r="A24" s="29" t="s">
        <v>1002</v>
      </c>
      <c r="B24" s="29" t="s">
        <v>834</v>
      </c>
      <c r="C24" s="29" t="s">
        <v>1184</v>
      </c>
      <c r="D24" s="29">
        <v>5</v>
      </c>
      <c r="E24" s="29" t="s">
        <v>1185</v>
      </c>
      <c r="F24" s="29" t="s">
        <v>1186</v>
      </c>
      <c r="G24" s="29" t="s">
        <v>1126</v>
      </c>
    </row>
    <row r="25" spans="1:9" x14ac:dyDescent="0.25">
      <c r="A25" s="29" t="s">
        <v>1002</v>
      </c>
      <c r="B25" s="29" t="s">
        <v>834</v>
      </c>
      <c r="C25" s="29" t="s">
        <v>1157</v>
      </c>
      <c r="D25" s="29">
        <v>6</v>
      </c>
      <c r="E25" s="29" t="s">
        <v>1187</v>
      </c>
      <c r="F25" s="29" t="s">
        <v>1188</v>
      </c>
      <c r="G25" s="29" t="s">
        <v>133</v>
      </c>
    </row>
    <row r="26" spans="1:9" x14ac:dyDescent="0.25">
      <c r="A26" s="29" t="s">
        <v>1002</v>
      </c>
      <c r="B26" s="29" t="s">
        <v>804</v>
      </c>
      <c r="C26" s="29" t="s">
        <v>1172</v>
      </c>
      <c r="D26" s="29">
        <v>1</v>
      </c>
      <c r="E26" s="29" t="s">
        <v>1189</v>
      </c>
      <c r="F26" s="29" t="s">
        <v>1190</v>
      </c>
      <c r="G26" s="29" t="s">
        <v>133</v>
      </c>
    </row>
    <row r="27" spans="1:9" x14ac:dyDescent="0.25">
      <c r="A27" s="29" t="s">
        <v>1002</v>
      </c>
      <c r="B27" s="29" t="s">
        <v>804</v>
      </c>
      <c r="C27" s="29" t="s">
        <v>822</v>
      </c>
      <c r="D27" s="29">
        <v>2</v>
      </c>
      <c r="E27" s="29" t="s">
        <v>1191</v>
      </c>
      <c r="F27" s="29" t="s">
        <v>1192</v>
      </c>
      <c r="G27" s="29" t="s">
        <v>1183</v>
      </c>
    </row>
    <row r="28" spans="1:9" x14ac:dyDescent="0.25">
      <c r="A28" s="29" t="s">
        <v>1002</v>
      </c>
      <c r="B28" s="29" t="s">
        <v>804</v>
      </c>
      <c r="C28" s="29" t="s">
        <v>1193</v>
      </c>
      <c r="D28" s="29">
        <v>3</v>
      </c>
      <c r="E28" s="29" t="s">
        <v>1194</v>
      </c>
      <c r="F28" s="29" t="s">
        <v>1195</v>
      </c>
      <c r="G28" s="29" t="s">
        <v>133</v>
      </c>
    </row>
    <row r="29" spans="1:9" x14ac:dyDescent="0.25">
      <c r="A29" s="29" t="s">
        <v>1002</v>
      </c>
      <c r="B29" s="29" t="s">
        <v>804</v>
      </c>
      <c r="C29" s="29" t="s">
        <v>1184</v>
      </c>
      <c r="D29" s="29">
        <v>4</v>
      </c>
      <c r="E29" s="29" t="s">
        <v>1196</v>
      </c>
      <c r="F29" s="29" t="s">
        <v>1186</v>
      </c>
      <c r="G29" s="29" t="s">
        <v>1126</v>
      </c>
    </row>
    <row r="30" spans="1:9" x14ac:dyDescent="0.25">
      <c r="A30" s="29" t="s">
        <v>1002</v>
      </c>
      <c r="B30" s="29" t="s">
        <v>804</v>
      </c>
      <c r="C30" s="29" t="s">
        <v>1197</v>
      </c>
      <c r="D30" s="29">
        <v>5</v>
      </c>
      <c r="E30" s="29" t="s">
        <v>1198</v>
      </c>
      <c r="F30" s="29" t="s">
        <v>1199</v>
      </c>
      <c r="G30" s="29" t="s">
        <v>133</v>
      </c>
    </row>
    <row r="31" spans="1:9" x14ac:dyDescent="0.25">
      <c r="A31" s="29" t="s">
        <v>1002</v>
      </c>
      <c r="B31" s="29" t="s">
        <v>804</v>
      </c>
      <c r="C31" s="29" t="s">
        <v>1180</v>
      </c>
      <c r="D31" s="29">
        <v>6</v>
      </c>
      <c r="E31" s="29" t="s">
        <v>1200</v>
      </c>
      <c r="F31" s="29" t="s">
        <v>1201</v>
      </c>
      <c r="G31" s="29" t="s">
        <v>133</v>
      </c>
    </row>
    <row r="32" spans="1:9" x14ac:dyDescent="0.25">
      <c r="A32" s="29" t="s">
        <v>1002</v>
      </c>
      <c r="B32" s="29" t="s">
        <v>804</v>
      </c>
      <c r="C32" s="29" t="s">
        <v>1157</v>
      </c>
      <c r="D32" s="29">
        <v>7</v>
      </c>
      <c r="E32" s="29" t="s">
        <v>1187</v>
      </c>
      <c r="F32" s="29" t="s">
        <v>1188</v>
      </c>
      <c r="G32" s="29" t="s">
        <v>133</v>
      </c>
    </row>
    <row r="33" spans="1:7" x14ac:dyDescent="0.25">
      <c r="A33" s="29" t="s">
        <v>1002</v>
      </c>
      <c r="B33" s="29" t="s">
        <v>568</v>
      </c>
      <c r="C33" s="29" t="s">
        <v>1172</v>
      </c>
      <c r="D33" s="29">
        <v>1</v>
      </c>
      <c r="E33" s="29" t="s">
        <v>1202</v>
      </c>
      <c r="F33" s="29" t="s">
        <v>1203</v>
      </c>
      <c r="G33" s="29" t="s">
        <v>133</v>
      </c>
    </row>
    <row r="34" spans="1:7" x14ac:dyDescent="0.25">
      <c r="A34" s="29" t="s">
        <v>1002</v>
      </c>
      <c r="B34" s="29" t="s">
        <v>568</v>
      </c>
      <c r="C34" s="29" t="s">
        <v>1204</v>
      </c>
      <c r="D34" s="29">
        <v>2</v>
      </c>
      <c r="E34" s="29" t="s">
        <v>1205</v>
      </c>
      <c r="F34" s="29" t="s">
        <v>1206</v>
      </c>
      <c r="G34" s="29" t="s">
        <v>133</v>
      </c>
    </row>
    <row r="35" spans="1:7" x14ac:dyDescent="0.25">
      <c r="A35" s="29" t="s">
        <v>1002</v>
      </c>
      <c r="B35" s="29" t="s">
        <v>568</v>
      </c>
      <c r="C35" s="29" t="s">
        <v>1207</v>
      </c>
      <c r="D35" s="29">
        <v>3</v>
      </c>
      <c r="E35" s="29" t="s">
        <v>1208</v>
      </c>
      <c r="F35" s="29" t="s">
        <v>1209</v>
      </c>
      <c r="G35" s="29" t="s">
        <v>1126</v>
      </c>
    </row>
    <row r="36" spans="1:7" x14ac:dyDescent="0.25">
      <c r="A36" s="29" t="s">
        <v>1002</v>
      </c>
      <c r="B36" s="29" t="s">
        <v>568</v>
      </c>
      <c r="C36" s="29" t="s">
        <v>1210</v>
      </c>
      <c r="D36" s="29">
        <v>4</v>
      </c>
      <c r="E36" s="29" t="s">
        <v>1211</v>
      </c>
      <c r="F36" s="29" t="s">
        <v>1212</v>
      </c>
      <c r="G36" s="29" t="s">
        <v>133</v>
      </c>
    </row>
    <row r="37" spans="1:7" x14ac:dyDescent="0.25">
      <c r="A37" s="29" t="s">
        <v>1002</v>
      </c>
      <c r="B37" s="29" t="s">
        <v>568</v>
      </c>
      <c r="C37" s="29" t="s">
        <v>1213</v>
      </c>
      <c r="D37" s="29">
        <v>5</v>
      </c>
      <c r="E37" s="29" t="s">
        <v>1214</v>
      </c>
      <c r="F37" s="29" t="s">
        <v>1215</v>
      </c>
      <c r="G37" s="29" t="s">
        <v>133</v>
      </c>
    </row>
    <row r="38" spans="1:7" x14ac:dyDescent="0.25">
      <c r="A38" s="29" t="s">
        <v>1002</v>
      </c>
      <c r="B38" s="29" t="s">
        <v>568</v>
      </c>
      <c r="C38" s="29" t="s">
        <v>1157</v>
      </c>
      <c r="D38" s="29">
        <v>6</v>
      </c>
      <c r="E38" s="29" t="s">
        <v>1187</v>
      </c>
      <c r="F38" s="29" t="s">
        <v>1188</v>
      </c>
      <c r="G38" s="29" t="s">
        <v>133</v>
      </c>
    </row>
    <row r="39" spans="1:7" x14ac:dyDescent="0.25">
      <c r="A39" s="29" t="s">
        <v>1002</v>
      </c>
      <c r="B39" s="29" t="s">
        <v>561</v>
      </c>
      <c r="C39" s="29" t="s">
        <v>1172</v>
      </c>
      <c r="D39" s="29">
        <v>1</v>
      </c>
      <c r="E39" s="29" t="s">
        <v>1216</v>
      </c>
      <c r="F39" s="29" t="s">
        <v>1217</v>
      </c>
      <c r="G39" s="29" t="s">
        <v>133</v>
      </c>
    </row>
    <row r="40" spans="1:7" x14ac:dyDescent="0.25">
      <c r="A40" s="29" t="s">
        <v>1002</v>
      </c>
      <c r="B40" s="29" t="s">
        <v>561</v>
      </c>
      <c r="C40" s="29" t="s">
        <v>1218</v>
      </c>
      <c r="D40" s="29">
        <v>2</v>
      </c>
      <c r="E40" s="29" t="s">
        <v>1219</v>
      </c>
      <c r="F40" s="29" t="s">
        <v>1220</v>
      </c>
      <c r="G40" s="29" t="s">
        <v>133</v>
      </c>
    </row>
    <row r="41" spans="1:7" x14ac:dyDescent="0.25">
      <c r="A41" s="29" t="s">
        <v>1002</v>
      </c>
      <c r="B41" s="29" t="s">
        <v>561</v>
      </c>
      <c r="C41" s="29" t="s">
        <v>1207</v>
      </c>
      <c r="D41" s="29">
        <v>3</v>
      </c>
      <c r="E41" s="29" t="s">
        <v>1221</v>
      </c>
      <c r="F41" s="29" t="s">
        <v>1209</v>
      </c>
      <c r="G41" s="29" t="s">
        <v>1126</v>
      </c>
    </row>
    <row r="42" spans="1:7" x14ac:dyDescent="0.25">
      <c r="A42" s="29" t="s">
        <v>1002</v>
      </c>
      <c r="B42" s="29" t="s">
        <v>561</v>
      </c>
      <c r="C42" s="29" t="s">
        <v>1178</v>
      </c>
      <c r="D42" s="29">
        <v>4</v>
      </c>
      <c r="E42" s="29" t="s">
        <v>1222</v>
      </c>
      <c r="F42" s="29" t="s">
        <v>1223</v>
      </c>
      <c r="G42" s="29" t="s">
        <v>133</v>
      </c>
    </row>
    <row r="43" spans="1:7" x14ac:dyDescent="0.25">
      <c r="A43" s="29" t="s">
        <v>1002</v>
      </c>
      <c r="B43" s="29" t="s">
        <v>561</v>
      </c>
      <c r="C43" s="29" t="s">
        <v>1215</v>
      </c>
      <c r="D43" s="29">
        <v>5</v>
      </c>
      <c r="E43" s="29" t="s">
        <v>1224</v>
      </c>
      <c r="F43" s="29" t="s">
        <v>1215</v>
      </c>
      <c r="G43" s="29" t="s">
        <v>133</v>
      </c>
    </row>
    <row r="44" spans="1:7" x14ac:dyDescent="0.25">
      <c r="A44" s="29" t="s">
        <v>1002</v>
      </c>
      <c r="B44" s="29" t="s">
        <v>561</v>
      </c>
      <c r="C44" s="29" t="s">
        <v>1157</v>
      </c>
      <c r="D44" s="29">
        <v>6</v>
      </c>
      <c r="E44" s="29" t="s">
        <v>1187</v>
      </c>
      <c r="F44" s="29" t="s">
        <v>1188</v>
      </c>
      <c r="G44" s="29" t="s">
        <v>133</v>
      </c>
    </row>
    <row r="45" spans="1:7" x14ac:dyDescent="0.25">
      <c r="A45" s="29" t="s">
        <v>1002</v>
      </c>
      <c r="B45" s="29" t="s">
        <v>803</v>
      </c>
      <c r="C45" s="29" t="s">
        <v>1172</v>
      </c>
      <c r="D45" s="29">
        <v>1</v>
      </c>
      <c r="E45" s="29" t="s">
        <v>1225</v>
      </c>
      <c r="F45" s="29" t="s">
        <v>1171</v>
      </c>
      <c r="G45" s="29" t="s">
        <v>133</v>
      </c>
    </row>
    <row r="46" spans="1:7" x14ac:dyDescent="0.25">
      <c r="A46" s="29" t="s">
        <v>1002</v>
      </c>
      <c r="B46" s="29" t="s">
        <v>803</v>
      </c>
      <c r="C46" s="29" t="s">
        <v>1226</v>
      </c>
      <c r="D46" s="29">
        <v>2</v>
      </c>
      <c r="E46" s="29" t="s">
        <v>1227</v>
      </c>
      <c r="F46" s="29" t="s">
        <v>1228</v>
      </c>
      <c r="G46" s="29" t="s">
        <v>133</v>
      </c>
    </row>
    <row r="47" spans="1:7" x14ac:dyDescent="0.25">
      <c r="A47" s="29" t="s">
        <v>1002</v>
      </c>
      <c r="B47" s="29" t="s">
        <v>803</v>
      </c>
      <c r="C47" s="29" t="s">
        <v>1207</v>
      </c>
      <c r="D47" s="29">
        <v>3</v>
      </c>
      <c r="E47" s="29" t="s">
        <v>1229</v>
      </c>
      <c r="F47" s="29" t="s">
        <v>1186</v>
      </c>
      <c r="G47" s="29" t="s">
        <v>1126</v>
      </c>
    </row>
    <row r="48" spans="1:7" x14ac:dyDescent="0.25">
      <c r="A48" s="29" t="s">
        <v>1002</v>
      </c>
      <c r="B48" s="29" t="s">
        <v>803</v>
      </c>
      <c r="C48" s="29" t="s">
        <v>1178</v>
      </c>
      <c r="D48" s="29">
        <v>4</v>
      </c>
      <c r="E48" s="29" t="s">
        <v>1230</v>
      </c>
      <c r="F48" s="29" t="s">
        <v>1223</v>
      </c>
      <c r="G48" s="29" t="s">
        <v>133</v>
      </c>
    </row>
    <row r="49" spans="1:9" x14ac:dyDescent="0.25">
      <c r="A49" s="29" t="s">
        <v>1002</v>
      </c>
      <c r="B49" s="29" t="s">
        <v>803</v>
      </c>
      <c r="C49" s="29" t="s">
        <v>620</v>
      </c>
      <c r="D49" s="29">
        <v>5</v>
      </c>
      <c r="E49" s="29" t="s">
        <v>1231</v>
      </c>
      <c r="F49" s="29" t="s">
        <v>1232</v>
      </c>
      <c r="G49" s="29" t="s">
        <v>133</v>
      </c>
    </row>
    <row r="50" spans="1:9" x14ac:dyDescent="0.25">
      <c r="A50" s="29" t="s">
        <v>1002</v>
      </c>
      <c r="B50" s="29" t="s">
        <v>803</v>
      </c>
      <c r="C50" s="29" t="s">
        <v>1157</v>
      </c>
      <c r="D50" s="29">
        <v>6</v>
      </c>
      <c r="E50" s="29" t="s">
        <v>1187</v>
      </c>
      <c r="F50" s="29" t="s">
        <v>1188</v>
      </c>
      <c r="G50" s="29" t="s">
        <v>133</v>
      </c>
    </row>
    <row r="51" spans="1:9" x14ac:dyDescent="0.25">
      <c r="A51" s="29" t="s">
        <v>1002</v>
      </c>
      <c r="B51" s="29" t="s">
        <v>506</v>
      </c>
      <c r="C51" s="29" t="s">
        <v>1172</v>
      </c>
      <c r="D51" s="29">
        <v>1</v>
      </c>
      <c r="E51" s="29" t="s">
        <v>1233</v>
      </c>
      <c r="F51" s="29" t="s">
        <v>1234</v>
      </c>
      <c r="G51" s="29" t="s">
        <v>133</v>
      </c>
      <c r="H51" s="30"/>
      <c r="I51" s="30"/>
    </row>
    <row r="52" spans="1:9" x14ac:dyDescent="0.25">
      <c r="A52" s="29" t="s">
        <v>1002</v>
      </c>
      <c r="B52" s="29" t="s">
        <v>506</v>
      </c>
      <c r="C52" s="29" t="s">
        <v>1235</v>
      </c>
      <c r="D52" s="29">
        <v>2</v>
      </c>
      <c r="E52" s="29" t="s">
        <v>1236</v>
      </c>
      <c r="F52" s="29" t="s">
        <v>1237</v>
      </c>
      <c r="G52" s="29" t="s">
        <v>135</v>
      </c>
      <c r="H52" s="30"/>
      <c r="I52" s="30"/>
    </row>
    <row r="53" spans="1:9" x14ac:dyDescent="0.25">
      <c r="A53" s="29" t="s">
        <v>1002</v>
      </c>
      <c r="B53" s="29" t="s">
        <v>506</v>
      </c>
      <c r="C53" s="29" t="s">
        <v>1184</v>
      </c>
      <c r="D53" s="29">
        <v>3</v>
      </c>
      <c r="E53" s="29" t="s">
        <v>1238</v>
      </c>
      <c r="F53" s="29" t="s">
        <v>1186</v>
      </c>
      <c r="G53" s="29" t="s">
        <v>1126</v>
      </c>
      <c r="H53" s="30"/>
      <c r="I53" s="30"/>
    </row>
    <row r="54" spans="1:9" x14ac:dyDescent="0.25">
      <c r="A54" s="29" t="s">
        <v>1002</v>
      </c>
      <c r="B54" s="29" t="s">
        <v>506</v>
      </c>
      <c r="C54" s="29" t="s">
        <v>1239</v>
      </c>
      <c r="D54" s="29">
        <v>4</v>
      </c>
      <c r="E54" s="29" t="s">
        <v>1240</v>
      </c>
      <c r="F54" s="29" t="s">
        <v>1241</v>
      </c>
      <c r="G54" s="29" t="s">
        <v>1242</v>
      </c>
    </row>
    <row r="55" spans="1:9" x14ac:dyDescent="0.25">
      <c r="A55" s="29" t="s">
        <v>1002</v>
      </c>
      <c r="B55" s="29" t="s">
        <v>506</v>
      </c>
      <c r="C55" s="29" t="s">
        <v>1157</v>
      </c>
      <c r="D55" s="29">
        <v>5</v>
      </c>
      <c r="E55" s="29" t="s">
        <v>1187</v>
      </c>
      <c r="F55" s="29" t="s">
        <v>1188</v>
      </c>
      <c r="G55" s="29" t="s">
        <v>133</v>
      </c>
    </row>
    <row r="56" spans="1:9" x14ac:dyDescent="0.25">
      <c r="A56" s="29" t="s">
        <v>1002</v>
      </c>
      <c r="B56" s="29" t="s">
        <v>387</v>
      </c>
      <c r="C56" s="29" t="s">
        <v>1172</v>
      </c>
      <c r="D56" s="29">
        <v>1</v>
      </c>
      <c r="E56" s="29" t="s">
        <v>1243</v>
      </c>
      <c r="F56" s="29" t="s">
        <v>1244</v>
      </c>
      <c r="G56" s="29" t="s">
        <v>133</v>
      </c>
    </row>
    <row r="57" spans="1:9" x14ac:dyDescent="0.25">
      <c r="A57" s="29" t="s">
        <v>1002</v>
      </c>
      <c r="B57" s="29" t="s">
        <v>387</v>
      </c>
      <c r="C57" s="29" t="s">
        <v>1245</v>
      </c>
      <c r="D57" s="29">
        <v>2</v>
      </c>
      <c r="E57" s="29" t="s">
        <v>1246</v>
      </c>
      <c r="F57" s="29" t="s">
        <v>1247</v>
      </c>
      <c r="G57" s="29" t="s">
        <v>133</v>
      </c>
    </row>
    <row r="58" spans="1:9" x14ac:dyDescent="0.25">
      <c r="A58" s="29" t="s">
        <v>1002</v>
      </c>
      <c r="B58" s="29" t="s">
        <v>387</v>
      </c>
      <c r="C58" s="29" t="s">
        <v>1248</v>
      </c>
      <c r="D58" s="29">
        <v>3</v>
      </c>
      <c r="E58" s="29" t="s">
        <v>1249</v>
      </c>
      <c r="F58" s="29" t="s">
        <v>1250</v>
      </c>
      <c r="G58" s="29" t="s">
        <v>133</v>
      </c>
    </row>
    <row r="59" spans="1:9" x14ac:dyDescent="0.25">
      <c r="A59" s="29" t="s">
        <v>1002</v>
      </c>
      <c r="B59" s="29" t="s">
        <v>387</v>
      </c>
      <c r="C59" s="29" t="s">
        <v>1251</v>
      </c>
      <c r="D59" s="29">
        <v>4</v>
      </c>
      <c r="E59" s="29" t="s">
        <v>1252</v>
      </c>
      <c r="F59" s="29" t="s">
        <v>1186</v>
      </c>
      <c r="G59" s="29" t="s">
        <v>1126</v>
      </c>
    </row>
    <row r="60" spans="1:9" x14ac:dyDescent="0.25">
      <c r="A60" s="29" t="s">
        <v>1002</v>
      </c>
      <c r="B60" s="29" t="s">
        <v>387</v>
      </c>
      <c r="C60" s="29" t="s">
        <v>1157</v>
      </c>
      <c r="D60" s="29">
        <v>5</v>
      </c>
      <c r="E60" s="29" t="s">
        <v>1187</v>
      </c>
      <c r="F60" s="29" t="s">
        <v>1188</v>
      </c>
      <c r="G60" s="29" t="s">
        <v>133</v>
      </c>
    </row>
    <row r="61" spans="1:9" x14ac:dyDescent="0.25">
      <c r="A61" s="29" t="s">
        <v>1002</v>
      </c>
      <c r="B61" s="29" t="s">
        <v>798</v>
      </c>
      <c r="C61" s="29" t="s">
        <v>1172</v>
      </c>
      <c r="D61" s="29">
        <v>1</v>
      </c>
      <c r="E61" s="29" t="s">
        <v>1253</v>
      </c>
      <c r="F61" s="29" t="s">
        <v>1254</v>
      </c>
      <c r="G61" s="29" t="s">
        <v>133</v>
      </c>
    </row>
    <row r="62" spans="1:9" x14ac:dyDescent="0.25">
      <c r="A62" s="29" t="s">
        <v>1002</v>
      </c>
      <c r="B62" s="29" t="s">
        <v>798</v>
      </c>
      <c r="C62" s="29" t="s">
        <v>1255</v>
      </c>
      <c r="D62" s="29">
        <v>2</v>
      </c>
      <c r="E62" s="29" t="s">
        <v>1256</v>
      </c>
      <c r="F62" s="29" t="s">
        <v>1257</v>
      </c>
      <c r="G62" s="29" t="s">
        <v>133</v>
      </c>
    </row>
    <row r="63" spans="1:9" x14ac:dyDescent="0.25">
      <c r="A63" s="29" t="s">
        <v>1002</v>
      </c>
      <c r="B63" s="29" t="s">
        <v>798</v>
      </c>
      <c r="C63" s="29" t="s">
        <v>1207</v>
      </c>
      <c r="D63" s="29">
        <v>3</v>
      </c>
      <c r="E63" s="29" t="s">
        <v>1258</v>
      </c>
      <c r="F63" s="29" t="s">
        <v>1259</v>
      </c>
      <c r="G63" s="29" t="s">
        <v>133</v>
      </c>
    </row>
    <row r="64" spans="1:9" x14ac:dyDescent="0.25">
      <c r="A64" s="29" t="s">
        <v>1002</v>
      </c>
      <c r="B64" s="29" t="s">
        <v>798</v>
      </c>
      <c r="C64" s="29" t="s">
        <v>1178</v>
      </c>
      <c r="D64" s="29">
        <v>4</v>
      </c>
      <c r="E64" s="29" t="s">
        <v>1260</v>
      </c>
      <c r="F64" s="29" t="s">
        <v>1223</v>
      </c>
      <c r="G64" s="29" t="s">
        <v>133</v>
      </c>
    </row>
    <row r="65" spans="1:9" x14ac:dyDescent="0.25">
      <c r="A65" s="29" t="s">
        <v>1002</v>
      </c>
      <c r="B65" s="29" t="s">
        <v>798</v>
      </c>
      <c r="C65" s="29" t="s">
        <v>1157</v>
      </c>
      <c r="D65" s="29">
        <v>5</v>
      </c>
      <c r="E65" s="29" t="s">
        <v>1187</v>
      </c>
      <c r="F65" s="29" t="s">
        <v>1188</v>
      </c>
      <c r="G65" s="29" t="s">
        <v>133</v>
      </c>
    </row>
    <row r="66" spans="1:9" x14ac:dyDescent="0.25">
      <c r="A66" s="29" t="s">
        <v>1002</v>
      </c>
      <c r="B66" s="29" t="s">
        <v>798</v>
      </c>
      <c r="C66" s="29" t="s">
        <v>620</v>
      </c>
      <c r="D66" s="29">
        <v>6</v>
      </c>
      <c r="E66" s="29" t="s">
        <v>1231</v>
      </c>
      <c r="F66" s="29" t="s">
        <v>1232</v>
      </c>
      <c r="G66" s="29" t="s">
        <v>133</v>
      </c>
    </row>
    <row r="67" spans="1:9" x14ac:dyDescent="0.25">
      <c r="A67" s="29" t="s">
        <v>1002</v>
      </c>
      <c r="B67" s="29" t="s">
        <v>306</v>
      </c>
      <c r="C67" s="29" t="s">
        <v>1261</v>
      </c>
      <c r="D67" s="29">
        <v>1</v>
      </c>
      <c r="E67" s="29" t="s">
        <v>1262</v>
      </c>
      <c r="F67" s="29" t="s">
        <v>1263</v>
      </c>
      <c r="G67" s="29" t="s">
        <v>133</v>
      </c>
      <c r="H67" s="30"/>
      <c r="I67" s="30"/>
    </row>
    <row r="68" spans="1:9" x14ac:dyDescent="0.25">
      <c r="A68" s="29" t="s">
        <v>1002</v>
      </c>
      <c r="B68" s="29" t="s">
        <v>306</v>
      </c>
      <c r="C68" s="29" t="s">
        <v>1264</v>
      </c>
      <c r="D68" s="29">
        <v>2</v>
      </c>
      <c r="E68" s="29" t="s">
        <v>1265</v>
      </c>
      <c r="F68" s="29" t="s">
        <v>1266</v>
      </c>
      <c r="G68" s="29" t="s">
        <v>133</v>
      </c>
      <c r="H68" s="30"/>
      <c r="I68" s="30"/>
    </row>
    <row r="69" spans="1:9" x14ac:dyDescent="0.25">
      <c r="A69" s="29" t="s">
        <v>1002</v>
      </c>
      <c r="B69" s="29" t="s">
        <v>791</v>
      </c>
      <c r="C69" s="29" t="s">
        <v>1172</v>
      </c>
      <c r="D69" s="29">
        <v>1</v>
      </c>
      <c r="E69" s="29" t="s">
        <v>1267</v>
      </c>
      <c r="F69" s="29" t="s">
        <v>1268</v>
      </c>
      <c r="G69" s="29" t="s">
        <v>133</v>
      </c>
    </row>
    <row r="70" spans="1:9" x14ac:dyDescent="0.25">
      <c r="A70" s="29" t="s">
        <v>1002</v>
      </c>
      <c r="B70" s="29" t="s">
        <v>791</v>
      </c>
      <c r="C70" s="29" t="s">
        <v>1269</v>
      </c>
      <c r="D70" s="29">
        <v>2</v>
      </c>
      <c r="E70" s="29" t="s">
        <v>1270</v>
      </c>
      <c r="F70" s="29" t="s">
        <v>1271</v>
      </c>
      <c r="G70" s="29" t="s">
        <v>133</v>
      </c>
    </row>
    <row r="71" spans="1:9" x14ac:dyDescent="0.25">
      <c r="A71" s="29" t="s">
        <v>1002</v>
      </c>
      <c r="B71" s="29" t="s">
        <v>791</v>
      </c>
      <c r="C71" s="29" t="s">
        <v>1272</v>
      </c>
      <c r="D71" s="29">
        <v>3</v>
      </c>
      <c r="E71" s="29" t="s">
        <v>1273</v>
      </c>
      <c r="F71" s="29" t="s">
        <v>1186</v>
      </c>
      <c r="G71" s="29" t="s">
        <v>1126</v>
      </c>
    </row>
    <row r="72" spans="1:9" x14ac:dyDescent="0.25">
      <c r="A72" s="29" t="s">
        <v>1002</v>
      </c>
      <c r="B72" s="29" t="s">
        <v>791</v>
      </c>
      <c r="C72" s="29" t="s">
        <v>1274</v>
      </c>
      <c r="D72" s="29">
        <v>4</v>
      </c>
      <c r="E72" s="29" t="s">
        <v>1275</v>
      </c>
      <c r="F72" s="29" t="s">
        <v>1276</v>
      </c>
      <c r="G72" s="29" t="s">
        <v>133</v>
      </c>
    </row>
    <row r="73" spans="1:9" x14ac:dyDescent="0.25">
      <c r="A73" s="29" t="s">
        <v>1002</v>
      </c>
      <c r="B73" s="29" t="s">
        <v>791</v>
      </c>
      <c r="C73" s="29" t="s">
        <v>1157</v>
      </c>
      <c r="D73" s="29">
        <v>5</v>
      </c>
      <c r="E73" s="29" t="s">
        <v>1187</v>
      </c>
      <c r="F73" s="29" t="s">
        <v>1188</v>
      </c>
      <c r="G73" s="29" t="s">
        <v>133</v>
      </c>
    </row>
    <row r="74" spans="1:9" x14ac:dyDescent="0.25">
      <c r="A74" s="29" t="s">
        <v>1002</v>
      </c>
      <c r="B74" t="s">
        <v>835</v>
      </c>
      <c r="C74" s="29" t="s">
        <v>1172</v>
      </c>
      <c r="D74" s="29">
        <v>1</v>
      </c>
      <c r="E74" s="29" t="s">
        <v>1277</v>
      </c>
      <c r="F74" s="29" t="s">
        <v>1174</v>
      </c>
      <c r="G74" s="29" t="s">
        <v>133</v>
      </c>
    </row>
    <row r="75" spans="1:9" x14ac:dyDescent="0.25">
      <c r="A75" s="29" t="s">
        <v>1002</v>
      </c>
      <c r="B75" t="s">
        <v>835</v>
      </c>
      <c r="C75" s="29" t="s">
        <v>1175</v>
      </c>
      <c r="D75" s="29">
        <v>2</v>
      </c>
      <c r="E75" s="29" t="s">
        <v>1176</v>
      </c>
      <c r="F75" s="29" t="s">
        <v>1177</v>
      </c>
      <c r="G75" s="29" t="s">
        <v>133</v>
      </c>
    </row>
    <row r="76" spans="1:9" x14ac:dyDescent="0.25">
      <c r="A76" s="29" t="s">
        <v>1002</v>
      </c>
      <c r="B76" t="s">
        <v>835</v>
      </c>
      <c r="C76" s="29" t="s">
        <v>1178</v>
      </c>
      <c r="D76" s="29">
        <v>3</v>
      </c>
      <c r="E76" s="29" t="s">
        <v>1179</v>
      </c>
      <c r="F76" s="29" t="s">
        <v>1177</v>
      </c>
      <c r="G76" s="29" t="s">
        <v>133</v>
      </c>
    </row>
    <row r="77" spans="1:9" x14ac:dyDescent="0.25">
      <c r="A77" s="29" t="s">
        <v>1002</v>
      </c>
      <c r="B77" t="s">
        <v>835</v>
      </c>
      <c r="C77" s="29" t="s">
        <v>1180</v>
      </c>
      <c r="D77" s="29">
        <v>4</v>
      </c>
      <c r="E77" s="29" t="s">
        <v>1181</v>
      </c>
      <c r="F77" s="29" t="s">
        <v>1182</v>
      </c>
      <c r="G77" s="29" t="s">
        <v>1183</v>
      </c>
    </row>
    <row r="78" spans="1:9" x14ac:dyDescent="0.25">
      <c r="A78" s="29" t="s">
        <v>1002</v>
      </c>
      <c r="B78" t="s">
        <v>835</v>
      </c>
      <c r="C78" s="29" t="s">
        <v>1184</v>
      </c>
      <c r="D78" s="29">
        <v>5</v>
      </c>
      <c r="E78" s="29" t="s">
        <v>1185</v>
      </c>
      <c r="F78" s="29" t="s">
        <v>1186</v>
      </c>
      <c r="G78" s="29" t="s">
        <v>1126</v>
      </c>
    </row>
    <row r="79" spans="1:9" x14ac:dyDescent="0.25">
      <c r="A79" s="29" t="s">
        <v>1002</v>
      </c>
      <c r="B79" t="s">
        <v>835</v>
      </c>
      <c r="C79" s="29" t="s">
        <v>1157</v>
      </c>
      <c r="D79" s="29">
        <v>6</v>
      </c>
      <c r="E79" s="29" t="s">
        <v>1187</v>
      </c>
      <c r="F79" s="29" t="s">
        <v>1188</v>
      </c>
      <c r="G79" s="29" t="s">
        <v>133</v>
      </c>
    </row>
    <row r="80" spans="1:9" x14ac:dyDescent="0.25">
      <c r="A80" s="29" t="s">
        <v>1002</v>
      </c>
      <c r="B80" s="29" t="s">
        <v>788</v>
      </c>
      <c r="C80" s="29" t="s">
        <v>1172</v>
      </c>
      <c r="D80" s="29">
        <v>1</v>
      </c>
      <c r="E80" s="29" t="s">
        <v>1278</v>
      </c>
      <c r="F80" s="29" t="s">
        <v>1279</v>
      </c>
      <c r="G80" s="29" t="s">
        <v>133</v>
      </c>
      <c r="H80" s="30"/>
      <c r="I80" s="30"/>
    </row>
    <row r="81" spans="1:9" x14ac:dyDescent="0.25">
      <c r="A81" s="29" t="s">
        <v>1002</v>
      </c>
      <c r="B81" s="29" t="s">
        <v>788</v>
      </c>
      <c r="C81" s="29" t="s">
        <v>1178</v>
      </c>
      <c r="D81" s="29">
        <v>2</v>
      </c>
      <c r="E81" s="29" t="s">
        <v>1280</v>
      </c>
      <c r="F81" s="29" t="s">
        <v>1281</v>
      </c>
      <c r="G81" s="29" t="s">
        <v>133</v>
      </c>
      <c r="H81" s="30"/>
      <c r="I81" s="30"/>
    </row>
    <row r="82" spans="1:9" x14ac:dyDescent="0.25">
      <c r="A82" s="29" t="s">
        <v>1002</v>
      </c>
      <c r="B82" s="29" t="s">
        <v>788</v>
      </c>
      <c r="C82" s="29" t="s">
        <v>1282</v>
      </c>
      <c r="D82" s="29">
        <v>3</v>
      </c>
      <c r="E82" s="29" t="s">
        <v>1283</v>
      </c>
      <c r="F82" s="29" t="s">
        <v>1284</v>
      </c>
      <c r="G82" s="29" t="s">
        <v>133</v>
      </c>
      <c r="H82" s="30"/>
      <c r="I82" s="30"/>
    </row>
    <row r="83" spans="1:9" x14ac:dyDescent="0.25">
      <c r="A83" s="29" t="s">
        <v>1002</v>
      </c>
      <c r="B83" s="29" t="s">
        <v>788</v>
      </c>
      <c r="C83" s="29" t="s">
        <v>1285</v>
      </c>
      <c r="D83" s="29">
        <v>4</v>
      </c>
      <c r="E83" s="29" t="s">
        <v>1286</v>
      </c>
      <c r="F83" s="29" t="s">
        <v>1232</v>
      </c>
      <c r="G83" s="29" t="s">
        <v>133</v>
      </c>
      <c r="H83" s="30"/>
      <c r="I83" s="30"/>
    </row>
    <row r="84" spans="1:9" x14ac:dyDescent="0.25">
      <c r="A84" s="29" t="s">
        <v>1002</v>
      </c>
      <c r="B84" s="29" t="s">
        <v>22</v>
      </c>
      <c r="C84" s="29" t="s">
        <v>1172</v>
      </c>
      <c r="D84" s="29">
        <v>1</v>
      </c>
      <c r="E84" s="29" t="s">
        <v>1287</v>
      </c>
      <c r="F84" s="29" t="s">
        <v>1288</v>
      </c>
      <c r="G84" s="29" t="s">
        <v>133</v>
      </c>
      <c r="H84" s="30"/>
      <c r="I84" s="30"/>
    </row>
    <row r="85" spans="1:9" x14ac:dyDescent="0.25">
      <c r="A85" s="29" t="s">
        <v>1002</v>
      </c>
      <c r="B85" s="29" t="s">
        <v>22</v>
      </c>
      <c r="C85" s="29" t="s">
        <v>1269</v>
      </c>
      <c r="D85" s="29">
        <v>2</v>
      </c>
      <c r="E85" s="29" t="s">
        <v>1289</v>
      </c>
      <c r="F85" s="29" t="s">
        <v>1290</v>
      </c>
      <c r="G85" s="29" t="s">
        <v>133</v>
      </c>
      <c r="H85" s="30"/>
      <c r="I85" s="30"/>
    </row>
    <row r="86" spans="1:9" x14ac:dyDescent="0.25">
      <c r="A86" s="29" t="s">
        <v>1002</v>
      </c>
      <c r="B86" s="29" t="s">
        <v>22</v>
      </c>
      <c r="C86" s="29" t="s">
        <v>1291</v>
      </c>
      <c r="D86" s="29">
        <v>3</v>
      </c>
      <c r="E86" s="29" t="s">
        <v>1292</v>
      </c>
      <c r="F86" s="29" t="s">
        <v>1293</v>
      </c>
      <c r="G86" s="29" t="s">
        <v>133</v>
      </c>
      <c r="H86" s="30"/>
      <c r="I86" s="30"/>
    </row>
    <row r="87" spans="1:9" x14ac:dyDescent="0.25">
      <c r="A87" s="29" t="s">
        <v>1002</v>
      </c>
      <c r="B87" s="29" t="s">
        <v>22</v>
      </c>
      <c r="C87" s="29" t="s">
        <v>1294</v>
      </c>
      <c r="D87" s="29">
        <v>4</v>
      </c>
      <c r="E87" s="29" t="s">
        <v>1295</v>
      </c>
      <c r="F87" s="29" t="s">
        <v>1296</v>
      </c>
      <c r="G87" s="29" t="s">
        <v>133</v>
      </c>
      <c r="H87" s="30"/>
      <c r="I87" s="30"/>
    </row>
    <row r="88" spans="1:9" x14ac:dyDescent="0.25">
      <c r="A88" s="29" t="s">
        <v>1002</v>
      </c>
      <c r="B88" s="29" t="s">
        <v>598</v>
      </c>
      <c r="C88" s="29" t="s">
        <v>1297</v>
      </c>
      <c r="D88" s="29">
        <v>1</v>
      </c>
      <c r="E88" s="29" t="s">
        <v>1298</v>
      </c>
      <c r="F88" s="29" t="s">
        <v>1299</v>
      </c>
      <c r="G88" s="29" t="s">
        <v>133</v>
      </c>
      <c r="H88" s="30"/>
      <c r="I88" s="30"/>
    </row>
    <row r="89" spans="1:9" x14ac:dyDescent="0.25">
      <c r="A89" s="29" t="s">
        <v>1002</v>
      </c>
      <c r="B89" s="29" t="s">
        <v>598</v>
      </c>
      <c r="C89" s="29" t="s">
        <v>723</v>
      </c>
      <c r="D89" s="29">
        <v>2</v>
      </c>
      <c r="E89" s="29" t="s">
        <v>1300</v>
      </c>
      <c r="F89" s="29" t="s">
        <v>1301</v>
      </c>
      <c r="G89" s="29" t="s">
        <v>133</v>
      </c>
      <c r="H89" s="30"/>
      <c r="I89" s="30"/>
    </row>
    <row r="90" spans="1:9" x14ac:dyDescent="0.25">
      <c r="A90" s="29" t="s">
        <v>1002</v>
      </c>
      <c r="B90" s="29" t="s">
        <v>598</v>
      </c>
      <c r="C90" s="29" t="s">
        <v>1302</v>
      </c>
      <c r="D90" s="29">
        <v>3</v>
      </c>
      <c r="E90" s="29" t="s">
        <v>1303</v>
      </c>
      <c r="F90" s="29" t="s">
        <v>1304</v>
      </c>
      <c r="G90" s="29" t="s">
        <v>133</v>
      </c>
      <c r="H90" s="30"/>
      <c r="I90" s="30"/>
    </row>
    <row r="91" spans="1:9" x14ac:dyDescent="0.25">
      <c r="A91" s="29" t="s">
        <v>1002</v>
      </c>
      <c r="B91" s="29" t="s">
        <v>598</v>
      </c>
      <c r="C91" s="29" t="s">
        <v>1305</v>
      </c>
      <c r="D91" s="29">
        <v>4</v>
      </c>
      <c r="E91" s="29" t="s">
        <v>1306</v>
      </c>
      <c r="F91" s="29" t="s">
        <v>1307</v>
      </c>
      <c r="G91" s="29" t="s">
        <v>133</v>
      </c>
      <c r="H91" s="30"/>
      <c r="I91" s="30"/>
    </row>
    <row r="92" spans="1:9" x14ac:dyDescent="0.25">
      <c r="A92" s="29" t="s">
        <v>1002</v>
      </c>
      <c r="B92" s="29" t="s">
        <v>787</v>
      </c>
      <c r="C92" s="29" t="s">
        <v>1172</v>
      </c>
      <c r="D92" s="29">
        <v>1</v>
      </c>
      <c r="E92" s="29" t="s">
        <v>1308</v>
      </c>
      <c r="F92" s="29" t="s">
        <v>1309</v>
      </c>
      <c r="G92" s="29" t="s">
        <v>133</v>
      </c>
      <c r="H92" s="30"/>
      <c r="I92" s="30"/>
    </row>
    <row r="93" spans="1:9" x14ac:dyDescent="0.25">
      <c r="A93" s="29" t="s">
        <v>1002</v>
      </c>
      <c r="B93" s="29" t="s">
        <v>787</v>
      </c>
      <c r="C93" s="29" t="s">
        <v>1310</v>
      </c>
      <c r="D93" s="29">
        <v>2</v>
      </c>
      <c r="E93" s="29" t="s">
        <v>1311</v>
      </c>
      <c r="F93" s="29" t="s">
        <v>1312</v>
      </c>
      <c r="G93" s="29" t="s">
        <v>135</v>
      </c>
      <c r="H93" s="30"/>
      <c r="I93" s="30"/>
    </row>
    <row r="94" spans="1:9" x14ac:dyDescent="0.25">
      <c r="A94" s="29" t="s">
        <v>1002</v>
      </c>
      <c r="B94" s="29" t="s">
        <v>787</v>
      </c>
      <c r="C94" s="29" t="s">
        <v>1178</v>
      </c>
      <c r="D94" s="29">
        <v>3</v>
      </c>
      <c r="E94" s="29" t="s">
        <v>1313</v>
      </c>
      <c r="F94" s="29" t="s">
        <v>1281</v>
      </c>
      <c r="G94" s="29" t="s">
        <v>133</v>
      </c>
      <c r="H94" s="30"/>
      <c r="I94" s="30"/>
    </row>
    <row r="95" spans="1:9" x14ac:dyDescent="0.25">
      <c r="A95" s="29" t="s">
        <v>1002</v>
      </c>
      <c r="B95" s="29" t="s">
        <v>787</v>
      </c>
      <c r="C95" s="29" t="s">
        <v>1272</v>
      </c>
      <c r="D95" s="29">
        <v>4</v>
      </c>
      <c r="E95" s="29" t="s">
        <v>1314</v>
      </c>
      <c r="F95" s="29" t="s">
        <v>1315</v>
      </c>
      <c r="G95" s="29" t="s">
        <v>133</v>
      </c>
      <c r="H95" s="30"/>
      <c r="I95" s="30"/>
    </row>
    <row r="96" spans="1:9" x14ac:dyDescent="0.25">
      <c r="A96" s="29" t="s">
        <v>1002</v>
      </c>
      <c r="B96" s="29" t="s">
        <v>787</v>
      </c>
      <c r="C96" s="29" t="s">
        <v>1157</v>
      </c>
      <c r="D96" s="29">
        <v>5</v>
      </c>
      <c r="E96" s="29" t="s">
        <v>1187</v>
      </c>
      <c r="F96" s="29" t="s">
        <v>1188</v>
      </c>
      <c r="G96" s="29" t="s">
        <v>133</v>
      </c>
      <c r="H96" s="30"/>
      <c r="I96" s="30"/>
    </row>
    <row r="97" spans="1:9" x14ac:dyDescent="0.25">
      <c r="A97" s="29" t="s">
        <v>1002</v>
      </c>
      <c r="B97" s="29" t="s">
        <v>314</v>
      </c>
      <c r="C97" s="29" t="s">
        <v>1316</v>
      </c>
      <c r="D97" s="29">
        <v>1</v>
      </c>
      <c r="E97" s="29" t="s">
        <v>1317</v>
      </c>
      <c r="F97" s="29" t="s">
        <v>1318</v>
      </c>
      <c r="G97" s="29" t="s">
        <v>133</v>
      </c>
      <c r="H97" s="30"/>
      <c r="I97" s="30"/>
    </row>
    <row r="98" spans="1:9" x14ac:dyDescent="0.25">
      <c r="A98" s="29" t="s">
        <v>1002</v>
      </c>
      <c r="B98" s="29" t="s">
        <v>314</v>
      </c>
      <c r="C98" s="29" t="s">
        <v>1319</v>
      </c>
      <c r="D98" s="29">
        <v>2</v>
      </c>
      <c r="E98" s="29" t="s">
        <v>1320</v>
      </c>
      <c r="F98" s="29" t="s">
        <v>1321</v>
      </c>
      <c r="G98" s="29" t="s">
        <v>133</v>
      </c>
      <c r="H98" s="30"/>
      <c r="I98" s="30"/>
    </row>
    <row r="99" spans="1:9" x14ac:dyDescent="0.25">
      <c r="A99" s="29" t="s">
        <v>1002</v>
      </c>
      <c r="B99" s="29" t="s">
        <v>314</v>
      </c>
      <c r="C99" s="29" t="s">
        <v>1294</v>
      </c>
      <c r="D99" s="29">
        <v>3</v>
      </c>
      <c r="E99" s="29" t="s">
        <v>1322</v>
      </c>
      <c r="F99" s="29" t="s">
        <v>1323</v>
      </c>
      <c r="G99" s="29" t="s">
        <v>133</v>
      </c>
      <c r="H99" s="30"/>
      <c r="I99" s="30"/>
    </row>
    <row r="100" spans="1:9" x14ac:dyDescent="0.25">
      <c r="A100" s="29" t="s">
        <v>1002</v>
      </c>
      <c r="B100" s="29" t="s">
        <v>314</v>
      </c>
      <c r="C100" s="29" t="s">
        <v>1324</v>
      </c>
      <c r="D100" s="29">
        <v>4</v>
      </c>
      <c r="E100" s="29" t="s">
        <v>1325</v>
      </c>
      <c r="F100" s="29" t="s">
        <v>1174</v>
      </c>
      <c r="G100" s="29" t="s">
        <v>133</v>
      </c>
      <c r="H100" s="30"/>
      <c r="I100" s="30"/>
    </row>
    <row r="101" spans="1:9" x14ac:dyDescent="0.25">
      <c r="A101" s="29" t="s">
        <v>1002</v>
      </c>
      <c r="B101" s="29" t="s">
        <v>314</v>
      </c>
      <c r="C101" s="29" t="s">
        <v>1324</v>
      </c>
      <c r="D101" s="29">
        <v>5</v>
      </c>
      <c r="E101" s="29" t="s">
        <v>1326</v>
      </c>
      <c r="F101" s="29" t="s">
        <v>1174</v>
      </c>
      <c r="G101" s="29" t="s">
        <v>133</v>
      </c>
      <c r="H101" s="30"/>
      <c r="I101" s="30"/>
    </row>
    <row r="102" spans="1:9" x14ac:dyDescent="0.25">
      <c r="A102" s="29" t="s">
        <v>1075</v>
      </c>
      <c r="B102" s="29" t="s">
        <v>92</v>
      </c>
      <c r="C102" s="29" t="s">
        <v>1327</v>
      </c>
      <c r="D102" s="29">
        <v>1</v>
      </c>
      <c r="E102" s="29" t="s">
        <v>1328</v>
      </c>
      <c r="F102" s="29" t="s">
        <v>1151</v>
      </c>
      <c r="G102" s="29" t="s">
        <v>1152</v>
      </c>
      <c r="H102" s="30"/>
      <c r="I102" s="30"/>
    </row>
    <row r="103" spans="1:9" x14ac:dyDescent="0.25">
      <c r="A103" s="29" t="s">
        <v>1075</v>
      </c>
      <c r="B103" s="29" t="s">
        <v>92</v>
      </c>
      <c r="C103" s="29" t="s">
        <v>1155</v>
      </c>
      <c r="D103" s="29">
        <v>2</v>
      </c>
      <c r="E103" s="29" t="s">
        <v>1329</v>
      </c>
      <c r="F103" s="29" t="s">
        <v>1199</v>
      </c>
      <c r="G103" s="29" t="s">
        <v>133</v>
      </c>
      <c r="H103" s="30"/>
      <c r="I103" s="30"/>
    </row>
    <row r="104" spans="1:9" x14ac:dyDescent="0.25">
      <c r="A104" s="29" t="s">
        <v>1075</v>
      </c>
      <c r="B104" s="29" t="s">
        <v>92</v>
      </c>
      <c r="C104" s="29" t="s">
        <v>1330</v>
      </c>
      <c r="D104" s="29">
        <v>3</v>
      </c>
      <c r="E104" s="29" t="s">
        <v>1331</v>
      </c>
      <c r="F104" s="29" t="s">
        <v>1199</v>
      </c>
      <c r="G104" s="29" t="s">
        <v>133</v>
      </c>
      <c r="H104" s="30"/>
      <c r="I104" s="30"/>
    </row>
    <row r="105" spans="1:9" x14ac:dyDescent="0.25">
      <c r="A105" s="29" t="s">
        <v>1075</v>
      </c>
      <c r="B105" s="29" t="s">
        <v>92</v>
      </c>
      <c r="C105" s="29" t="s">
        <v>1157</v>
      </c>
      <c r="D105" s="29">
        <v>4</v>
      </c>
      <c r="E105" s="29" t="s">
        <v>1332</v>
      </c>
      <c r="F105" s="29" t="s">
        <v>1333</v>
      </c>
      <c r="G105" s="29" t="s">
        <v>1152</v>
      </c>
      <c r="H105" s="30"/>
      <c r="I105" s="30"/>
    </row>
    <row r="106" spans="1:9" x14ac:dyDescent="0.25">
      <c r="A106" s="29" t="s">
        <v>1075</v>
      </c>
      <c r="B106" s="29" t="s">
        <v>68</v>
      </c>
      <c r="C106" s="29" t="s">
        <v>1334</v>
      </c>
      <c r="D106" s="29">
        <v>1</v>
      </c>
      <c r="E106" s="29" t="s">
        <v>1335</v>
      </c>
      <c r="F106" s="29" t="s">
        <v>1336</v>
      </c>
      <c r="G106" s="29" t="s">
        <v>1183</v>
      </c>
    </row>
    <row r="107" spans="1:9" x14ac:dyDescent="0.25">
      <c r="A107" s="29" t="s">
        <v>1075</v>
      </c>
      <c r="B107" s="29" t="s">
        <v>68</v>
      </c>
      <c r="C107" s="29" t="s">
        <v>1337</v>
      </c>
      <c r="D107" s="29">
        <v>2</v>
      </c>
      <c r="E107" s="29" t="s">
        <v>1338</v>
      </c>
      <c r="F107" s="29" t="s">
        <v>1199</v>
      </c>
      <c r="G107" s="29" t="s">
        <v>133</v>
      </c>
      <c r="H107" s="30"/>
      <c r="I107" s="30"/>
    </row>
    <row r="108" spans="1:9" x14ac:dyDescent="0.25">
      <c r="A108" s="29" t="s">
        <v>1075</v>
      </c>
      <c r="B108" s="29" t="s">
        <v>68</v>
      </c>
      <c r="C108" s="29" t="s">
        <v>1339</v>
      </c>
      <c r="D108" s="29">
        <v>3</v>
      </c>
      <c r="E108" s="29" t="s">
        <v>1340</v>
      </c>
      <c r="F108" s="29" t="s">
        <v>1199</v>
      </c>
      <c r="G108" s="29" t="s">
        <v>133</v>
      </c>
      <c r="H108" s="30"/>
      <c r="I108" s="30"/>
    </row>
    <row r="109" spans="1:9" x14ac:dyDescent="0.25">
      <c r="A109" s="29" t="s">
        <v>1075</v>
      </c>
      <c r="B109" s="29" t="s">
        <v>68</v>
      </c>
      <c r="C109" s="29" t="s">
        <v>1341</v>
      </c>
      <c r="D109" s="29">
        <v>4</v>
      </c>
      <c r="E109" s="29" t="s">
        <v>1342</v>
      </c>
      <c r="F109" s="29" t="s">
        <v>1199</v>
      </c>
      <c r="G109" s="29" t="s">
        <v>133</v>
      </c>
      <c r="H109" s="30"/>
      <c r="I109" s="30"/>
    </row>
    <row r="110" spans="1:9" x14ac:dyDescent="0.25">
      <c r="A110" s="29" t="s">
        <v>1075</v>
      </c>
      <c r="B110" s="29" t="s">
        <v>68</v>
      </c>
      <c r="C110" s="29" t="s">
        <v>1343</v>
      </c>
      <c r="D110" s="29">
        <v>5</v>
      </c>
      <c r="E110" s="29" t="s">
        <v>1344</v>
      </c>
      <c r="F110" s="29" t="s">
        <v>1199</v>
      </c>
      <c r="G110" s="29" t="s">
        <v>133</v>
      </c>
      <c r="H110" s="30"/>
      <c r="I110" s="30"/>
    </row>
    <row r="111" spans="1:9" x14ac:dyDescent="0.25">
      <c r="A111" s="29" t="s">
        <v>1075</v>
      </c>
      <c r="B111" s="29" t="s">
        <v>68</v>
      </c>
      <c r="C111" s="29" t="s">
        <v>1157</v>
      </c>
      <c r="D111" s="29">
        <v>6</v>
      </c>
      <c r="E111" s="29" t="s">
        <v>1345</v>
      </c>
      <c r="F111" s="29" t="s">
        <v>1346</v>
      </c>
      <c r="G111" s="29" t="s">
        <v>133</v>
      </c>
      <c r="H111" s="30"/>
      <c r="I111" s="30"/>
    </row>
    <row r="112" spans="1:9" x14ac:dyDescent="0.25">
      <c r="A112" s="29" t="s">
        <v>1075</v>
      </c>
      <c r="B112" s="29" t="s">
        <v>401</v>
      </c>
      <c r="C112" s="29" t="s">
        <v>1347</v>
      </c>
      <c r="D112" s="29">
        <v>1</v>
      </c>
      <c r="E112" s="29" t="s">
        <v>1348</v>
      </c>
      <c r="F112" s="29" t="s">
        <v>1151</v>
      </c>
      <c r="G112" s="29" t="s">
        <v>1152</v>
      </c>
      <c r="H112" s="30"/>
      <c r="I112" s="30"/>
    </row>
    <row r="113" spans="1:9" x14ac:dyDescent="0.25">
      <c r="A113" s="29" t="s">
        <v>1075</v>
      </c>
      <c r="B113" s="29" t="s">
        <v>401</v>
      </c>
      <c r="C113" s="29" t="s">
        <v>1349</v>
      </c>
      <c r="D113" s="29">
        <v>2</v>
      </c>
      <c r="E113" s="29" t="s">
        <v>1350</v>
      </c>
      <c r="F113" s="29" t="s">
        <v>1151</v>
      </c>
      <c r="G113" s="29" t="s">
        <v>1152</v>
      </c>
      <c r="H113" s="30"/>
      <c r="I113" s="30"/>
    </row>
    <row r="114" spans="1:9" x14ac:dyDescent="0.25">
      <c r="A114" s="29" t="s">
        <v>1075</v>
      </c>
      <c r="B114" s="29" t="s">
        <v>401</v>
      </c>
      <c r="C114" s="29" t="s">
        <v>1155</v>
      </c>
      <c r="D114" s="29">
        <v>3</v>
      </c>
      <c r="E114" s="29" t="s">
        <v>1351</v>
      </c>
      <c r="F114" s="29" t="s">
        <v>1352</v>
      </c>
      <c r="G114" s="29" t="s">
        <v>133</v>
      </c>
      <c r="H114" s="30"/>
      <c r="I114" s="30"/>
    </row>
    <row r="115" spans="1:9" x14ac:dyDescent="0.25">
      <c r="A115" s="29" t="s">
        <v>1075</v>
      </c>
      <c r="B115" s="29" t="s">
        <v>401</v>
      </c>
      <c r="C115" s="29" t="s">
        <v>1353</v>
      </c>
      <c r="D115" s="29">
        <v>4</v>
      </c>
      <c r="E115" s="29" t="s">
        <v>1354</v>
      </c>
      <c r="F115" s="29" t="s">
        <v>1355</v>
      </c>
      <c r="G115" s="29" t="s">
        <v>133</v>
      </c>
      <c r="H115" s="30"/>
      <c r="I115" s="30"/>
    </row>
    <row r="116" spans="1:9" x14ac:dyDescent="0.25">
      <c r="A116" s="29" t="s">
        <v>1075</v>
      </c>
      <c r="B116" s="29" t="s">
        <v>401</v>
      </c>
      <c r="C116" s="29" t="s">
        <v>1330</v>
      </c>
      <c r="D116" s="29">
        <v>5</v>
      </c>
      <c r="E116" s="29" t="s">
        <v>1356</v>
      </c>
      <c r="F116" s="29" t="s">
        <v>1352</v>
      </c>
      <c r="G116" s="29" t="s">
        <v>133</v>
      </c>
      <c r="H116" s="30"/>
      <c r="I116" s="30"/>
    </row>
    <row r="117" spans="1:9" x14ac:dyDescent="0.25">
      <c r="A117" s="29" t="s">
        <v>1075</v>
      </c>
      <c r="B117" s="29" t="s">
        <v>401</v>
      </c>
      <c r="C117" s="29" t="s">
        <v>1357</v>
      </c>
      <c r="D117" s="29">
        <v>6</v>
      </c>
      <c r="E117" s="29" t="s">
        <v>1358</v>
      </c>
      <c r="F117" s="29" t="s">
        <v>1359</v>
      </c>
      <c r="G117" s="29" t="s">
        <v>1152</v>
      </c>
      <c r="H117" s="30"/>
      <c r="I117" s="30"/>
    </row>
    <row r="118" spans="1:9" x14ac:dyDescent="0.25">
      <c r="A118" s="29" t="s">
        <v>1075</v>
      </c>
      <c r="B118" s="29" t="s">
        <v>401</v>
      </c>
      <c r="C118" s="29" t="s">
        <v>1360</v>
      </c>
      <c r="D118" s="29">
        <v>7</v>
      </c>
      <c r="E118" s="29" t="s">
        <v>1361</v>
      </c>
      <c r="F118" s="29" t="s">
        <v>1362</v>
      </c>
      <c r="G118" s="29" t="s">
        <v>1363</v>
      </c>
      <c r="H118" s="30"/>
      <c r="I118" s="30"/>
    </row>
    <row r="119" spans="1:9" x14ac:dyDescent="0.25">
      <c r="A119" s="29" t="s">
        <v>1075</v>
      </c>
      <c r="B119" s="29" t="s">
        <v>65</v>
      </c>
      <c r="C119" s="29" t="s">
        <v>1364</v>
      </c>
      <c r="D119" s="29">
        <v>1</v>
      </c>
      <c r="E119" s="29" t="s">
        <v>1365</v>
      </c>
      <c r="F119" s="29" t="s">
        <v>1366</v>
      </c>
      <c r="G119" s="29" t="s">
        <v>1367</v>
      </c>
      <c r="H119" s="30"/>
      <c r="I119" s="30"/>
    </row>
    <row r="120" spans="1:9" x14ac:dyDescent="0.25">
      <c r="A120" s="29" t="s">
        <v>1075</v>
      </c>
      <c r="B120" s="29" t="s">
        <v>65</v>
      </c>
      <c r="C120" s="29" t="s">
        <v>1334</v>
      </c>
      <c r="D120" s="29">
        <v>2</v>
      </c>
      <c r="E120" s="29" t="s">
        <v>1368</v>
      </c>
      <c r="F120" s="29" t="s">
        <v>1336</v>
      </c>
      <c r="G120" s="29" t="s">
        <v>1183</v>
      </c>
      <c r="H120" s="30"/>
      <c r="I120" s="30"/>
    </row>
    <row r="121" spans="1:9" x14ac:dyDescent="0.25">
      <c r="A121" s="29" t="s">
        <v>1075</v>
      </c>
      <c r="B121" s="29" t="s">
        <v>65</v>
      </c>
      <c r="C121" s="29" t="s">
        <v>1369</v>
      </c>
      <c r="D121" s="29">
        <v>3</v>
      </c>
      <c r="E121" s="29" t="s">
        <v>1370</v>
      </c>
      <c r="F121" s="29" t="s">
        <v>1199</v>
      </c>
      <c r="G121" s="29" t="s">
        <v>133</v>
      </c>
      <c r="H121" s="30"/>
      <c r="I121" s="30"/>
    </row>
    <row r="122" spans="1:9" x14ac:dyDescent="0.25">
      <c r="A122" s="29" t="s">
        <v>1075</v>
      </c>
      <c r="B122" s="29" t="s">
        <v>65</v>
      </c>
      <c r="C122" s="29" t="s">
        <v>1341</v>
      </c>
      <c r="D122" s="29">
        <v>4</v>
      </c>
      <c r="E122" s="29" t="s">
        <v>1371</v>
      </c>
      <c r="F122" s="29" t="s">
        <v>1199</v>
      </c>
      <c r="G122" s="29" t="s">
        <v>133</v>
      </c>
      <c r="H122" s="30"/>
      <c r="I122" s="30"/>
    </row>
    <row r="123" spans="1:9" x14ac:dyDescent="0.25">
      <c r="A123" s="29" t="s">
        <v>1075</v>
      </c>
      <c r="B123" s="29" t="s">
        <v>65</v>
      </c>
      <c r="C123" s="29" t="s">
        <v>1157</v>
      </c>
      <c r="D123" s="29">
        <v>5</v>
      </c>
      <c r="E123" s="29" t="s">
        <v>1372</v>
      </c>
      <c r="F123" s="29" t="s">
        <v>1373</v>
      </c>
      <c r="G123" s="29" t="s">
        <v>133</v>
      </c>
    </row>
    <row r="124" spans="1:9" x14ac:dyDescent="0.25">
      <c r="A124" s="29" t="s">
        <v>1075</v>
      </c>
      <c r="B124" s="29" t="s">
        <v>65</v>
      </c>
      <c r="C124" s="29" t="s">
        <v>1374</v>
      </c>
      <c r="D124" s="29">
        <v>6</v>
      </c>
      <c r="E124" s="29" t="s">
        <v>1375</v>
      </c>
      <c r="F124" s="29" t="s">
        <v>1376</v>
      </c>
      <c r="G124" s="29" t="s">
        <v>133</v>
      </c>
    </row>
    <row r="125" spans="1:9" x14ac:dyDescent="0.25">
      <c r="A125" s="29" t="s">
        <v>1075</v>
      </c>
      <c r="B125" s="29" t="s">
        <v>782</v>
      </c>
      <c r="C125" s="29" t="s">
        <v>1377</v>
      </c>
      <c r="D125" s="29">
        <v>1</v>
      </c>
      <c r="E125" s="29" t="s">
        <v>1378</v>
      </c>
      <c r="F125" s="29" t="s">
        <v>1151</v>
      </c>
      <c r="G125" s="29" t="s">
        <v>1152</v>
      </c>
      <c r="H125" s="30" t="s">
        <v>1379</v>
      </c>
      <c r="I125" s="30"/>
    </row>
    <row r="126" spans="1:9" x14ac:dyDescent="0.25">
      <c r="A126" s="29" t="s">
        <v>1075</v>
      </c>
      <c r="B126" s="29" t="s">
        <v>782</v>
      </c>
      <c r="C126" s="29" t="s">
        <v>1380</v>
      </c>
      <c r="D126" s="29">
        <v>2</v>
      </c>
      <c r="E126" s="29" t="s">
        <v>1348</v>
      </c>
      <c r="F126" s="29" t="s">
        <v>1151</v>
      </c>
      <c r="G126" s="29" t="s">
        <v>1152</v>
      </c>
      <c r="H126" s="30"/>
      <c r="I126" s="30"/>
    </row>
    <row r="127" spans="1:9" x14ac:dyDescent="0.25">
      <c r="A127" s="29" t="s">
        <v>1075</v>
      </c>
      <c r="B127" s="29" t="s">
        <v>782</v>
      </c>
      <c r="C127" s="29" t="s">
        <v>1381</v>
      </c>
      <c r="D127" s="29">
        <v>3</v>
      </c>
      <c r="E127" s="29" t="s">
        <v>1382</v>
      </c>
      <c r="F127" s="29" t="s">
        <v>1352</v>
      </c>
      <c r="G127" s="29" t="s">
        <v>133</v>
      </c>
      <c r="H127" s="30"/>
      <c r="I127" s="30"/>
    </row>
    <row r="128" spans="1:9" x14ac:dyDescent="0.25">
      <c r="A128" s="29" t="s">
        <v>1075</v>
      </c>
      <c r="B128" s="29" t="s">
        <v>782</v>
      </c>
      <c r="C128" s="29" t="s">
        <v>1383</v>
      </c>
      <c r="D128" s="29">
        <v>4</v>
      </c>
      <c r="E128" s="29" t="s">
        <v>1350</v>
      </c>
      <c r="F128" s="29" t="s">
        <v>1151</v>
      </c>
      <c r="G128" s="29" t="s">
        <v>1152</v>
      </c>
      <c r="H128" s="30"/>
      <c r="I128" s="30"/>
    </row>
    <row r="129" spans="1:9" x14ac:dyDescent="0.25">
      <c r="A129" s="29" t="s">
        <v>1075</v>
      </c>
      <c r="B129" s="29" t="s">
        <v>782</v>
      </c>
      <c r="C129" s="29" t="s">
        <v>1339</v>
      </c>
      <c r="D129" s="29">
        <v>5</v>
      </c>
      <c r="E129" s="29" t="s">
        <v>1356</v>
      </c>
      <c r="F129" s="29" t="s">
        <v>1352</v>
      </c>
      <c r="G129" s="29" t="s">
        <v>133</v>
      </c>
      <c r="H129" s="30"/>
      <c r="I129" s="30"/>
    </row>
    <row r="130" spans="1:9" x14ac:dyDescent="0.25">
      <c r="A130" s="29" t="s">
        <v>1075</v>
      </c>
      <c r="B130" s="29" t="s">
        <v>782</v>
      </c>
      <c r="C130" s="29" t="s">
        <v>1384</v>
      </c>
      <c r="D130" s="29">
        <v>6</v>
      </c>
      <c r="E130" s="29" t="s">
        <v>1385</v>
      </c>
      <c r="F130" s="29" t="s">
        <v>1386</v>
      </c>
      <c r="G130" s="29" t="s">
        <v>133</v>
      </c>
      <c r="H130" s="30"/>
      <c r="I130" s="30"/>
    </row>
    <row r="131" spans="1:9" x14ac:dyDescent="0.25">
      <c r="A131" s="29" t="s">
        <v>1075</v>
      </c>
      <c r="B131" s="29" t="s">
        <v>796</v>
      </c>
      <c r="C131" s="29" t="s">
        <v>1327</v>
      </c>
      <c r="D131" s="29">
        <v>1</v>
      </c>
      <c r="E131" s="29" t="s">
        <v>1387</v>
      </c>
      <c r="F131" s="29" t="s">
        <v>1151</v>
      </c>
      <c r="G131" s="29" t="s">
        <v>1152</v>
      </c>
    </row>
    <row r="132" spans="1:9" x14ac:dyDescent="0.25">
      <c r="A132" s="29" t="s">
        <v>1075</v>
      </c>
      <c r="B132" s="29" t="s">
        <v>796</v>
      </c>
      <c r="C132" s="29" t="s">
        <v>1388</v>
      </c>
      <c r="D132" s="29">
        <v>2</v>
      </c>
      <c r="E132" s="29" t="s">
        <v>1389</v>
      </c>
      <c r="F132" s="29" t="s">
        <v>1151</v>
      </c>
      <c r="G132" s="29" t="s">
        <v>1152</v>
      </c>
    </row>
    <row r="133" spans="1:9" x14ac:dyDescent="0.25">
      <c r="A133" s="29" t="s">
        <v>1075</v>
      </c>
      <c r="B133" s="29" t="s">
        <v>796</v>
      </c>
      <c r="C133" s="29" t="s">
        <v>1390</v>
      </c>
      <c r="D133" s="29">
        <v>3</v>
      </c>
      <c r="E133" s="29" t="s">
        <v>1391</v>
      </c>
      <c r="F133" s="29" t="s">
        <v>1151</v>
      </c>
      <c r="G133" s="29" t="s">
        <v>1152</v>
      </c>
    </row>
    <row r="134" spans="1:9" ht="30" x14ac:dyDescent="0.25">
      <c r="A134" s="29" t="s">
        <v>1075</v>
      </c>
      <c r="B134" s="29" t="s">
        <v>796</v>
      </c>
      <c r="C134" s="29" t="s">
        <v>1330</v>
      </c>
      <c r="D134" s="29">
        <v>4</v>
      </c>
      <c r="E134" s="31" t="s">
        <v>1392</v>
      </c>
      <c r="F134" s="29" t="s">
        <v>1199</v>
      </c>
      <c r="G134" s="29" t="s">
        <v>133</v>
      </c>
    </row>
    <row r="135" spans="1:9" ht="30" x14ac:dyDescent="0.25">
      <c r="A135" s="29" t="s">
        <v>1075</v>
      </c>
      <c r="B135" s="29" t="s">
        <v>796</v>
      </c>
      <c r="C135" s="29" t="s">
        <v>1157</v>
      </c>
      <c r="D135" s="29">
        <v>5</v>
      </c>
      <c r="E135" s="31" t="s">
        <v>1393</v>
      </c>
      <c r="F135" s="29" t="s">
        <v>1151</v>
      </c>
      <c r="G135" s="29" t="s">
        <v>1152</v>
      </c>
    </row>
    <row r="136" spans="1:9" x14ac:dyDescent="0.25">
      <c r="A136" s="29" t="s">
        <v>1075</v>
      </c>
      <c r="B136" s="29" t="s">
        <v>793</v>
      </c>
      <c r="C136" s="29" t="s">
        <v>1394</v>
      </c>
      <c r="D136" s="29">
        <v>1</v>
      </c>
      <c r="E136" s="29" t="s">
        <v>1395</v>
      </c>
      <c r="F136" s="29" t="s">
        <v>1396</v>
      </c>
      <c r="G136" s="29" t="s">
        <v>135</v>
      </c>
    </row>
    <row r="137" spans="1:9" x14ac:dyDescent="0.25">
      <c r="A137" s="29" t="s">
        <v>1075</v>
      </c>
      <c r="B137" s="29" t="s">
        <v>793</v>
      </c>
      <c r="C137" s="29" t="s">
        <v>1397</v>
      </c>
      <c r="D137" s="29">
        <v>2</v>
      </c>
      <c r="E137" s="29" t="s">
        <v>1398</v>
      </c>
      <c r="F137" s="29" t="s">
        <v>1399</v>
      </c>
      <c r="G137" s="29" t="s">
        <v>133</v>
      </c>
    </row>
    <row r="138" spans="1:9" x14ac:dyDescent="0.25">
      <c r="A138" s="29" t="s">
        <v>1075</v>
      </c>
      <c r="B138" s="29" t="s">
        <v>792</v>
      </c>
      <c r="C138" s="29" t="s">
        <v>1400</v>
      </c>
      <c r="D138" s="29">
        <v>1</v>
      </c>
      <c r="E138" s="29" t="s">
        <v>1401</v>
      </c>
      <c r="F138" s="29" t="s">
        <v>1402</v>
      </c>
      <c r="G138" s="29" t="s">
        <v>1367</v>
      </c>
    </row>
    <row r="139" spans="1:9" x14ac:dyDescent="0.25">
      <c r="A139" s="29" t="s">
        <v>1075</v>
      </c>
      <c r="B139" s="29" t="s">
        <v>792</v>
      </c>
      <c r="C139" s="29" t="s">
        <v>1327</v>
      </c>
      <c r="D139" s="29">
        <v>2</v>
      </c>
      <c r="E139" s="29" t="s">
        <v>1403</v>
      </c>
      <c r="F139" s="29" t="s">
        <v>1402</v>
      </c>
      <c r="G139" s="29" t="s">
        <v>1367</v>
      </c>
    </row>
    <row r="140" spans="1:9" x14ac:dyDescent="0.25">
      <c r="A140" s="29" t="s">
        <v>1075</v>
      </c>
      <c r="B140" s="29" t="s">
        <v>792</v>
      </c>
      <c r="C140" s="29" t="s">
        <v>1155</v>
      </c>
      <c r="D140" s="29">
        <v>3</v>
      </c>
      <c r="E140" s="29" t="s">
        <v>1404</v>
      </c>
      <c r="F140" s="29" t="s">
        <v>1199</v>
      </c>
      <c r="G140" s="29" t="s">
        <v>133</v>
      </c>
    </row>
    <row r="141" spans="1:9" x14ac:dyDescent="0.25">
      <c r="A141" s="29" t="s">
        <v>1075</v>
      </c>
      <c r="B141" s="29" t="s">
        <v>792</v>
      </c>
      <c r="C141" s="29" t="s">
        <v>1157</v>
      </c>
      <c r="D141" s="29">
        <v>4</v>
      </c>
      <c r="E141" s="29" t="s">
        <v>1405</v>
      </c>
      <c r="F141" s="29" t="s">
        <v>1373</v>
      </c>
      <c r="G141" s="29" t="s">
        <v>133</v>
      </c>
    </row>
    <row r="142" spans="1:9" x14ac:dyDescent="0.25">
      <c r="A142" s="29" t="s">
        <v>1075</v>
      </c>
      <c r="B142" s="29" t="s">
        <v>352</v>
      </c>
      <c r="C142" s="29" t="s">
        <v>1377</v>
      </c>
      <c r="D142" s="29">
        <v>1</v>
      </c>
      <c r="E142" s="29" t="s">
        <v>1406</v>
      </c>
      <c r="F142" s="29" t="s">
        <v>1151</v>
      </c>
      <c r="G142" s="29" t="s">
        <v>1152</v>
      </c>
      <c r="H142" s="30" t="s">
        <v>1379</v>
      </c>
      <c r="I142" s="30"/>
    </row>
    <row r="143" spans="1:9" x14ac:dyDescent="0.25">
      <c r="A143" s="29" t="s">
        <v>1075</v>
      </c>
      <c r="B143" s="29" t="s">
        <v>352</v>
      </c>
      <c r="C143" s="29" t="s">
        <v>1347</v>
      </c>
      <c r="D143" s="29">
        <v>2</v>
      </c>
      <c r="E143" s="29" t="s">
        <v>1348</v>
      </c>
      <c r="F143" s="29" t="s">
        <v>1151</v>
      </c>
      <c r="G143" s="29" t="s">
        <v>1152</v>
      </c>
      <c r="H143" s="30"/>
      <c r="I143" s="30"/>
    </row>
    <row r="144" spans="1:9" x14ac:dyDescent="0.25">
      <c r="A144" s="29" t="s">
        <v>1075</v>
      </c>
      <c r="B144" s="29" t="s">
        <v>352</v>
      </c>
      <c r="C144" s="29" t="s">
        <v>1349</v>
      </c>
      <c r="D144" s="29">
        <v>3</v>
      </c>
      <c r="E144" s="29" t="s">
        <v>1407</v>
      </c>
      <c r="F144" s="29" t="s">
        <v>1151</v>
      </c>
      <c r="G144" s="29" t="s">
        <v>1152</v>
      </c>
      <c r="H144" s="30"/>
      <c r="I144" s="30"/>
    </row>
    <row r="145" spans="1:9" x14ac:dyDescent="0.25">
      <c r="A145" s="29" t="s">
        <v>1075</v>
      </c>
      <c r="B145" s="29" t="s">
        <v>352</v>
      </c>
      <c r="C145" s="29" t="s">
        <v>1408</v>
      </c>
      <c r="D145" s="29">
        <v>4</v>
      </c>
      <c r="E145" s="29" t="s">
        <v>1409</v>
      </c>
      <c r="F145" s="29" t="s">
        <v>1410</v>
      </c>
      <c r="G145" s="29" t="s">
        <v>133</v>
      </c>
      <c r="H145" s="30"/>
      <c r="I145" s="30"/>
    </row>
    <row r="146" spans="1:9" x14ac:dyDescent="0.25">
      <c r="A146" s="29" t="s">
        <v>1075</v>
      </c>
      <c r="B146" s="29" t="s">
        <v>352</v>
      </c>
      <c r="C146" s="29" t="s">
        <v>1157</v>
      </c>
      <c r="D146" s="29">
        <v>5</v>
      </c>
      <c r="E146" s="29" t="s">
        <v>1411</v>
      </c>
      <c r="F146" s="29" t="s">
        <v>1410</v>
      </c>
      <c r="G146" s="29" t="s">
        <v>133</v>
      </c>
      <c r="H146" s="30"/>
      <c r="I146" s="30"/>
    </row>
    <row r="147" spans="1:9" x14ac:dyDescent="0.25">
      <c r="A147" s="29" t="s">
        <v>1075</v>
      </c>
      <c r="B147" s="29" t="s">
        <v>777</v>
      </c>
      <c r="C147" s="29" t="s">
        <v>776</v>
      </c>
      <c r="D147" s="29">
        <v>1</v>
      </c>
      <c r="E147" s="29" t="s">
        <v>1412</v>
      </c>
      <c r="F147" s="29" t="s">
        <v>1336</v>
      </c>
      <c r="G147" s="29" t="s">
        <v>1183</v>
      </c>
      <c r="H147" s="30"/>
      <c r="I147" s="30"/>
    </row>
    <row r="148" spans="1:9" x14ac:dyDescent="0.25">
      <c r="A148" s="29" t="s">
        <v>1075</v>
      </c>
      <c r="B148" s="29" t="s">
        <v>777</v>
      </c>
      <c r="C148" s="29" t="s">
        <v>1413</v>
      </c>
      <c r="D148" s="29">
        <v>2</v>
      </c>
      <c r="E148" s="29" t="s">
        <v>1414</v>
      </c>
      <c r="F148" s="29" t="s">
        <v>1336</v>
      </c>
      <c r="G148" s="29" t="s">
        <v>1183</v>
      </c>
      <c r="H148" s="30"/>
      <c r="I148" s="30"/>
    </row>
    <row r="149" spans="1:9" x14ac:dyDescent="0.25">
      <c r="A149" s="29" t="s">
        <v>1075</v>
      </c>
      <c r="B149" s="29" t="s">
        <v>777</v>
      </c>
      <c r="C149" s="29" t="s">
        <v>1415</v>
      </c>
      <c r="D149" s="29">
        <v>3</v>
      </c>
      <c r="E149" s="29" t="s">
        <v>1416</v>
      </c>
      <c r="F149" s="29" t="s">
        <v>1417</v>
      </c>
      <c r="G149" s="29" t="s">
        <v>1418</v>
      </c>
      <c r="H149" s="30"/>
      <c r="I149" s="30"/>
    </row>
    <row r="150" spans="1:9" x14ac:dyDescent="0.25">
      <c r="A150" s="29" t="s">
        <v>1075</v>
      </c>
      <c r="B150" s="29" t="s">
        <v>777</v>
      </c>
      <c r="C150" s="29" t="s">
        <v>1419</v>
      </c>
      <c r="D150" s="29">
        <v>4</v>
      </c>
      <c r="E150" s="29" t="s">
        <v>1420</v>
      </c>
      <c r="F150" s="29" t="s">
        <v>1421</v>
      </c>
      <c r="G150" s="29" t="s">
        <v>1367</v>
      </c>
      <c r="H150" s="30"/>
      <c r="I150" s="30"/>
    </row>
    <row r="151" spans="1:9" x14ac:dyDescent="0.25">
      <c r="A151" s="29" t="s">
        <v>1075</v>
      </c>
      <c r="B151" s="29" t="s">
        <v>777</v>
      </c>
      <c r="C151" s="29" t="s">
        <v>1422</v>
      </c>
      <c r="D151" s="29">
        <v>5</v>
      </c>
      <c r="E151" s="29" t="s">
        <v>1423</v>
      </c>
      <c r="F151" s="29" t="s">
        <v>1352</v>
      </c>
      <c r="G151" s="29" t="s">
        <v>133</v>
      </c>
      <c r="H151" s="30"/>
      <c r="I151" s="30"/>
    </row>
    <row r="152" spans="1:9" x14ac:dyDescent="0.25">
      <c r="A152" s="29" t="s">
        <v>1075</v>
      </c>
      <c r="B152" s="29" t="s">
        <v>777</v>
      </c>
      <c r="C152" s="29" t="s">
        <v>1157</v>
      </c>
      <c r="D152" s="29">
        <v>6</v>
      </c>
      <c r="E152" s="29" t="s">
        <v>1424</v>
      </c>
      <c r="F152" s="29" t="s">
        <v>1373</v>
      </c>
      <c r="G152" s="29" t="s">
        <v>133</v>
      </c>
      <c r="H152" s="30"/>
      <c r="I152" s="30"/>
    </row>
    <row r="153" spans="1:9" x14ac:dyDescent="0.25">
      <c r="A153" s="29" t="s">
        <v>1075</v>
      </c>
      <c r="B153" s="29" t="s">
        <v>777</v>
      </c>
      <c r="C153" s="29" t="s">
        <v>1425</v>
      </c>
      <c r="D153" s="29">
        <v>7</v>
      </c>
      <c r="E153" s="29" t="s">
        <v>1426</v>
      </c>
      <c r="F153" s="29" t="s">
        <v>1199</v>
      </c>
      <c r="G153" s="29" t="s">
        <v>1427</v>
      </c>
      <c r="H153" s="30"/>
      <c r="I153" s="30"/>
    </row>
    <row r="154" spans="1:9" x14ac:dyDescent="0.25">
      <c r="A154" s="29" t="s">
        <v>1075</v>
      </c>
      <c r="B154" s="29" t="s">
        <v>66</v>
      </c>
      <c r="C154" s="29" t="s">
        <v>1334</v>
      </c>
      <c r="D154" s="29">
        <v>1</v>
      </c>
      <c r="E154" s="29" t="s">
        <v>1368</v>
      </c>
      <c r="F154" s="29" t="s">
        <v>1336</v>
      </c>
      <c r="G154" s="29" t="s">
        <v>1183</v>
      </c>
    </row>
    <row r="155" spans="1:9" x14ac:dyDescent="0.25">
      <c r="A155" s="29" t="s">
        <v>1075</v>
      </c>
      <c r="B155" s="29" t="s">
        <v>66</v>
      </c>
      <c r="C155" s="29" t="s">
        <v>1369</v>
      </c>
      <c r="D155" s="29">
        <v>2</v>
      </c>
      <c r="E155" s="29" t="s">
        <v>1428</v>
      </c>
      <c r="F155" s="29" t="s">
        <v>1199</v>
      </c>
      <c r="G155" s="29" t="s">
        <v>133</v>
      </c>
    </row>
    <row r="156" spans="1:9" x14ac:dyDescent="0.25">
      <c r="A156" s="29" t="s">
        <v>1075</v>
      </c>
      <c r="B156" s="29" t="s">
        <v>66</v>
      </c>
      <c r="C156" s="29" t="s">
        <v>1429</v>
      </c>
      <c r="D156" s="29">
        <v>3</v>
      </c>
      <c r="E156" s="29" t="s">
        <v>1430</v>
      </c>
      <c r="F156" s="29" t="s">
        <v>1199</v>
      </c>
      <c r="G156" s="29" t="s">
        <v>133</v>
      </c>
    </row>
    <row r="157" spans="1:9" x14ac:dyDescent="0.25">
      <c r="A157" s="29" t="s">
        <v>1075</v>
      </c>
      <c r="B157" s="29" t="s">
        <v>66</v>
      </c>
      <c r="C157" s="29" t="s">
        <v>1157</v>
      </c>
      <c r="D157" s="29">
        <v>4</v>
      </c>
      <c r="E157" s="29" t="s">
        <v>1372</v>
      </c>
      <c r="F157" s="29" t="s">
        <v>1373</v>
      </c>
      <c r="G157" s="29" t="s">
        <v>133</v>
      </c>
    </row>
    <row r="158" spans="1:9" x14ac:dyDescent="0.25">
      <c r="A158" s="29" t="s">
        <v>1075</v>
      </c>
      <c r="B158" s="29" t="s">
        <v>66</v>
      </c>
      <c r="C158" s="29" t="s">
        <v>1374</v>
      </c>
      <c r="D158" s="29">
        <v>5</v>
      </c>
      <c r="E158" s="29" t="s">
        <v>1431</v>
      </c>
      <c r="F158" s="29" t="s">
        <v>1376</v>
      </c>
      <c r="G158" s="29" t="s">
        <v>133</v>
      </c>
    </row>
    <row r="159" spans="1:9" x14ac:dyDescent="0.25">
      <c r="A159" s="29" t="s">
        <v>1075</v>
      </c>
      <c r="B159" s="29" t="s">
        <v>174</v>
      </c>
      <c r="C159" s="29" t="s">
        <v>776</v>
      </c>
      <c r="D159" s="29">
        <v>1</v>
      </c>
      <c r="E159" s="29" t="s">
        <v>1432</v>
      </c>
      <c r="F159" s="29" t="s">
        <v>1336</v>
      </c>
      <c r="G159" s="29" t="s">
        <v>1183</v>
      </c>
      <c r="H159" s="30"/>
      <c r="I159" s="30"/>
    </row>
    <row r="160" spans="1:9" x14ac:dyDescent="0.25">
      <c r="A160" s="29" t="s">
        <v>1075</v>
      </c>
      <c r="B160" s="29" t="s">
        <v>174</v>
      </c>
      <c r="C160" s="29" t="s">
        <v>1413</v>
      </c>
      <c r="D160" s="29">
        <v>2</v>
      </c>
      <c r="E160" s="29" t="s">
        <v>1433</v>
      </c>
      <c r="F160" s="29" t="s">
        <v>1336</v>
      </c>
      <c r="G160" s="29" t="s">
        <v>1183</v>
      </c>
      <c r="H160" s="30"/>
      <c r="I160" s="30"/>
    </row>
    <row r="161" spans="1:9" x14ac:dyDescent="0.25">
      <c r="A161" s="29" t="s">
        <v>1075</v>
      </c>
      <c r="B161" s="29" t="s">
        <v>174</v>
      </c>
      <c r="C161" s="29" t="s">
        <v>1415</v>
      </c>
      <c r="D161" s="29">
        <v>3</v>
      </c>
      <c r="E161" s="29" t="s">
        <v>1434</v>
      </c>
      <c r="F161" s="29" t="s">
        <v>1435</v>
      </c>
      <c r="G161" s="29" t="s">
        <v>1183</v>
      </c>
      <c r="H161" s="30"/>
      <c r="I161" s="30"/>
    </row>
    <row r="162" spans="1:9" x14ac:dyDescent="0.25">
      <c r="A162" s="29" t="s">
        <v>1075</v>
      </c>
      <c r="B162" s="29" t="s">
        <v>174</v>
      </c>
      <c r="C162" s="29" t="s">
        <v>1425</v>
      </c>
      <c r="D162" s="29">
        <v>4</v>
      </c>
      <c r="E162" s="29" t="s">
        <v>1426</v>
      </c>
      <c r="F162" s="29" t="s">
        <v>1199</v>
      </c>
      <c r="G162" s="29" t="s">
        <v>1427</v>
      </c>
      <c r="H162" s="30"/>
      <c r="I162" s="30"/>
    </row>
    <row r="163" spans="1:9" x14ac:dyDescent="0.25">
      <c r="A163" s="29" t="s">
        <v>1075</v>
      </c>
      <c r="B163" s="29" t="s">
        <v>174</v>
      </c>
      <c r="C163" s="29" t="s">
        <v>1436</v>
      </c>
      <c r="D163" s="29">
        <v>5</v>
      </c>
      <c r="E163" s="29" t="s">
        <v>1437</v>
      </c>
      <c r="F163" s="29" t="s">
        <v>1199</v>
      </c>
      <c r="G163" s="29" t="s">
        <v>133</v>
      </c>
      <c r="H163" s="30"/>
      <c r="I163" s="30"/>
    </row>
    <row r="164" spans="1:9" x14ac:dyDescent="0.25">
      <c r="A164" s="29" t="s">
        <v>1076</v>
      </c>
      <c r="B164" s="29" t="s">
        <v>580</v>
      </c>
      <c r="C164" s="29" t="s">
        <v>1438</v>
      </c>
      <c r="D164" s="29">
        <v>1</v>
      </c>
      <c r="E164" s="29" t="s">
        <v>1439</v>
      </c>
      <c r="F164" s="29" t="s">
        <v>1199</v>
      </c>
      <c r="G164" s="29" t="s">
        <v>133</v>
      </c>
    </row>
    <row r="165" spans="1:9" x14ac:dyDescent="0.25">
      <c r="A165" s="29" t="s">
        <v>1076</v>
      </c>
      <c r="B165" s="29" t="s">
        <v>580</v>
      </c>
      <c r="C165" s="29" t="s">
        <v>1440</v>
      </c>
      <c r="D165" s="29">
        <v>2</v>
      </c>
      <c r="E165" s="29" t="s">
        <v>1441</v>
      </c>
      <c r="F165" s="29" t="s">
        <v>1199</v>
      </c>
      <c r="G165" s="29" t="s">
        <v>133</v>
      </c>
    </row>
    <row r="166" spans="1:9" x14ac:dyDescent="0.25">
      <c r="A166" s="29" t="s">
        <v>1076</v>
      </c>
      <c r="B166" s="29" t="s">
        <v>580</v>
      </c>
      <c r="C166" s="29" t="s">
        <v>712</v>
      </c>
      <c r="D166" s="29">
        <v>3</v>
      </c>
      <c r="E166" s="29" t="s">
        <v>1442</v>
      </c>
      <c r="F166" s="29" t="s">
        <v>1199</v>
      </c>
      <c r="G166" s="29" t="s">
        <v>133</v>
      </c>
    </row>
    <row r="167" spans="1:9" x14ac:dyDescent="0.25">
      <c r="A167" s="29" t="s">
        <v>1076</v>
      </c>
      <c r="B167" s="29" t="s">
        <v>580</v>
      </c>
      <c r="C167" t="s">
        <v>1157</v>
      </c>
      <c r="D167" s="29">
        <v>4</v>
      </c>
      <c r="E167" s="29" t="s">
        <v>1443</v>
      </c>
      <c r="F167" s="29" t="s">
        <v>1373</v>
      </c>
      <c r="G167" s="29" t="s">
        <v>133</v>
      </c>
    </row>
    <row r="168" spans="1:9" x14ac:dyDescent="0.25">
      <c r="A168" s="29" t="s">
        <v>1076</v>
      </c>
      <c r="B168" t="s">
        <v>802</v>
      </c>
      <c r="C168" t="s">
        <v>1369</v>
      </c>
      <c r="D168">
        <v>1</v>
      </c>
      <c r="E168" t="s">
        <v>1444</v>
      </c>
      <c r="F168" t="s">
        <v>1199</v>
      </c>
      <c r="G168" t="s">
        <v>133</v>
      </c>
    </row>
    <row r="169" spans="1:9" x14ac:dyDescent="0.25">
      <c r="A169" s="29" t="s">
        <v>1076</v>
      </c>
      <c r="B169" t="s">
        <v>802</v>
      </c>
      <c r="C169" t="s">
        <v>1445</v>
      </c>
      <c r="D169">
        <v>2</v>
      </c>
      <c r="E169" t="s">
        <v>1446</v>
      </c>
      <c r="F169" t="s">
        <v>1199</v>
      </c>
      <c r="G169" t="s">
        <v>133</v>
      </c>
    </row>
    <row r="170" spans="1:9" x14ac:dyDescent="0.25">
      <c r="A170" s="29" t="s">
        <v>1076</v>
      </c>
      <c r="B170" t="s">
        <v>802</v>
      </c>
      <c r="C170" t="s">
        <v>1157</v>
      </c>
      <c r="D170">
        <v>3</v>
      </c>
      <c r="E170" t="s">
        <v>1447</v>
      </c>
      <c r="F170" t="s">
        <v>1373</v>
      </c>
      <c r="G170" t="s">
        <v>133</v>
      </c>
    </row>
    <row r="171" spans="1:9" x14ac:dyDescent="0.25">
      <c r="A171" s="29" t="s">
        <v>1076</v>
      </c>
      <c r="B171" t="s">
        <v>801</v>
      </c>
      <c r="C171" t="s">
        <v>1369</v>
      </c>
      <c r="D171">
        <v>1</v>
      </c>
      <c r="E171" t="s">
        <v>1448</v>
      </c>
      <c r="F171" t="s">
        <v>1199</v>
      </c>
      <c r="G171" t="s">
        <v>133</v>
      </c>
    </row>
    <row r="172" spans="1:9" x14ac:dyDescent="0.25">
      <c r="A172" s="29" t="s">
        <v>1076</v>
      </c>
      <c r="B172" t="s">
        <v>801</v>
      </c>
      <c r="C172" t="s">
        <v>1445</v>
      </c>
      <c r="D172">
        <v>2</v>
      </c>
      <c r="E172" t="s">
        <v>1449</v>
      </c>
      <c r="F172" t="s">
        <v>1199</v>
      </c>
      <c r="G172" t="s">
        <v>133</v>
      </c>
    </row>
    <row r="173" spans="1:9" x14ac:dyDescent="0.25">
      <c r="A173" s="29" t="s">
        <v>1076</v>
      </c>
      <c r="B173" t="s">
        <v>801</v>
      </c>
      <c r="C173" t="s">
        <v>1157</v>
      </c>
      <c r="D173">
        <v>3</v>
      </c>
      <c r="E173" t="s">
        <v>1450</v>
      </c>
      <c r="F173" t="s">
        <v>1373</v>
      </c>
      <c r="G173" t="s">
        <v>133</v>
      </c>
    </row>
    <row r="174" spans="1:9" x14ac:dyDescent="0.25">
      <c r="A174" s="29" t="s">
        <v>1076</v>
      </c>
      <c r="B174" t="s">
        <v>800</v>
      </c>
      <c r="C174" t="s">
        <v>1369</v>
      </c>
      <c r="D174">
        <v>1</v>
      </c>
      <c r="E174" t="s">
        <v>1451</v>
      </c>
      <c r="F174" t="s">
        <v>1199</v>
      </c>
      <c r="G174" t="s">
        <v>133</v>
      </c>
    </row>
    <row r="175" spans="1:9" x14ac:dyDescent="0.25">
      <c r="A175" s="29" t="s">
        <v>1076</v>
      </c>
      <c r="B175" t="s">
        <v>800</v>
      </c>
      <c r="C175" t="s">
        <v>1445</v>
      </c>
      <c r="D175">
        <v>2</v>
      </c>
      <c r="E175" t="s">
        <v>1452</v>
      </c>
      <c r="F175" t="s">
        <v>1199</v>
      </c>
      <c r="G175" t="s">
        <v>133</v>
      </c>
    </row>
    <row r="176" spans="1:9" x14ac:dyDescent="0.25">
      <c r="A176" s="29" t="s">
        <v>1076</v>
      </c>
      <c r="B176" t="s">
        <v>800</v>
      </c>
      <c r="C176" t="s">
        <v>1157</v>
      </c>
      <c r="D176">
        <v>3</v>
      </c>
      <c r="E176" t="s">
        <v>1453</v>
      </c>
      <c r="F176" t="s">
        <v>1373</v>
      </c>
      <c r="G176" t="s">
        <v>133</v>
      </c>
    </row>
    <row r="177" spans="1:7" x14ac:dyDescent="0.25">
      <c r="A177" s="29" t="s">
        <v>1076</v>
      </c>
      <c r="B177" t="s">
        <v>481</v>
      </c>
      <c r="C177" t="s">
        <v>1369</v>
      </c>
      <c r="D177">
        <v>1</v>
      </c>
      <c r="E177" t="s">
        <v>1454</v>
      </c>
      <c r="F177" t="s">
        <v>1199</v>
      </c>
      <c r="G177" t="s">
        <v>133</v>
      </c>
    </row>
    <row r="178" spans="1:7" x14ac:dyDescent="0.25">
      <c r="A178" s="29" t="s">
        <v>1076</v>
      </c>
      <c r="B178" t="s">
        <v>481</v>
      </c>
      <c r="C178" t="s">
        <v>1445</v>
      </c>
      <c r="D178">
        <v>2</v>
      </c>
      <c r="E178" t="s">
        <v>1455</v>
      </c>
      <c r="F178" t="s">
        <v>1199</v>
      </c>
      <c r="G178" t="s">
        <v>133</v>
      </c>
    </row>
    <row r="179" spans="1:7" x14ac:dyDescent="0.25">
      <c r="A179" s="29" t="s">
        <v>1076</v>
      </c>
      <c r="B179" t="s">
        <v>481</v>
      </c>
      <c r="C179" t="s">
        <v>1157</v>
      </c>
      <c r="D179">
        <v>3</v>
      </c>
      <c r="E179" t="s">
        <v>1456</v>
      </c>
      <c r="F179" t="s">
        <v>1373</v>
      </c>
      <c r="G179" t="s">
        <v>133</v>
      </c>
    </row>
    <row r="180" spans="1:7" x14ac:dyDescent="0.25">
      <c r="A180" s="29" t="s">
        <v>1076</v>
      </c>
      <c r="B180" t="s">
        <v>21</v>
      </c>
      <c r="C180" t="s">
        <v>1369</v>
      </c>
      <c r="D180">
        <v>1</v>
      </c>
      <c r="E180" t="s">
        <v>1457</v>
      </c>
      <c r="F180" t="s">
        <v>1199</v>
      </c>
      <c r="G180" t="s">
        <v>133</v>
      </c>
    </row>
    <row r="181" spans="1:7" x14ac:dyDescent="0.25">
      <c r="A181" s="29" t="s">
        <v>1076</v>
      </c>
      <c r="B181" t="s">
        <v>21</v>
      </c>
      <c r="C181" t="s">
        <v>1445</v>
      </c>
      <c r="D181">
        <v>2</v>
      </c>
      <c r="E181" t="s">
        <v>1458</v>
      </c>
      <c r="F181" t="s">
        <v>1199</v>
      </c>
      <c r="G181" t="s">
        <v>133</v>
      </c>
    </row>
    <row r="182" spans="1:7" x14ac:dyDescent="0.25">
      <c r="A182" s="29" t="s">
        <v>1076</v>
      </c>
      <c r="B182" t="s">
        <v>21</v>
      </c>
      <c r="C182" t="s">
        <v>1157</v>
      </c>
      <c r="D182">
        <v>3</v>
      </c>
      <c r="E182" t="s">
        <v>1459</v>
      </c>
      <c r="F182" t="s">
        <v>1373</v>
      </c>
      <c r="G182" t="s">
        <v>133</v>
      </c>
    </row>
    <row r="183" spans="1:7" x14ac:dyDescent="0.25">
      <c r="A183" s="29" t="s">
        <v>1076</v>
      </c>
      <c r="B183" t="s">
        <v>795</v>
      </c>
      <c r="C183" t="s">
        <v>1369</v>
      </c>
      <c r="D183">
        <v>1</v>
      </c>
      <c r="E183" t="s">
        <v>1460</v>
      </c>
      <c r="F183" t="s">
        <v>1199</v>
      </c>
      <c r="G183" t="s">
        <v>133</v>
      </c>
    </row>
    <row r="184" spans="1:7" x14ac:dyDescent="0.25">
      <c r="A184" s="29" t="s">
        <v>1076</v>
      </c>
      <c r="B184" t="s">
        <v>795</v>
      </c>
      <c r="C184" t="s">
        <v>1445</v>
      </c>
      <c r="D184">
        <v>2</v>
      </c>
      <c r="E184" t="s">
        <v>1461</v>
      </c>
      <c r="F184" t="s">
        <v>1199</v>
      </c>
      <c r="G184" t="s">
        <v>133</v>
      </c>
    </row>
    <row r="185" spans="1:7" x14ac:dyDescent="0.25">
      <c r="A185" s="29" t="s">
        <v>1076</v>
      </c>
      <c r="B185" t="s">
        <v>795</v>
      </c>
      <c r="C185" t="s">
        <v>1157</v>
      </c>
      <c r="D185">
        <v>3</v>
      </c>
      <c r="E185" t="s">
        <v>1462</v>
      </c>
      <c r="F185" t="s">
        <v>1373</v>
      </c>
      <c r="G185" t="s">
        <v>133</v>
      </c>
    </row>
    <row r="186" spans="1:7" x14ac:dyDescent="0.25">
      <c r="A186" s="29" t="s">
        <v>1076</v>
      </c>
      <c r="B186" t="s">
        <v>102</v>
      </c>
      <c r="C186" t="s">
        <v>1369</v>
      </c>
      <c r="D186">
        <v>1</v>
      </c>
      <c r="E186" t="s">
        <v>1463</v>
      </c>
      <c r="F186" t="s">
        <v>1199</v>
      </c>
      <c r="G186" t="s">
        <v>133</v>
      </c>
    </row>
    <row r="187" spans="1:7" x14ac:dyDescent="0.25">
      <c r="A187" s="29" t="s">
        <v>1076</v>
      </c>
      <c r="B187" t="s">
        <v>102</v>
      </c>
      <c r="C187" t="s">
        <v>1445</v>
      </c>
      <c r="D187">
        <v>2</v>
      </c>
      <c r="E187" t="s">
        <v>1464</v>
      </c>
      <c r="F187" t="s">
        <v>1199</v>
      </c>
      <c r="G187" t="s">
        <v>133</v>
      </c>
    </row>
    <row r="188" spans="1:7" x14ac:dyDescent="0.25">
      <c r="A188" s="29" t="s">
        <v>1076</v>
      </c>
      <c r="B188" t="s">
        <v>102</v>
      </c>
      <c r="C188" t="s">
        <v>1157</v>
      </c>
      <c r="D188">
        <v>3</v>
      </c>
      <c r="E188" t="s">
        <v>1465</v>
      </c>
      <c r="F188" t="s">
        <v>1373</v>
      </c>
      <c r="G188" t="s">
        <v>133</v>
      </c>
    </row>
    <row r="189" spans="1:7" x14ac:dyDescent="0.25">
      <c r="A189" s="29" t="s">
        <v>1076</v>
      </c>
      <c r="B189" t="s">
        <v>335</v>
      </c>
      <c r="C189" t="s">
        <v>1369</v>
      </c>
      <c r="D189">
        <v>1</v>
      </c>
      <c r="E189" t="s">
        <v>1466</v>
      </c>
      <c r="F189" s="29" t="s">
        <v>1199</v>
      </c>
      <c r="G189" s="29" t="s">
        <v>133</v>
      </c>
    </row>
    <row r="190" spans="1:7" x14ac:dyDescent="0.25">
      <c r="A190" s="29" t="s">
        <v>1076</v>
      </c>
      <c r="B190" t="s">
        <v>335</v>
      </c>
      <c r="C190" s="29" t="s">
        <v>1445</v>
      </c>
      <c r="D190">
        <v>2</v>
      </c>
      <c r="E190" t="s">
        <v>1467</v>
      </c>
      <c r="F190" t="s">
        <v>1199</v>
      </c>
      <c r="G190" t="s">
        <v>133</v>
      </c>
    </row>
    <row r="191" spans="1:7" x14ac:dyDescent="0.25">
      <c r="A191" s="29" t="s">
        <v>1076</v>
      </c>
      <c r="B191" t="s">
        <v>335</v>
      </c>
      <c r="C191" t="s">
        <v>1157</v>
      </c>
      <c r="D191">
        <v>3</v>
      </c>
      <c r="E191" t="s">
        <v>1468</v>
      </c>
      <c r="F191" s="29" t="s">
        <v>1373</v>
      </c>
      <c r="G191" s="29" t="s">
        <v>133</v>
      </c>
    </row>
    <row r="192" spans="1:7" x14ac:dyDescent="0.25">
      <c r="A192" s="29" t="s">
        <v>1076</v>
      </c>
      <c r="B192" t="s">
        <v>322</v>
      </c>
      <c r="C192" t="s">
        <v>1369</v>
      </c>
      <c r="D192">
        <v>1</v>
      </c>
      <c r="E192" t="s">
        <v>1469</v>
      </c>
      <c r="F192" t="s">
        <v>1199</v>
      </c>
      <c r="G192" t="s">
        <v>133</v>
      </c>
    </row>
    <row r="193" spans="1:8" x14ac:dyDescent="0.25">
      <c r="A193" s="29" t="s">
        <v>1076</v>
      </c>
      <c r="B193" t="s">
        <v>322</v>
      </c>
      <c r="C193" t="s">
        <v>1445</v>
      </c>
      <c r="D193">
        <v>2</v>
      </c>
      <c r="E193" t="s">
        <v>1470</v>
      </c>
      <c r="F193" s="29" t="s">
        <v>1199</v>
      </c>
      <c r="G193" s="29" t="s">
        <v>133</v>
      </c>
    </row>
    <row r="194" spans="1:8" x14ac:dyDescent="0.25">
      <c r="A194" s="29" t="s">
        <v>1076</v>
      </c>
      <c r="B194" t="s">
        <v>322</v>
      </c>
      <c r="C194" t="s">
        <v>1157</v>
      </c>
      <c r="D194">
        <v>3</v>
      </c>
      <c r="E194" t="s">
        <v>1471</v>
      </c>
      <c r="F194" t="s">
        <v>1373</v>
      </c>
      <c r="G194" t="s">
        <v>133</v>
      </c>
    </row>
    <row r="195" spans="1:8" x14ac:dyDescent="0.25">
      <c r="A195" s="29" t="s">
        <v>1076</v>
      </c>
      <c r="B195" t="s">
        <v>268</v>
      </c>
      <c r="C195" t="s">
        <v>1369</v>
      </c>
      <c r="D195">
        <v>1</v>
      </c>
      <c r="E195" t="s">
        <v>1472</v>
      </c>
      <c r="F195" t="s">
        <v>1199</v>
      </c>
      <c r="G195" s="29" t="s">
        <v>133</v>
      </c>
    </row>
    <row r="196" spans="1:8" x14ac:dyDescent="0.25">
      <c r="A196" s="29" t="s">
        <v>1076</v>
      </c>
      <c r="B196" t="s">
        <v>268</v>
      </c>
      <c r="C196" s="29" t="s">
        <v>1445</v>
      </c>
      <c r="D196" s="29">
        <v>2</v>
      </c>
      <c r="E196" s="29" t="s">
        <v>1473</v>
      </c>
      <c r="F196" s="29" t="s">
        <v>1199</v>
      </c>
      <c r="G196" s="29" t="s">
        <v>133</v>
      </c>
    </row>
    <row r="197" spans="1:8" x14ac:dyDescent="0.25">
      <c r="A197" s="29" t="s">
        <v>1076</v>
      </c>
      <c r="B197" t="s">
        <v>268</v>
      </c>
      <c r="C197" t="s">
        <v>1157</v>
      </c>
      <c r="D197">
        <v>3</v>
      </c>
      <c r="E197" t="s">
        <v>1474</v>
      </c>
      <c r="F197" s="29" t="s">
        <v>1373</v>
      </c>
      <c r="G197" s="29" t="s">
        <v>133</v>
      </c>
    </row>
    <row r="198" spans="1:8" x14ac:dyDescent="0.25">
      <c r="A198" s="29" t="s">
        <v>1076</v>
      </c>
      <c r="B198" s="29" t="s">
        <v>248</v>
      </c>
      <c r="C198" s="29" t="s">
        <v>1369</v>
      </c>
      <c r="D198">
        <v>1</v>
      </c>
      <c r="E198" s="8" t="s">
        <v>1475</v>
      </c>
      <c r="F198" s="29" t="s">
        <v>1199</v>
      </c>
      <c r="G198" s="29" t="s">
        <v>133</v>
      </c>
    </row>
    <row r="199" spans="1:8" ht="30" x14ac:dyDescent="0.25">
      <c r="A199" s="29" t="s">
        <v>1076</v>
      </c>
      <c r="B199" s="29" t="s">
        <v>248</v>
      </c>
      <c r="C199" s="29" t="s">
        <v>1445</v>
      </c>
      <c r="D199">
        <v>2</v>
      </c>
      <c r="E199" s="8" t="s">
        <v>1476</v>
      </c>
      <c r="F199" t="s">
        <v>1199</v>
      </c>
      <c r="G199" t="s">
        <v>133</v>
      </c>
    </row>
    <row r="200" spans="1:8" x14ac:dyDescent="0.25">
      <c r="A200" s="29" t="s">
        <v>1076</v>
      </c>
      <c r="B200" s="29" t="s">
        <v>248</v>
      </c>
      <c r="C200" s="29" t="s">
        <v>1157</v>
      </c>
      <c r="D200" s="29">
        <v>3</v>
      </c>
      <c r="E200" s="29" t="s">
        <v>1477</v>
      </c>
      <c r="F200" s="29" t="s">
        <v>1373</v>
      </c>
      <c r="G200" s="29" t="s">
        <v>133</v>
      </c>
    </row>
    <row r="201" spans="1:8" x14ac:dyDescent="0.25">
      <c r="A201" s="29" t="s">
        <v>1076</v>
      </c>
      <c r="B201" s="29" t="s">
        <v>194</v>
      </c>
      <c r="C201" t="s">
        <v>1478</v>
      </c>
      <c r="D201" s="29">
        <v>1</v>
      </c>
      <c r="E201" s="29" t="s">
        <v>1479</v>
      </c>
      <c r="F201" s="29" t="s">
        <v>1199</v>
      </c>
      <c r="G201" s="29" t="s">
        <v>133</v>
      </c>
    </row>
    <row r="202" spans="1:8" x14ac:dyDescent="0.25">
      <c r="A202" s="29" t="s">
        <v>1076</v>
      </c>
      <c r="B202" s="29" t="s">
        <v>194</v>
      </c>
      <c r="C202" s="29" t="s">
        <v>1480</v>
      </c>
      <c r="D202" s="29">
        <v>2</v>
      </c>
      <c r="E202" s="29" t="s">
        <v>1481</v>
      </c>
      <c r="F202" s="29" t="s">
        <v>1199</v>
      </c>
      <c r="G202" s="29" t="s">
        <v>133</v>
      </c>
    </row>
    <row r="203" spans="1:8" x14ac:dyDescent="0.25">
      <c r="A203" s="29" t="s">
        <v>1076</v>
      </c>
      <c r="B203" s="29" t="s">
        <v>194</v>
      </c>
      <c r="C203" s="29" t="s">
        <v>1482</v>
      </c>
      <c r="D203" s="29">
        <v>3</v>
      </c>
      <c r="E203" s="29" t="s">
        <v>1483</v>
      </c>
      <c r="F203" s="29" t="s">
        <v>1199</v>
      </c>
      <c r="G203" s="29" t="s">
        <v>133</v>
      </c>
      <c r="H203" s="29"/>
    </row>
    <row r="204" spans="1:8" x14ac:dyDescent="0.25">
      <c r="A204" s="29" t="s">
        <v>1076</v>
      </c>
      <c r="B204" s="29" t="s">
        <v>194</v>
      </c>
      <c r="C204" s="29" t="s">
        <v>1484</v>
      </c>
      <c r="D204" s="29">
        <v>4</v>
      </c>
      <c r="E204" s="29" t="s">
        <v>1485</v>
      </c>
      <c r="F204" s="29" t="s">
        <v>1199</v>
      </c>
      <c r="G204" s="29" t="s">
        <v>133</v>
      </c>
      <c r="H204" s="29"/>
    </row>
    <row r="205" spans="1:8" x14ac:dyDescent="0.25">
      <c r="A205" s="29" t="s">
        <v>1076</v>
      </c>
      <c r="B205" s="29" t="s">
        <v>194</v>
      </c>
      <c r="C205" s="29" t="s">
        <v>1486</v>
      </c>
      <c r="D205">
        <v>5</v>
      </c>
      <c r="E205" s="8" t="s">
        <v>1487</v>
      </c>
      <c r="F205" s="29" t="s">
        <v>1199</v>
      </c>
      <c r="G205" s="29" t="s">
        <v>133</v>
      </c>
      <c r="H205" s="29"/>
    </row>
    <row r="206" spans="1:8" x14ac:dyDescent="0.25">
      <c r="A206" s="29" t="s">
        <v>1076</v>
      </c>
      <c r="B206" s="29" t="s">
        <v>194</v>
      </c>
      <c r="C206" s="29" t="s">
        <v>1488</v>
      </c>
      <c r="D206">
        <v>6</v>
      </c>
      <c r="E206" s="8" t="s">
        <v>1489</v>
      </c>
      <c r="F206" t="s">
        <v>1199</v>
      </c>
      <c r="G206" t="s">
        <v>133</v>
      </c>
      <c r="H206" s="29"/>
    </row>
    <row r="207" spans="1:8" x14ac:dyDescent="0.25">
      <c r="A207" s="29" t="s">
        <v>1076</v>
      </c>
      <c r="B207" s="29" t="s">
        <v>194</v>
      </c>
      <c r="C207" s="29" t="s">
        <v>1369</v>
      </c>
      <c r="D207" s="29">
        <v>7</v>
      </c>
      <c r="E207" s="29" t="s">
        <v>1490</v>
      </c>
      <c r="F207" s="29" t="s">
        <v>1199</v>
      </c>
      <c r="G207" s="29" t="s">
        <v>133</v>
      </c>
      <c r="H207" s="29"/>
    </row>
    <row r="208" spans="1:8" x14ac:dyDescent="0.25">
      <c r="A208" s="29" t="s">
        <v>1076</v>
      </c>
      <c r="B208" s="29" t="s">
        <v>194</v>
      </c>
      <c r="C208" t="s">
        <v>1157</v>
      </c>
      <c r="D208">
        <v>8</v>
      </c>
      <c r="E208" t="s">
        <v>1491</v>
      </c>
      <c r="F208" s="29" t="s">
        <v>1373</v>
      </c>
      <c r="G208" s="29" t="s">
        <v>133</v>
      </c>
      <c r="H208" s="29"/>
    </row>
    <row r="209" spans="1:9" x14ac:dyDescent="0.25">
      <c r="A209" s="29" t="s">
        <v>1076</v>
      </c>
      <c r="B209" s="29" t="s">
        <v>752</v>
      </c>
      <c r="C209" s="29" t="s">
        <v>1369</v>
      </c>
      <c r="D209" s="29">
        <v>1</v>
      </c>
      <c r="E209" s="29" t="s">
        <v>1492</v>
      </c>
      <c r="F209" s="29" t="s">
        <v>1199</v>
      </c>
      <c r="G209" s="29" t="s">
        <v>133</v>
      </c>
    </row>
    <row r="210" spans="1:9" x14ac:dyDescent="0.25">
      <c r="A210" s="29" t="s">
        <v>1076</v>
      </c>
      <c r="B210" s="29" t="s">
        <v>752</v>
      </c>
      <c r="C210" s="29" t="s">
        <v>1445</v>
      </c>
      <c r="D210" s="29">
        <v>2</v>
      </c>
      <c r="E210" s="29" t="s">
        <v>1493</v>
      </c>
      <c r="F210" s="29" t="s">
        <v>1199</v>
      </c>
      <c r="G210" s="29" t="s">
        <v>133</v>
      </c>
    </row>
    <row r="211" spans="1:9" x14ac:dyDescent="0.25">
      <c r="A211" s="29" t="s">
        <v>1076</v>
      </c>
      <c r="B211" s="29" t="s">
        <v>752</v>
      </c>
      <c r="C211" s="29" t="s">
        <v>1157</v>
      </c>
      <c r="D211" s="29">
        <v>3</v>
      </c>
      <c r="E211" s="29" t="s">
        <v>1494</v>
      </c>
      <c r="F211" s="29" t="s">
        <v>1373</v>
      </c>
      <c r="G211" s="29" t="s">
        <v>133</v>
      </c>
    </row>
    <row r="212" spans="1:9" x14ac:dyDescent="0.25">
      <c r="A212" s="29" t="s">
        <v>1076</v>
      </c>
      <c r="B212" s="29" t="s">
        <v>162</v>
      </c>
      <c r="C212" s="29" t="s">
        <v>1334</v>
      </c>
      <c r="D212" s="29">
        <v>1</v>
      </c>
      <c r="E212" s="29" t="s">
        <v>1495</v>
      </c>
      <c r="F212" s="29" t="s">
        <v>1336</v>
      </c>
      <c r="G212" s="29" t="s">
        <v>1183</v>
      </c>
      <c r="H212" s="30"/>
      <c r="I212" s="30"/>
    </row>
    <row r="213" spans="1:9" x14ac:dyDescent="0.25">
      <c r="A213" s="29" t="s">
        <v>1076</v>
      </c>
      <c r="B213" s="29" t="s">
        <v>162</v>
      </c>
      <c r="C213" s="29" t="s">
        <v>1496</v>
      </c>
      <c r="D213" s="29">
        <v>2</v>
      </c>
      <c r="E213" s="29" t="s">
        <v>1497</v>
      </c>
      <c r="F213" s="29" t="s">
        <v>1498</v>
      </c>
      <c r="G213" s="29" t="s">
        <v>1183</v>
      </c>
      <c r="H213" s="30"/>
      <c r="I213" s="30"/>
    </row>
    <row r="214" spans="1:9" x14ac:dyDescent="0.25">
      <c r="A214" s="29" t="s">
        <v>1076</v>
      </c>
      <c r="B214" s="29" t="s">
        <v>162</v>
      </c>
      <c r="C214" s="29" t="s">
        <v>1341</v>
      </c>
      <c r="D214" s="29">
        <v>3</v>
      </c>
      <c r="E214" s="29" t="s">
        <v>1499</v>
      </c>
      <c r="F214" s="29" t="s">
        <v>1199</v>
      </c>
      <c r="G214" s="29" t="s">
        <v>133</v>
      </c>
      <c r="H214" s="30"/>
      <c r="I214" s="30"/>
    </row>
    <row r="215" spans="1:9" x14ac:dyDescent="0.25">
      <c r="A215" s="29" t="s">
        <v>807</v>
      </c>
      <c r="B215" t="s">
        <v>315</v>
      </c>
      <c r="C215" t="s">
        <v>1500</v>
      </c>
      <c r="D215">
        <v>1</v>
      </c>
      <c r="E215" t="s">
        <v>1501</v>
      </c>
      <c r="F215" t="s">
        <v>1373</v>
      </c>
      <c r="G215" t="s">
        <v>133</v>
      </c>
    </row>
    <row r="216" spans="1:9" x14ac:dyDescent="0.25">
      <c r="A216" s="29" t="s">
        <v>807</v>
      </c>
      <c r="B216" t="s">
        <v>315</v>
      </c>
      <c r="C216" t="s">
        <v>1502</v>
      </c>
      <c r="D216">
        <v>2</v>
      </c>
      <c r="E216" t="s">
        <v>1503</v>
      </c>
      <c r="F216" t="s">
        <v>1504</v>
      </c>
      <c r="G216" t="s">
        <v>133</v>
      </c>
    </row>
    <row r="217" spans="1:9" x14ac:dyDescent="0.25">
      <c r="A217" s="29" t="s">
        <v>807</v>
      </c>
      <c r="B217" t="s">
        <v>315</v>
      </c>
      <c r="C217" t="s">
        <v>1505</v>
      </c>
      <c r="D217">
        <v>3</v>
      </c>
      <c r="E217" t="s">
        <v>1506</v>
      </c>
      <c r="F217" t="s">
        <v>1507</v>
      </c>
      <c r="G217" t="s">
        <v>1183</v>
      </c>
    </row>
    <row r="218" spans="1:9" x14ac:dyDescent="0.25">
      <c r="A218" s="29" t="s">
        <v>807</v>
      </c>
      <c r="B218" t="s">
        <v>315</v>
      </c>
      <c r="C218" t="s">
        <v>1508</v>
      </c>
      <c r="D218">
        <v>4</v>
      </c>
      <c r="E218" t="s">
        <v>1509</v>
      </c>
      <c r="F218" t="s">
        <v>1199</v>
      </c>
      <c r="G218" t="s">
        <v>133</v>
      </c>
    </row>
    <row r="219" spans="1:9" x14ac:dyDescent="0.25">
      <c r="A219" s="29" t="s">
        <v>807</v>
      </c>
      <c r="B219" t="s">
        <v>315</v>
      </c>
      <c r="C219" t="s">
        <v>1157</v>
      </c>
      <c r="D219">
        <v>5</v>
      </c>
      <c r="E219" t="s">
        <v>1510</v>
      </c>
      <c r="F219" t="s">
        <v>1373</v>
      </c>
      <c r="G219" t="s">
        <v>133</v>
      </c>
    </row>
    <row r="220" spans="1:9" x14ac:dyDescent="0.25">
      <c r="A220" s="29" t="s">
        <v>807</v>
      </c>
      <c r="B220" t="s">
        <v>88</v>
      </c>
      <c r="C220" t="s">
        <v>1369</v>
      </c>
      <c r="D220">
        <v>1</v>
      </c>
      <c r="E220" t="s">
        <v>1511</v>
      </c>
      <c r="F220" t="s">
        <v>1199</v>
      </c>
      <c r="G220" t="s">
        <v>133</v>
      </c>
    </row>
    <row r="221" spans="1:9" x14ac:dyDescent="0.25">
      <c r="A221" s="29" t="s">
        <v>807</v>
      </c>
      <c r="B221" t="s">
        <v>88</v>
      </c>
      <c r="C221" t="s">
        <v>1512</v>
      </c>
      <c r="D221">
        <v>2</v>
      </c>
      <c r="E221" t="s">
        <v>1513</v>
      </c>
      <c r="F221" t="s">
        <v>1199</v>
      </c>
      <c r="G221" t="s">
        <v>133</v>
      </c>
    </row>
    <row r="222" spans="1:9" x14ac:dyDescent="0.25">
      <c r="A222" s="29" t="s">
        <v>807</v>
      </c>
      <c r="B222" t="s">
        <v>88</v>
      </c>
      <c r="C222" t="s">
        <v>1445</v>
      </c>
      <c r="D222">
        <v>3</v>
      </c>
      <c r="E222" t="s">
        <v>1514</v>
      </c>
      <c r="F222" t="s">
        <v>1199</v>
      </c>
      <c r="G222" t="s">
        <v>133</v>
      </c>
    </row>
    <row r="223" spans="1:9" x14ac:dyDescent="0.25">
      <c r="A223" s="29" t="s">
        <v>807</v>
      </c>
      <c r="B223" t="s">
        <v>88</v>
      </c>
      <c r="C223" t="s">
        <v>1157</v>
      </c>
      <c r="D223">
        <v>4</v>
      </c>
      <c r="E223" t="s">
        <v>1515</v>
      </c>
      <c r="F223" t="s">
        <v>1373</v>
      </c>
      <c r="G223" t="s">
        <v>133</v>
      </c>
    </row>
    <row r="224" spans="1:9" x14ac:dyDescent="0.25">
      <c r="A224" s="29" t="s">
        <v>807</v>
      </c>
      <c r="B224" s="29" t="s">
        <v>799</v>
      </c>
      <c r="C224" t="s">
        <v>1500</v>
      </c>
      <c r="D224">
        <v>1</v>
      </c>
      <c r="E224" t="s">
        <v>1516</v>
      </c>
      <c r="F224" t="s">
        <v>1517</v>
      </c>
      <c r="G224" t="s">
        <v>133</v>
      </c>
    </row>
    <row r="225" spans="1:7" x14ac:dyDescent="0.25">
      <c r="A225" s="29" t="s">
        <v>807</v>
      </c>
      <c r="B225" s="29" t="s">
        <v>799</v>
      </c>
      <c r="C225" t="s">
        <v>1518</v>
      </c>
      <c r="D225">
        <v>2</v>
      </c>
      <c r="E225" t="s">
        <v>1519</v>
      </c>
      <c r="F225" t="s">
        <v>1517</v>
      </c>
      <c r="G225" t="s">
        <v>133</v>
      </c>
    </row>
    <row r="226" spans="1:7" x14ac:dyDescent="0.25">
      <c r="A226" s="29" t="s">
        <v>807</v>
      </c>
      <c r="B226" s="29" t="s">
        <v>799</v>
      </c>
      <c r="C226" t="s">
        <v>1520</v>
      </c>
      <c r="D226">
        <v>3</v>
      </c>
      <c r="E226" t="s">
        <v>1521</v>
      </c>
      <c r="F226" s="29" t="s">
        <v>1199</v>
      </c>
      <c r="G226" s="29" t="s">
        <v>133</v>
      </c>
    </row>
    <row r="227" spans="1:7" x14ac:dyDescent="0.25">
      <c r="A227" s="29" t="s">
        <v>807</v>
      </c>
      <c r="B227" s="29" t="s">
        <v>799</v>
      </c>
      <c r="C227" t="s">
        <v>1502</v>
      </c>
      <c r="D227">
        <v>4</v>
      </c>
      <c r="E227" t="s">
        <v>1522</v>
      </c>
      <c r="F227" t="s">
        <v>1199</v>
      </c>
      <c r="G227" t="s">
        <v>133</v>
      </c>
    </row>
    <row r="228" spans="1:7" x14ac:dyDescent="0.25">
      <c r="A228" s="29" t="s">
        <v>807</v>
      </c>
      <c r="B228" s="29" t="s">
        <v>799</v>
      </c>
      <c r="C228" t="s">
        <v>1523</v>
      </c>
      <c r="D228">
        <v>5</v>
      </c>
      <c r="E228" t="s">
        <v>1524</v>
      </c>
      <c r="F228" t="s">
        <v>1199</v>
      </c>
      <c r="G228" t="s">
        <v>133</v>
      </c>
    </row>
    <row r="229" spans="1:7" x14ac:dyDescent="0.25">
      <c r="A229" s="29" t="s">
        <v>807</v>
      </c>
      <c r="B229" s="29" t="s">
        <v>799</v>
      </c>
      <c r="C229" t="s">
        <v>1525</v>
      </c>
      <c r="D229">
        <v>6</v>
      </c>
      <c r="E229" t="s">
        <v>1526</v>
      </c>
      <c r="F229" t="s">
        <v>1527</v>
      </c>
      <c r="G229" t="s">
        <v>1528</v>
      </c>
    </row>
    <row r="230" spans="1:7" x14ac:dyDescent="0.25">
      <c r="A230" s="29" t="s">
        <v>807</v>
      </c>
      <c r="B230" s="29" t="s">
        <v>799</v>
      </c>
      <c r="C230" t="s">
        <v>1529</v>
      </c>
      <c r="D230">
        <v>7</v>
      </c>
      <c r="E230" t="s">
        <v>1530</v>
      </c>
      <c r="F230" t="s">
        <v>1366</v>
      </c>
      <c r="G230" t="s">
        <v>1367</v>
      </c>
    </row>
    <row r="231" spans="1:7" x14ac:dyDescent="0.25">
      <c r="A231" s="29" t="s">
        <v>807</v>
      </c>
      <c r="B231" s="29" t="s">
        <v>799</v>
      </c>
      <c r="C231" t="s">
        <v>1531</v>
      </c>
      <c r="D231">
        <v>8</v>
      </c>
      <c r="E231" t="s">
        <v>1532</v>
      </c>
      <c r="F231" t="s">
        <v>1533</v>
      </c>
      <c r="G231" t="s">
        <v>1534</v>
      </c>
    </row>
    <row r="232" spans="1:7" x14ac:dyDescent="0.25">
      <c r="A232" s="29" t="s">
        <v>807</v>
      </c>
      <c r="B232" s="29" t="s">
        <v>799</v>
      </c>
      <c r="C232" t="s">
        <v>1369</v>
      </c>
      <c r="D232">
        <v>9</v>
      </c>
      <c r="E232" t="s">
        <v>1535</v>
      </c>
      <c r="F232" t="s">
        <v>1199</v>
      </c>
      <c r="G232" t="s">
        <v>133</v>
      </c>
    </row>
    <row r="233" spans="1:7" x14ac:dyDescent="0.25">
      <c r="A233" s="29" t="s">
        <v>807</v>
      </c>
      <c r="B233" s="29" t="s">
        <v>799</v>
      </c>
      <c r="C233" t="s">
        <v>1536</v>
      </c>
      <c r="D233">
        <v>10</v>
      </c>
      <c r="E233" t="s">
        <v>1537</v>
      </c>
      <c r="F233" t="s">
        <v>1199</v>
      </c>
      <c r="G233" t="s">
        <v>133</v>
      </c>
    </row>
    <row r="234" spans="1:7" x14ac:dyDescent="0.25">
      <c r="A234" s="29" t="s">
        <v>807</v>
      </c>
      <c r="B234" s="29" t="s">
        <v>799</v>
      </c>
      <c r="C234" t="s">
        <v>1538</v>
      </c>
      <c r="D234">
        <v>11</v>
      </c>
      <c r="E234" t="s">
        <v>1539</v>
      </c>
      <c r="F234" t="s">
        <v>1517</v>
      </c>
      <c r="G234" t="s">
        <v>133</v>
      </c>
    </row>
    <row r="235" spans="1:7" x14ac:dyDescent="0.25">
      <c r="A235" s="29" t="s">
        <v>807</v>
      </c>
      <c r="B235" s="29" t="s">
        <v>799</v>
      </c>
      <c r="C235" t="s">
        <v>1157</v>
      </c>
      <c r="D235">
        <v>12</v>
      </c>
      <c r="E235" t="s">
        <v>1540</v>
      </c>
      <c r="F235" t="s">
        <v>1373</v>
      </c>
      <c r="G235" t="s">
        <v>133</v>
      </c>
    </row>
    <row r="236" spans="1:7" x14ac:dyDescent="0.25">
      <c r="A236" s="29" t="s">
        <v>807</v>
      </c>
      <c r="B236" t="s">
        <v>797</v>
      </c>
      <c r="C236" t="s">
        <v>1364</v>
      </c>
      <c r="D236">
        <v>1</v>
      </c>
      <c r="E236" t="s">
        <v>1541</v>
      </c>
      <c r="F236" t="s">
        <v>1421</v>
      </c>
      <c r="G236" t="s">
        <v>1367</v>
      </c>
    </row>
    <row r="237" spans="1:7" x14ac:dyDescent="0.25">
      <c r="A237" s="29" t="s">
        <v>807</v>
      </c>
      <c r="B237" t="s">
        <v>797</v>
      </c>
      <c r="C237" t="s">
        <v>1157</v>
      </c>
      <c r="D237">
        <v>2</v>
      </c>
      <c r="E237" t="s">
        <v>1542</v>
      </c>
      <c r="F237" t="s">
        <v>1373</v>
      </c>
      <c r="G237" t="s">
        <v>133</v>
      </c>
    </row>
    <row r="238" spans="1:7" x14ac:dyDescent="0.25">
      <c r="A238" s="29" t="s">
        <v>807</v>
      </c>
      <c r="B238" t="s">
        <v>797</v>
      </c>
      <c r="C238" t="s">
        <v>1543</v>
      </c>
      <c r="D238">
        <v>3</v>
      </c>
      <c r="E238" t="s">
        <v>1544</v>
      </c>
      <c r="F238" t="s">
        <v>1199</v>
      </c>
      <c r="G238" t="s">
        <v>133</v>
      </c>
    </row>
    <row r="239" spans="1:7" x14ac:dyDescent="0.25">
      <c r="A239" s="29" t="s">
        <v>807</v>
      </c>
      <c r="B239" t="s">
        <v>797</v>
      </c>
      <c r="C239" t="s">
        <v>1545</v>
      </c>
      <c r="D239">
        <v>4</v>
      </c>
      <c r="E239" t="s">
        <v>1546</v>
      </c>
      <c r="F239" t="s">
        <v>1199</v>
      </c>
      <c r="G239" t="s">
        <v>133</v>
      </c>
    </row>
    <row r="240" spans="1:7" x14ac:dyDescent="0.25">
      <c r="A240" s="29" t="s">
        <v>807</v>
      </c>
      <c r="B240" t="s">
        <v>797</v>
      </c>
      <c r="C240" t="s">
        <v>1547</v>
      </c>
      <c r="D240">
        <v>5</v>
      </c>
      <c r="E240" t="s">
        <v>1548</v>
      </c>
      <c r="F240" t="s">
        <v>1199</v>
      </c>
      <c r="G240" t="s">
        <v>133</v>
      </c>
    </row>
    <row r="241" spans="1:7" x14ac:dyDescent="0.25">
      <c r="A241" s="29" t="s">
        <v>807</v>
      </c>
      <c r="B241" t="s">
        <v>797</v>
      </c>
      <c r="C241" t="s">
        <v>1549</v>
      </c>
      <c r="D241">
        <v>6</v>
      </c>
      <c r="E241" t="s">
        <v>1550</v>
      </c>
      <c r="F241" t="s">
        <v>1551</v>
      </c>
      <c r="G241" t="s">
        <v>133</v>
      </c>
    </row>
    <row r="242" spans="1:7" x14ac:dyDescent="0.25">
      <c r="A242" s="29" t="s">
        <v>807</v>
      </c>
      <c r="B242" t="s">
        <v>797</v>
      </c>
      <c r="C242" t="s">
        <v>1552</v>
      </c>
      <c r="D242">
        <v>7</v>
      </c>
      <c r="E242" t="s">
        <v>1553</v>
      </c>
      <c r="F242" t="s">
        <v>1199</v>
      </c>
      <c r="G242" t="s">
        <v>135</v>
      </c>
    </row>
    <row r="243" spans="1:7" x14ac:dyDescent="0.25">
      <c r="A243" s="29" t="s">
        <v>807</v>
      </c>
      <c r="B243" t="s">
        <v>797</v>
      </c>
      <c r="C243" t="s">
        <v>1554</v>
      </c>
      <c r="D243">
        <v>8</v>
      </c>
      <c r="E243" t="s">
        <v>1555</v>
      </c>
      <c r="F243" t="s">
        <v>1556</v>
      </c>
      <c r="G243" t="s">
        <v>133</v>
      </c>
    </row>
    <row r="244" spans="1:7" x14ac:dyDescent="0.25">
      <c r="A244" s="29" t="s">
        <v>807</v>
      </c>
      <c r="B244" t="s">
        <v>797</v>
      </c>
      <c r="C244" t="s">
        <v>1557</v>
      </c>
      <c r="D244">
        <v>9</v>
      </c>
      <c r="E244" t="s">
        <v>1558</v>
      </c>
      <c r="F244" t="s">
        <v>1559</v>
      </c>
      <c r="G244" t="s">
        <v>133</v>
      </c>
    </row>
    <row r="245" spans="1:7" x14ac:dyDescent="0.25">
      <c r="A245" s="29" t="s">
        <v>807</v>
      </c>
      <c r="B245" t="s">
        <v>797</v>
      </c>
      <c r="C245" t="s">
        <v>1560</v>
      </c>
      <c r="D245">
        <v>10</v>
      </c>
      <c r="E245" t="s">
        <v>1561</v>
      </c>
      <c r="F245" t="s">
        <v>1562</v>
      </c>
      <c r="G245" t="s">
        <v>133</v>
      </c>
    </row>
    <row r="246" spans="1:7" x14ac:dyDescent="0.25">
      <c r="A246" s="29" t="s">
        <v>807</v>
      </c>
      <c r="B246" s="29" t="s">
        <v>64</v>
      </c>
      <c r="C246" s="29" t="s">
        <v>1334</v>
      </c>
      <c r="D246" s="29">
        <v>1</v>
      </c>
      <c r="E246" s="29" t="s">
        <v>1563</v>
      </c>
      <c r="F246" s="29" t="s">
        <v>1336</v>
      </c>
      <c r="G246" s="29" t="s">
        <v>1183</v>
      </c>
    </row>
    <row r="247" spans="1:7" x14ac:dyDescent="0.25">
      <c r="A247" s="29" t="s">
        <v>807</v>
      </c>
      <c r="B247" s="29" t="s">
        <v>64</v>
      </c>
      <c r="C247" s="29" t="s">
        <v>1339</v>
      </c>
      <c r="D247" s="29">
        <v>2</v>
      </c>
      <c r="E247" s="29" t="s">
        <v>1564</v>
      </c>
      <c r="F247" s="29" t="s">
        <v>1199</v>
      </c>
      <c r="G247" s="29" t="s">
        <v>133</v>
      </c>
    </row>
    <row r="248" spans="1:7" x14ac:dyDescent="0.25">
      <c r="A248" s="29" t="s">
        <v>807</v>
      </c>
      <c r="B248" s="29" t="s">
        <v>64</v>
      </c>
      <c r="C248" s="29" t="s">
        <v>1565</v>
      </c>
      <c r="D248" s="29">
        <v>3</v>
      </c>
      <c r="E248" s="29" t="s">
        <v>1566</v>
      </c>
      <c r="F248" s="29" t="s">
        <v>1199</v>
      </c>
      <c r="G248" s="29" t="s">
        <v>133</v>
      </c>
    </row>
    <row r="249" spans="1:7" x14ac:dyDescent="0.25">
      <c r="A249" s="29" t="s">
        <v>807</v>
      </c>
      <c r="B249" s="29" t="s">
        <v>64</v>
      </c>
      <c r="C249" s="29" t="s">
        <v>1157</v>
      </c>
      <c r="D249" s="29">
        <v>4</v>
      </c>
      <c r="E249" s="29" t="s">
        <v>1567</v>
      </c>
      <c r="F249" s="29" t="s">
        <v>1346</v>
      </c>
      <c r="G249" s="29" t="s">
        <v>133</v>
      </c>
    </row>
    <row r="250" spans="1:7" x14ac:dyDescent="0.25">
      <c r="A250" s="29" t="s">
        <v>807</v>
      </c>
      <c r="B250" t="s">
        <v>794</v>
      </c>
      <c r="C250" t="s">
        <v>1500</v>
      </c>
      <c r="D250">
        <v>1</v>
      </c>
      <c r="E250" t="s">
        <v>1568</v>
      </c>
      <c r="F250" t="s">
        <v>1517</v>
      </c>
      <c r="G250" t="s">
        <v>133</v>
      </c>
    </row>
    <row r="251" spans="1:7" x14ac:dyDescent="0.25">
      <c r="A251" s="29" t="s">
        <v>807</v>
      </c>
      <c r="B251" t="s">
        <v>794</v>
      </c>
      <c r="C251" t="s">
        <v>1520</v>
      </c>
      <c r="D251">
        <v>2</v>
      </c>
      <c r="E251" t="s">
        <v>1569</v>
      </c>
      <c r="F251" s="29" t="s">
        <v>1199</v>
      </c>
      <c r="G251" s="29" t="s">
        <v>133</v>
      </c>
    </row>
    <row r="252" spans="1:7" x14ac:dyDescent="0.25">
      <c r="A252" s="29" t="s">
        <v>807</v>
      </c>
      <c r="B252" t="s">
        <v>794</v>
      </c>
      <c r="C252" s="29" t="s">
        <v>1502</v>
      </c>
      <c r="D252" s="29">
        <v>3</v>
      </c>
      <c r="E252" s="29" t="s">
        <v>1570</v>
      </c>
      <c r="F252" s="29" t="s">
        <v>1199</v>
      </c>
      <c r="G252" s="29" t="s">
        <v>133</v>
      </c>
    </row>
    <row r="253" spans="1:7" x14ac:dyDescent="0.25">
      <c r="A253" s="29" t="s">
        <v>807</v>
      </c>
      <c r="B253" t="s">
        <v>794</v>
      </c>
      <c r="C253" t="s">
        <v>1364</v>
      </c>
      <c r="D253">
        <v>4</v>
      </c>
      <c r="E253" t="s">
        <v>1571</v>
      </c>
      <c r="F253" t="s">
        <v>1421</v>
      </c>
      <c r="G253" t="s">
        <v>1367</v>
      </c>
    </row>
    <row r="254" spans="1:7" x14ac:dyDescent="0.25">
      <c r="A254" s="29" t="s">
        <v>807</v>
      </c>
      <c r="B254" t="s">
        <v>794</v>
      </c>
      <c r="C254" t="s">
        <v>1334</v>
      </c>
      <c r="D254">
        <v>5</v>
      </c>
      <c r="E254" t="s">
        <v>1572</v>
      </c>
      <c r="F254" t="s">
        <v>1336</v>
      </c>
      <c r="G254" t="s">
        <v>1183</v>
      </c>
    </row>
    <row r="255" spans="1:7" x14ac:dyDescent="0.25">
      <c r="A255" s="29" t="s">
        <v>807</v>
      </c>
      <c r="B255" t="s">
        <v>794</v>
      </c>
      <c r="C255" t="s">
        <v>1157</v>
      </c>
      <c r="D255">
        <v>6</v>
      </c>
      <c r="E255" t="s">
        <v>1573</v>
      </c>
      <c r="F255" t="s">
        <v>1373</v>
      </c>
      <c r="G255" t="s">
        <v>133</v>
      </c>
    </row>
    <row r="256" spans="1:7" x14ac:dyDescent="0.25">
      <c r="A256" s="29" t="s">
        <v>807</v>
      </c>
      <c r="B256" t="s">
        <v>67</v>
      </c>
      <c r="C256" t="s">
        <v>1500</v>
      </c>
      <c r="D256">
        <v>1</v>
      </c>
      <c r="E256" t="s">
        <v>1574</v>
      </c>
      <c r="F256" t="s">
        <v>1517</v>
      </c>
      <c r="G256" t="s">
        <v>133</v>
      </c>
    </row>
    <row r="257" spans="1:7" x14ac:dyDescent="0.25">
      <c r="A257" s="29" t="s">
        <v>807</v>
      </c>
      <c r="B257" t="s">
        <v>67</v>
      </c>
      <c r="C257" t="s">
        <v>1575</v>
      </c>
      <c r="D257">
        <v>2</v>
      </c>
      <c r="E257" t="s">
        <v>1576</v>
      </c>
      <c r="F257" t="s">
        <v>1577</v>
      </c>
      <c r="G257" t="s">
        <v>1578</v>
      </c>
    </row>
    <row r="258" spans="1:7" x14ac:dyDescent="0.25">
      <c r="A258" s="29" t="s">
        <v>807</v>
      </c>
      <c r="B258" t="s">
        <v>67</v>
      </c>
      <c r="C258" t="s">
        <v>1520</v>
      </c>
      <c r="D258">
        <v>3</v>
      </c>
      <c r="E258" t="s">
        <v>1579</v>
      </c>
      <c r="F258" t="s">
        <v>1199</v>
      </c>
      <c r="G258" t="s">
        <v>133</v>
      </c>
    </row>
    <row r="259" spans="1:7" x14ac:dyDescent="0.25">
      <c r="A259" s="29" t="s">
        <v>807</v>
      </c>
      <c r="B259" t="s">
        <v>67</v>
      </c>
      <c r="C259" t="s">
        <v>1157</v>
      </c>
      <c r="D259">
        <v>4</v>
      </c>
      <c r="E259" t="s">
        <v>1580</v>
      </c>
      <c r="F259" t="s">
        <v>1373</v>
      </c>
      <c r="G259" t="s">
        <v>133</v>
      </c>
    </row>
    <row r="260" spans="1:7" x14ac:dyDescent="0.25">
      <c r="A260" s="29" t="s">
        <v>807</v>
      </c>
      <c r="B260" s="29" t="s">
        <v>1003</v>
      </c>
      <c r="C260" t="s">
        <v>1500</v>
      </c>
      <c r="D260">
        <v>1</v>
      </c>
      <c r="E260" t="s">
        <v>1581</v>
      </c>
      <c r="F260" t="s">
        <v>1517</v>
      </c>
      <c r="G260" t="s">
        <v>133</v>
      </c>
    </row>
    <row r="261" spans="1:7" x14ac:dyDescent="0.25">
      <c r="A261" s="29" t="s">
        <v>807</v>
      </c>
      <c r="B261" s="29" t="s">
        <v>1003</v>
      </c>
      <c r="C261" t="s">
        <v>1518</v>
      </c>
      <c r="D261">
        <v>2</v>
      </c>
      <c r="E261" t="s">
        <v>1582</v>
      </c>
      <c r="F261" t="s">
        <v>1517</v>
      </c>
      <c r="G261" t="s">
        <v>133</v>
      </c>
    </row>
    <row r="262" spans="1:7" x14ac:dyDescent="0.25">
      <c r="A262" s="29" t="s">
        <v>807</v>
      </c>
      <c r="B262" s="29" t="s">
        <v>1003</v>
      </c>
      <c r="C262" t="s">
        <v>1520</v>
      </c>
      <c r="D262">
        <v>3</v>
      </c>
      <c r="E262" t="s">
        <v>1583</v>
      </c>
      <c r="F262" s="29" t="s">
        <v>1199</v>
      </c>
      <c r="G262" s="29" t="s">
        <v>133</v>
      </c>
    </row>
    <row r="263" spans="1:7" x14ac:dyDescent="0.25">
      <c r="A263" s="29" t="s">
        <v>807</v>
      </c>
      <c r="B263" s="29" t="s">
        <v>1003</v>
      </c>
      <c r="C263" s="29" t="s">
        <v>1502</v>
      </c>
      <c r="D263" s="29">
        <v>4</v>
      </c>
      <c r="E263" s="29" t="s">
        <v>1584</v>
      </c>
      <c r="F263" s="29" t="s">
        <v>1199</v>
      </c>
      <c r="G263" s="29" t="s">
        <v>133</v>
      </c>
    </row>
    <row r="264" spans="1:7" x14ac:dyDescent="0.25">
      <c r="A264" s="29" t="s">
        <v>807</v>
      </c>
      <c r="B264" s="29" t="s">
        <v>1003</v>
      </c>
      <c r="C264" s="29" t="s">
        <v>1523</v>
      </c>
      <c r="D264" s="29">
        <v>5</v>
      </c>
      <c r="E264" s="29" t="s">
        <v>1585</v>
      </c>
      <c r="F264" s="29" t="s">
        <v>1199</v>
      </c>
      <c r="G264" s="29" t="s">
        <v>133</v>
      </c>
    </row>
    <row r="265" spans="1:7" x14ac:dyDescent="0.25">
      <c r="A265" s="29" t="s">
        <v>807</v>
      </c>
      <c r="B265" s="29" t="s">
        <v>1003</v>
      </c>
      <c r="C265" t="s">
        <v>1525</v>
      </c>
      <c r="D265" s="29">
        <v>6</v>
      </c>
      <c r="E265" s="29" t="s">
        <v>1526</v>
      </c>
      <c r="F265" s="29" t="s">
        <v>1527</v>
      </c>
      <c r="G265" s="29" t="s">
        <v>1528</v>
      </c>
    </row>
    <row r="266" spans="1:7" x14ac:dyDescent="0.25">
      <c r="A266" s="29" t="s">
        <v>807</v>
      </c>
      <c r="B266" s="29" t="s">
        <v>1003</v>
      </c>
      <c r="C266" s="29" t="s">
        <v>1529</v>
      </c>
      <c r="D266" s="29">
        <v>7</v>
      </c>
      <c r="E266" s="29" t="s">
        <v>1530</v>
      </c>
      <c r="F266" s="29" t="s">
        <v>1366</v>
      </c>
      <c r="G266" s="29" t="s">
        <v>1367</v>
      </c>
    </row>
    <row r="267" spans="1:7" x14ac:dyDescent="0.25">
      <c r="A267" s="29" t="s">
        <v>807</v>
      </c>
      <c r="B267" s="29" t="s">
        <v>1003</v>
      </c>
      <c r="C267" s="29" t="s">
        <v>1531</v>
      </c>
      <c r="D267" s="29">
        <v>8</v>
      </c>
      <c r="E267" s="29" t="s">
        <v>1532</v>
      </c>
      <c r="F267" s="29" t="s">
        <v>1533</v>
      </c>
      <c r="G267" s="29" t="s">
        <v>1534</v>
      </c>
    </row>
    <row r="268" spans="1:7" x14ac:dyDescent="0.25">
      <c r="A268" s="29" t="s">
        <v>807</v>
      </c>
      <c r="B268" s="29" t="s">
        <v>1003</v>
      </c>
      <c r="C268" s="29" t="s">
        <v>1369</v>
      </c>
      <c r="D268" s="29">
        <v>9</v>
      </c>
      <c r="E268" s="29" t="s">
        <v>1535</v>
      </c>
      <c r="F268" s="29" t="s">
        <v>1199</v>
      </c>
      <c r="G268" s="29" t="s">
        <v>133</v>
      </c>
    </row>
    <row r="269" spans="1:7" ht="30" x14ac:dyDescent="0.25">
      <c r="A269" s="29" t="s">
        <v>807</v>
      </c>
      <c r="B269" s="29" t="s">
        <v>1003</v>
      </c>
      <c r="C269" s="29" t="s">
        <v>1536</v>
      </c>
      <c r="D269">
        <v>10</v>
      </c>
      <c r="E269" s="8" t="s">
        <v>1586</v>
      </c>
      <c r="F269" s="29" t="s">
        <v>1199</v>
      </c>
      <c r="G269" s="29" t="s">
        <v>133</v>
      </c>
    </row>
    <row r="270" spans="1:7" ht="30" x14ac:dyDescent="0.25">
      <c r="A270" s="29" t="s">
        <v>807</v>
      </c>
      <c r="B270" s="29" t="s">
        <v>1003</v>
      </c>
      <c r="C270" s="29" t="s">
        <v>1538</v>
      </c>
      <c r="D270">
        <v>11</v>
      </c>
      <c r="E270" s="8" t="s">
        <v>1587</v>
      </c>
      <c r="F270" t="s">
        <v>1517</v>
      </c>
      <c r="G270" t="s">
        <v>133</v>
      </c>
    </row>
    <row r="271" spans="1:7" x14ac:dyDescent="0.25">
      <c r="A271" s="29" t="s">
        <v>807</v>
      </c>
      <c r="B271" s="29" t="s">
        <v>1003</v>
      </c>
      <c r="C271" s="29" t="s">
        <v>1157</v>
      </c>
      <c r="D271" s="29">
        <v>12</v>
      </c>
      <c r="E271" s="29" t="s">
        <v>1540</v>
      </c>
      <c r="F271" s="29" t="s">
        <v>1373</v>
      </c>
      <c r="G271" s="29" t="s">
        <v>133</v>
      </c>
    </row>
    <row r="272" spans="1:7" x14ac:dyDescent="0.25">
      <c r="A272" s="29" t="s">
        <v>807</v>
      </c>
      <c r="B272" t="s">
        <v>790</v>
      </c>
      <c r="C272" t="s">
        <v>1588</v>
      </c>
      <c r="D272">
        <v>1</v>
      </c>
      <c r="E272" t="s">
        <v>1589</v>
      </c>
      <c r="F272" t="s">
        <v>1199</v>
      </c>
      <c r="G272" t="s">
        <v>133</v>
      </c>
    </row>
    <row r="273" spans="1:7" x14ac:dyDescent="0.25">
      <c r="A273" s="29" t="s">
        <v>807</v>
      </c>
      <c r="B273" t="s">
        <v>790</v>
      </c>
      <c r="C273" t="s">
        <v>1364</v>
      </c>
      <c r="D273">
        <v>2</v>
      </c>
      <c r="E273" t="s">
        <v>1590</v>
      </c>
      <c r="F273" t="s">
        <v>1421</v>
      </c>
      <c r="G273" t="s">
        <v>1367</v>
      </c>
    </row>
    <row r="274" spans="1:7" x14ac:dyDescent="0.25">
      <c r="A274" s="29" t="s">
        <v>807</v>
      </c>
      <c r="B274" t="s">
        <v>790</v>
      </c>
      <c r="C274" t="s">
        <v>1157</v>
      </c>
      <c r="D274">
        <v>3</v>
      </c>
      <c r="E274" t="s">
        <v>1591</v>
      </c>
      <c r="F274" t="s">
        <v>1373</v>
      </c>
      <c r="G274" t="s">
        <v>133</v>
      </c>
    </row>
    <row r="275" spans="1:7" x14ac:dyDescent="0.25">
      <c r="A275" s="29" t="s">
        <v>807</v>
      </c>
      <c r="B275" t="s">
        <v>779</v>
      </c>
      <c r="C275" t="s">
        <v>1364</v>
      </c>
      <c r="D275">
        <v>1</v>
      </c>
      <c r="E275" t="s">
        <v>1592</v>
      </c>
      <c r="F275" t="s">
        <v>1421</v>
      </c>
      <c r="G275" t="s">
        <v>1367</v>
      </c>
    </row>
    <row r="276" spans="1:7" x14ac:dyDescent="0.25">
      <c r="A276" s="29" t="s">
        <v>807</v>
      </c>
      <c r="B276" t="s">
        <v>779</v>
      </c>
      <c r="C276" t="s">
        <v>1588</v>
      </c>
      <c r="D276">
        <v>2</v>
      </c>
      <c r="E276" t="s">
        <v>1593</v>
      </c>
      <c r="F276" t="s">
        <v>1199</v>
      </c>
      <c r="G276" t="s">
        <v>133</v>
      </c>
    </row>
    <row r="277" spans="1:7" x14ac:dyDescent="0.25">
      <c r="A277" s="29" t="s">
        <v>807</v>
      </c>
      <c r="B277" t="s">
        <v>779</v>
      </c>
      <c r="C277" t="s">
        <v>1157</v>
      </c>
      <c r="D277">
        <v>3</v>
      </c>
      <c r="E277" t="s">
        <v>1594</v>
      </c>
      <c r="F277" t="s">
        <v>1373</v>
      </c>
      <c r="G277" t="s">
        <v>133</v>
      </c>
    </row>
    <row r="278" spans="1:7" x14ac:dyDescent="0.25">
      <c r="A278" s="29" t="s">
        <v>807</v>
      </c>
      <c r="B278" t="s">
        <v>11</v>
      </c>
      <c r="C278" t="s">
        <v>1369</v>
      </c>
      <c r="D278">
        <v>1</v>
      </c>
      <c r="E278" t="s">
        <v>1595</v>
      </c>
      <c r="F278" t="s">
        <v>1199</v>
      </c>
      <c r="G278" t="s">
        <v>133</v>
      </c>
    </row>
    <row r="279" spans="1:7" x14ac:dyDescent="0.25">
      <c r="A279" s="29" t="s">
        <v>807</v>
      </c>
      <c r="B279" t="s">
        <v>11</v>
      </c>
      <c r="C279" t="s">
        <v>1157</v>
      </c>
      <c r="D279">
        <v>2</v>
      </c>
      <c r="E279" t="s">
        <v>1596</v>
      </c>
      <c r="F279" t="s">
        <v>1373</v>
      </c>
      <c r="G279" t="s">
        <v>133</v>
      </c>
    </row>
    <row r="280" spans="1:7" x14ac:dyDescent="0.25">
      <c r="A280" s="29" t="s">
        <v>807</v>
      </c>
      <c r="B280" t="s">
        <v>12</v>
      </c>
      <c r="C280" t="s">
        <v>1369</v>
      </c>
      <c r="D280">
        <v>1</v>
      </c>
      <c r="E280" t="s">
        <v>1597</v>
      </c>
      <c r="F280" t="s">
        <v>1199</v>
      </c>
      <c r="G280" t="s">
        <v>133</v>
      </c>
    </row>
    <row r="281" spans="1:7" x14ac:dyDescent="0.25">
      <c r="A281" s="29" t="s">
        <v>807</v>
      </c>
      <c r="B281" t="s">
        <v>12</v>
      </c>
      <c r="C281" t="s">
        <v>1157</v>
      </c>
      <c r="D281">
        <v>2</v>
      </c>
      <c r="E281" t="s">
        <v>1598</v>
      </c>
      <c r="F281" t="s">
        <v>1373</v>
      </c>
      <c r="G281" t="s">
        <v>133</v>
      </c>
    </row>
    <row r="282" spans="1:7" x14ac:dyDescent="0.25">
      <c r="A282" s="29" t="s">
        <v>807</v>
      </c>
      <c r="B282" t="s">
        <v>778</v>
      </c>
      <c r="C282" t="s">
        <v>1500</v>
      </c>
      <c r="D282">
        <v>1</v>
      </c>
      <c r="E282" t="s">
        <v>1599</v>
      </c>
      <c r="F282" t="s">
        <v>1517</v>
      </c>
      <c r="G282" t="s">
        <v>133</v>
      </c>
    </row>
    <row r="283" spans="1:7" x14ac:dyDescent="0.25">
      <c r="A283" s="29" t="s">
        <v>807</v>
      </c>
      <c r="B283" t="s">
        <v>778</v>
      </c>
      <c r="C283" t="s">
        <v>1518</v>
      </c>
      <c r="D283">
        <v>2</v>
      </c>
      <c r="E283" t="s">
        <v>1600</v>
      </c>
      <c r="F283" t="s">
        <v>1517</v>
      </c>
      <c r="G283" t="s">
        <v>133</v>
      </c>
    </row>
    <row r="284" spans="1:7" x14ac:dyDescent="0.25">
      <c r="A284" s="29" t="s">
        <v>807</v>
      </c>
      <c r="B284" t="s">
        <v>778</v>
      </c>
      <c r="C284" t="s">
        <v>1520</v>
      </c>
      <c r="D284">
        <v>3</v>
      </c>
      <c r="E284" t="s">
        <v>1601</v>
      </c>
      <c r="F284" t="s">
        <v>1199</v>
      </c>
      <c r="G284" t="s">
        <v>133</v>
      </c>
    </row>
    <row r="285" spans="1:7" x14ac:dyDescent="0.25">
      <c r="A285" s="29" t="s">
        <v>807</v>
      </c>
      <c r="B285" t="s">
        <v>778</v>
      </c>
      <c r="C285" t="s">
        <v>1523</v>
      </c>
      <c r="D285">
        <v>4</v>
      </c>
      <c r="E285" t="s">
        <v>1602</v>
      </c>
      <c r="F285" t="s">
        <v>1199</v>
      </c>
      <c r="G285" t="s">
        <v>133</v>
      </c>
    </row>
    <row r="286" spans="1:7" x14ac:dyDescent="0.25">
      <c r="A286" s="29" t="s">
        <v>807</v>
      </c>
      <c r="B286" t="s">
        <v>778</v>
      </c>
      <c r="C286" t="s">
        <v>1525</v>
      </c>
      <c r="D286">
        <v>5</v>
      </c>
      <c r="E286" t="s">
        <v>1603</v>
      </c>
      <c r="F286" t="s">
        <v>1527</v>
      </c>
      <c r="G286" t="s">
        <v>1604</v>
      </c>
    </row>
    <row r="287" spans="1:7" x14ac:dyDescent="0.25">
      <c r="A287" s="29" t="s">
        <v>807</v>
      </c>
      <c r="B287" t="s">
        <v>778</v>
      </c>
      <c r="C287" t="s">
        <v>1529</v>
      </c>
      <c r="D287">
        <v>6</v>
      </c>
      <c r="E287" t="s">
        <v>1530</v>
      </c>
      <c r="F287" t="s">
        <v>1366</v>
      </c>
      <c r="G287" t="s">
        <v>1367</v>
      </c>
    </row>
    <row r="288" spans="1:7" x14ac:dyDescent="0.25">
      <c r="A288" s="29" t="s">
        <v>807</v>
      </c>
      <c r="B288" t="s">
        <v>778</v>
      </c>
      <c r="C288" t="s">
        <v>1531</v>
      </c>
      <c r="D288">
        <v>7</v>
      </c>
      <c r="E288" t="s">
        <v>1532</v>
      </c>
      <c r="F288" t="s">
        <v>1605</v>
      </c>
      <c r="G288" t="s">
        <v>1534</v>
      </c>
    </row>
    <row r="289" spans="1:7" x14ac:dyDescent="0.25">
      <c r="A289" s="29" t="s">
        <v>807</v>
      </c>
      <c r="B289" t="s">
        <v>778</v>
      </c>
      <c r="C289" t="s">
        <v>1536</v>
      </c>
      <c r="D289">
        <v>8</v>
      </c>
      <c r="E289" t="s">
        <v>1606</v>
      </c>
      <c r="F289" t="s">
        <v>1199</v>
      </c>
      <c r="G289" t="s">
        <v>133</v>
      </c>
    </row>
    <row r="290" spans="1:7" x14ac:dyDescent="0.25">
      <c r="A290" s="29" t="s">
        <v>807</v>
      </c>
      <c r="B290" t="s">
        <v>778</v>
      </c>
      <c r="C290" t="s">
        <v>1607</v>
      </c>
      <c r="D290">
        <v>9</v>
      </c>
      <c r="E290" t="s">
        <v>1608</v>
      </c>
      <c r="F290" t="s">
        <v>1517</v>
      </c>
      <c r="G290" t="s">
        <v>133</v>
      </c>
    </row>
    <row r="291" spans="1:7" x14ac:dyDescent="0.25">
      <c r="A291" s="29" t="s">
        <v>807</v>
      </c>
      <c r="B291" t="s">
        <v>778</v>
      </c>
      <c r="C291" t="s">
        <v>1157</v>
      </c>
      <c r="D291">
        <v>10</v>
      </c>
      <c r="E291" t="s">
        <v>1372</v>
      </c>
      <c r="F291" t="s">
        <v>1373</v>
      </c>
      <c r="G291" t="s">
        <v>133</v>
      </c>
    </row>
    <row r="292" spans="1:7" x14ac:dyDescent="0.25">
      <c r="A292" s="29" t="s">
        <v>807</v>
      </c>
      <c r="B292" t="s">
        <v>125</v>
      </c>
      <c r="C292" t="s">
        <v>1334</v>
      </c>
      <c r="D292">
        <v>1</v>
      </c>
      <c r="E292" t="s">
        <v>1609</v>
      </c>
      <c r="F292" t="s">
        <v>1336</v>
      </c>
      <c r="G292" t="s">
        <v>1183</v>
      </c>
    </row>
    <row r="293" spans="1:7" x14ac:dyDescent="0.25">
      <c r="A293" s="29" t="s">
        <v>807</v>
      </c>
      <c r="B293" t="s">
        <v>125</v>
      </c>
      <c r="C293" t="s">
        <v>1157</v>
      </c>
      <c r="D293">
        <v>2</v>
      </c>
      <c r="E293" t="s">
        <v>1610</v>
      </c>
      <c r="F293" t="s">
        <v>1373</v>
      </c>
      <c r="G293" t="s">
        <v>133</v>
      </c>
    </row>
    <row r="294" spans="1:7" x14ac:dyDescent="0.25">
      <c r="A294" s="29" t="s">
        <v>807</v>
      </c>
      <c r="B294" t="s">
        <v>9</v>
      </c>
      <c r="C294" t="s">
        <v>1327</v>
      </c>
      <c r="D294">
        <v>1</v>
      </c>
      <c r="E294" t="s">
        <v>1611</v>
      </c>
      <c r="F294" t="s">
        <v>1612</v>
      </c>
      <c r="G294" t="s">
        <v>1367</v>
      </c>
    </row>
    <row r="295" spans="1:7" x14ac:dyDescent="0.25">
      <c r="A295" s="29" t="s">
        <v>807</v>
      </c>
      <c r="B295" t="s">
        <v>9</v>
      </c>
      <c r="C295" t="s">
        <v>1155</v>
      </c>
      <c r="D295">
        <v>2</v>
      </c>
      <c r="E295" t="s">
        <v>1613</v>
      </c>
      <c r="F295" t="s">
        <v>1199</v>
      </c>
      <c r="G295" t="s">
        <v>133</v>
      </c>
    </row>
    <row r="296" spans="1:7" x14ac:dyDescent="0.25">
      <c r="A296" s="29" t="s">
        <v>807</v>
      </c>
      <c r="B296" t="s">
        <v>9</v>
      </c>
      <c r="C296" t="s">
        <v>1157</v>
      </c>
      <c r="D296">
        <v>3</v>
      </c>
      <c r="E296" t="s">
        <v>1614</v>
      </c>
      <c r="F296" t="s">
        <v>1373</v>
      </c>
      <c r="G296" t="s">
        <v>133</v>
      </c>
    </row>
    <row r="297" spans="1:7" x14ac:dyDescent="0.25">
      <c r="A297" s="29" t="s">
        <v>807</v>
      </c>
      <c r="B297" t="s">
        <v>115</v>
      </c>
      <c r="C297" t="s">
        <v>1500</v>
      </c>
      <c r="D297">
        <v>1</v>
      </c>
      <c r="E297" t="s">
        <v>1615</v>
      </c>
      <c r="F297" t="s">
        <v>1517</v>
      </c>
      <c r="G297" t="s">
        <v>133</v>
      </c>
    </row>
    <row r="298" spans="1:7" x14ac:dyDescent="0.25">
      <c r="A298" s="29" t="s">
        <v>807</v>
      </c>
      <c r="B298" t="s">
        <v>115</v>
      </c>
      <c r="C298" t="s">
        <v>1334</v>
      </c>
      <c r="D298">
        <v>2</v>
      </c>
      <c r="E298" t="s">
        <v>1616</v>
      </c>
      <c r="F298" t="s">
        <v>1336</v>
      </c>
      <c r="G298" t="s">
        <v>1183</v>
      </c>
    </row>
    <row r="299" spans="1:7" x14ac:dyDescent="0.25">
      <c r="A299" s="29" t="s">
        <v>807</v>
      </c>
      <c r="B299" t="s">
        <v>115</v>
      </c>
      <c r="C299" t="s">
        <v>1364</v>
      </c>
      <c r="D299">
        <v>3</v>
      </c>
      <c r="E299" t="s">
        <v>1617</v>
      </c>
      <c r="F299" t="s">
        <v>1421</v>
      </c>
      <c r="G299" t="s">
        <v>1367</v>
      </c>
    </row>
    <row r="300" spans="1:7" x14ac:dyDescent="0.25">
      <c r="A300" s="29" t="s">
        <v>807</v>
      </c>
      <c r="B300" t="s">
        <v>115</v>
      </c>
      <c r="C300" t="s">
        <v>1520</v>
      </c>
      <c r="D300">
        <v>4</v>
      </c>
      <c r="E300" t="s">
        <v>1579</v>
      </c>
      <c r="F300" t="s">
        <v>1199</v>
      </c>
      <c r="G300" t="s">
        <v>133</v>
      </c>
    </row>
    <row r="301" spans="1:7" x14ac:dyDescent="0.25">
      <c r="A301" s="29" t="s">
        <v>807</v>
      </c>
      <c r="B301" t="s">
        <v>115</v>
      </c>
      <c r="C301" t="s">
        <v>1157</v>
      </c>
      <c r="D301">
        <v>5</v>
      </c>
      <c r="E301" t="s">
        <v>1618</v>
      </c>
      <c r="F301" t="s">
        <v>1373</v>
      </c>
      <c r="G301" t="s">
        <v>133</v>
      </c>
    </row>
    <row r="302" spans="1:7" x14ac:dyDescent="0.25">
      <c r="A302" s="29" t="s">
        <v>807</v>
      </c>
      <c r="B302" t="s">
        <v>786</v>
      </c>
      <c r="C302" t="s">
        <v>1500</v>
      </c>
      <c r="D302">
        <v>1</v>
      </c>
      <c r="E302" t="s">
        <v>1619</v>
      </c>
      <c r="F302" t="s">
        <v>1517</v>
      </c>
      <c r="G302" t="s">
        <v>133</v>
      </c>
    </row>
    <row r="303" spans="1:7" x14ac:dyDescent="0.25">
      <c r="A303" s="29" t="s">
        <v>807</v>
      </c>
      <c r="B303" t="s">
        <v>786</v>
      </c>
      <c r="C303" t="s">
        <v>1520</v>
      </c>
      <c r="D303">
        <v>2</v>
      </c>
      <c r="E303" t="s">
        <v>1620</v>
      </c>
      <c r="F303" s="29" t="s">
        <v>1199</v>
      </c>
      <c r="G303" s="29" t="s">
        <v>133</v>
      </c>
    </row>
    <row r="304" spans="1:7" x14ac:dyDescent="0.25">
      <c r="A304" s="29" t="s">
        <v>807</v>
      </c>
      <c r="B304" t="s">
        <v>786</v>
      </c>
      <c r="C304" s="29" t="s">
        <v>1502</v>
      </c>
      <c r="D304" s="29">
        <v>3</v>
      </c>
      <c r="E304" s="29" t="s">
        <v>1621</v>
      </c>
      <c r="F304" s="29" t="s">
        <v>1199</v>
      </c>
      <c r="G304" s="29" t="s">
        <v>133</v>
      </c>
    </row>
    <row r="305" spans="1:7" x14ac:dyDescent="0.25">
      <c r="A305" s="29" t="s">
        <v>807</v>
      </c>
      <c r="B305" t="s">
        <v>786</v>
      </c>
      <c r="C305" t="s">
        <v>1622</v>
      </c>
      <c r="D305">
        <v>4</v>
      </c>
      <c r="E305" t="s">
        <v>1623</v>
      </c>
      <c r="F305" t="s">
        <v>1577</v>
      </c>
      <c r="G305" t="s">
        <v>1578</v>
      </c>
    </row>
    <row r="306" spans="1:7" x14ac:dyDescent="0.25">
      <c r="A306" s="29" t="s">
        <v>807</v>
      </c>
      <c r="B306" t="s">
        <v>786</v>
      </c>
      <c r="C306" t="s">
        <v>1588</v>
      </c>
      <c r="D306">
        <v>5</v>
      </c>
      <c r="E306" t="s">
        <v>1624</v>
      </c>
      <c r="F306" t="s">
        <v>1199</v>
      </c>
      <c r="G306" t="s">
        <v>133</v>
      </c>
    </row>
    <row r="307" spans="1:7" x14ac:dyDescent="0.25">
      <c r="A307" s="29" t="s">
        <v>807</v>
      </c>
      <c r="B307" t="s">
        <v>786</v>
      </c>
      <c r="C307" t="s">
        <v>1157</v>
      </c>
      <c r="D307">
        <v>6</v>
      </c>
      <c r="E307" t="s">
        <v>1625</v>
      </c>
      <c r="F307" t="s">
        <v>1373</v>
      </c>
      <c r="G307" t="s">
        <v>133</v>
      </c>
    </row>
    <row r="308" spans="1:7" x14ac:dyDescent="0.25">
      <c r="A308" s="29" t="s">
        <v>1076</v>
      </c>
      <c r="B308" t="s">
        <v>833</v>
      </c>
      <c r="C308" t="s">
        <v>1626</v>
      </c>
      <c r="D308">
        <v>1</v>
      </c>
      <c r="E308" t="s">
        <v>1627</v>
      </c>
      <c r="F308" t="s">
        <v>1373</v>
      </c>
      <c r="G308" t="s">
        <v>133</v>
      </c>
    </row>
    <row r="309" spans="1:7" x14ac:dyDescent="0.25">
      <c r="A309" s="29" t="s">
        <v>1076</v>
      </c>
      <c r="B309" t="s">
        <v>833</v>
      </c>
      <c r="C309" t="s">
        <v>1628</v>
      </c>
      <c r="D309">
        <v>2</v>
      </c>
      <c r="E309" t="s">
        <v>1629</v>
      </c>
      <c r="F309" t="s">
        <v>1630</v>
      </c>
      <c r="G309" t="s">
        <v>133</v>
      </c>
    </row>
    <row r="310" spans="1:7" x14ac:dyDescent="0.25">
      <c r="A310" s="29" t="s">
        <v>1076</v>
      </c>
      <c r="B310" t="s">
        <v>833</v>
      </c>
      <c r="C310" t="s">
        <v>1631</v>
      </c>
      <c r="D310">
        <v>3</v>
      </c>
      <c r="E310" t="s">
        <v>1632</v>
      </c>
      <c r="F310" t="s">
        <v>1632</v>
      </c>
      <c r="G310" t="s">
        <v>133</v>
      </c>
    </row>
    <row r="311" spans="1:7" x14ac:dyDescent="0.25">
      <c r="A311" s="29" t="s">
        <v>1076</v>
      </c>
      <c r="B311" t="s">
        <v>833</v>
      </c>
      <c r="C311" t="s">
        <v>1633</v>
      </c>
      <c r="D311">
        <v>4</v>
      </c>
      <c r="E311" t="s">
        <v>1634</v>
      </c>
      <c r="F311" t="s">
        <v>1634</v>
      </c>
      <c r="G311" t="s">
        <v>133</v>
      </c>
    </row>
    <row r="312" spans="1:7" x14ac:dyDescent="0.25">
      <c r="A312" s="29" t="s">
        <v>1076</v>
      </c>
      <c r="B312" t="s">
        <v>833</v>
      </c>
      <c r="C312" t="s">
        <v>1635</v>
      </c>
      <c r="D312">
        <v>5</v>
      </c>
      <c r="E312" t="s">
        <v>1636</v>
      </c>
      <c r="F312" t="s">
        <v>1636</v>
      </c>
      <c r="G312" t="s">
        <v>133</v>
      </c>
    </row>
    <row r="313" spans="1:7" x14ac:dyDescent="0.25">
      <c r="A313" s="29" t="s">
        <v>1076</v>
      </c>
      <c r="B313" t="s">
        <v>833</v>
      </c>
      <c r="C313" t="s">
        <v>1637</v>
      </c>
      <c r="D313">
        <v>6</v>
      </c>
      <c r="E313" t="s">
        <v>1638</v>
      </c>
      <c r="F313" t="s">
        <v>1638</v>
      </c>
      <c r="G313" t="s">
        <v>133</v>
      </c>
    </row>
    <row r="314" spans="1:7" x14ac:dyDescent="0.25">
      <c r="A314" s="29" t="s">
        <v>1076</v>
      </c>
      <c r="B314" t="s">
        <v>833</v>
      </c>
      <c r="C314" t="s">
        <v>1067</v>
      </c>
      <c r="D314">
        <v>7</v>
      </c>
      <c r="E314" t="s">
        <v>1639</v>
      </c>
      <c r="F314" t="s">
        <v>1639</v>
      </c>
      <c r="G314" t="s">
        <v>133</v>
      </c>
    </row>
    <row r="315" spans="1:7" x14ac:dyDescent="0.25">
      <c r="A315" s="29"/>
    </row>
    <row r="316" spans="1:7" x14ac:dyDescent="0.25">
      <c r="A316" s="29"/>
    </row>
    <row r="317" spans="1:7" x14ac:dyDescent="0.25">
      <c r="A317" s="29"/>
    </row>
    <row r="318" spans="1:7" x14ac:dyDescent="0.25">
      <c r="A318" s="29"/>
    </row>
    <row r="319" spans="1:7" x14ac:dyDescent="0.25">
      <c r="A319" s="29"/>
    </row>
    <row r="320" spans="1:7" x14ac:dyDescent="0.25">
      <c r="A320" s="29"/>
    </row>
    <row r="321" spans="1:1" x14ac:dyDescent="0.25">
      <c r="A321" s="29"/>
    </row>
    <row r="322" spans="1:1" x14ac:dyDescent="0.25">
      <c r="A322" s="29"/>
    </row>
    <row r="323" spans="1:1" x14ac:dyDescent="0.25">
      <c r="A323" s="29"/>
    </row>
    <row r="324" spans="1:1" x14ac:dyDescent="0.25">
      <c r="A324" s="29"/>
    </row>
    <row r="325" spans="1:1" x14ac:dyDescent="0.25">
      <c r="A325" s="29"/>
    </row>
    <row r="326" spans="1:1" x14ac:dyDescent="0.25">
      <c r="A326" s="29"/>
    </row>
    <row r="327" spans="1:1" x14ac:dyDescent="0.25">
      <c r="A327" s="29"/>
    </row>
    <row r="328" spans="1:1" x14ac:dyDescent="0.25">
      <c r="A328" s="29"/>
    </row>
    <row r="329" spans="1:1" x14ac:dyDescent="0.25">
      <c r="A329" s="29"/>
    </row>
    <row r="330" spans="1:1" x14ac:dyDescent="0.25">
      <c r="A330" s="29"/>
    </row>
    <row r="331" spans="1:1" x14ac:dyDescent="0.25">
      <c r="A331" s="29"/>
    </row>
    <row r="332" spans="1:1" x14ac:dyDescent="0.25">
      <c r="A332" s="29"/>
    </row>
    <row r="333" spans="1:1" x14ac:dyDescent="0.25">
      <c r="A333" s="29"/>
    </row>
    <row r="334" spans="1:1" x14ac:dyDescent="0.25">
      <c r="A334" s="29"/>
    </row>
    <row r="335" spans="1:1" x14ac:dyDescent="0.25">
      <c r="A335" s="29"/>
    </row>
    <row r="336" spans="1:1" x14ac:dyDescent="0.25">
      <c r="A336" s="29"/>
    </row>
    <row r="337" spans="1:1" x14ac:dyDescent="0.25">
      <c r="A337" s="29"/>
    </row>
    <row r="338" spans="1:1" x14ac:dyDescent="0.25">
      <c r="A338" s="29"/>
    </row>
    <row r="339" spans="1:1" x14ac:dyDescent="0.25">
      <c r="A339" s="29"/>
    </row>
    <row r="340" spans="1:1" x14ac:dyDescent="0.25">
      <c r="A340" s="29"/>
    </row>
    <row r="341" spans="1:1" x14ac:dyDescent="0.25">
      <c r="A341" s="29"/>
    </row>
    <row r="342" spans="1:1" x14ac:dyDescent="0.25">
      <c r="A342" s="29"/>
    </row>
    <row r="343" spans="1:1" x14ac:dyDescent="0.25">
      <c r="A343" s="29"/>
    </row>
    <row r="344" spans="1:1" x14ac:dyDescent="0.25">
      <c r="A344" s="29"/>
    </row>
    <row r="345" spans="1:1" x14ac:dyDescent="0.25">
      <c r="A345" s="29"/>
    </row>
    <row r="346" spans="1:1" x14ac:dyDescent="0.25">
      <c r="A346" s="29"/>
    </row>
    <row r="347" spans="1:1" x14ac:dyDescent="0.25">
      <c r="A347" s="29"/>
    </row>
    <row r="348" spans="1:1" x14ac:dyDescent="0.25">
      <c r="A348" s="29"/>
    </row>
    <row r="349" spans="1:1" x14ac:dyDescent="0.25">
      <c r="A349" s="29"/>
    </row>
    <row r="350" spans="1:1" x14ac:dyDescent="0.25">
      <c r="A350" s="29"/>
    </row>
    <row r="351" spans="1:1" x14ac:dyDescent="0.25">
      <c r="A351" s="29"/>
    </row>
    <row r="352" spans="1:1" x14ac:dyDescent="0.25">
      <c r="A352" s="29"/>
    </row>
    <row r="353" spans="1:1" x14ac:dyDescent="0.25">
      <c r="A353" s="29"/>
    </row>
    <row r="354" spans="1:1" x14ac:dyDescent="0.25">
      <c r="A354" s="29"/>
    </row>
    <row r="355" spans="1:1" x14ac:dyDescent="0.25">
      <c r="A355" s="29"/>
    </row>
    <row r="356" spans="1:1" x14ac:dyDescent="0.25">
      <c r="A356" s="29"/>
    </row>
    <row r="357" spans="1:1" x14ac:dyDescent="0.25">
      <c r="A357" s="29"/>
    </row>
    <row r="358" spans="1:1" x14ac:dyDescent="0.25">
      <c r="A358" s="29"/>
    </row>
    <row r="359" spans="1:1" x14ac:dyDescent="0.25">
      <c r="A359" s="29"/>
    </row>
    <row r="360" spans="1:1" x14ac:dyDescent="0.25">
      <c r="A360" s="29"/>
    </row>
    <row r="361" spans="1:1" x14ac:dyDescent="0.25">
      <c r="A361" s="29"/>
    </row>
    <row r="362" spans="1:1" x14ac:dyDescent="0.25">
      <c r="A362" s="29"/>
    </row>
    <row r="363" spans="1:1" x14ac:dyDescent="0.25">
      <c r="A363" s="29"/>
    </row>
    <row r="364" spans="1:1" x14ac:dyDescent="0.25">
      <c r="A364" s="29"/>
    </row>
    <row r="365" spans="1:1" x14ac:dyDescent="0.25">
      <c r="A365" s="29"/>
    </row>
    <row r="366" spans="1:1" x14ac:dyDescent="0.25">
      <c r="A366" s="29"/>
    </row>
    <row r="367" spans="1:1" x14ac:dyDescent="0.25">
      <c r="A367" s="29"/>
    </row>
    <row r="368" spans="1:1" x14ac:dyDescent="0.25">
      <c r="A368" s="29"/>
    </row>
    <row r="369" spans="1:1" x14ac:dyDescent="0.25">
      <c r="A369" s="29"/>
    </row>
    <row r="370" spans="1:1" x14ac:dyDescent="0.25">
      <c r="A370" s="29"/>
    </row>
    <row r="371" spans="1:1" x14ac:dyDescent="0.25">
      <c r="A371" s="29"/>
    </row>
    <row r="372" spans="1:1" x14ac:dyDescent="0.25">
      <c r="A372" s="29"/>
    </row>
    <row r="373" spans="1:1" x14ac:dyDescent="0.25">
      <c r="A373" s="29"/>
    </row>
    <row r="374" spans="1:1" x14ac:dyDescent="0.25">
      <c r="A374" s="29"/>
    </row>
    <row r="375" spans="1:1" x14ac:dyDescent="0.25">
      <c r="A375" s="29"/>
    </row>
    <row r="376" spans="1:1" x14ac:dyDescent="0.25">
      <c r="A376" s="29"/>
    </row>
    <row r="377" spans="1:1" x14ac:dyDescent="0.25">
      <c r="A377" s="29"/>
    </row>
    <row r="378" spans="1:1" x14ac:dyDescent="0.25">
      <c r="A378" s="29"/>
    </row>
    <row r="379" spans="1:1" x14ac:dyDescent="0.25">
      <c r="A379" s="29"/>
    </row>
    <row r="380" spans="1:1" x14ac:dyDescent="0.25">
      <c r="A380" s="29"/>
    </row>
    <row r="381" spans="1:1" x14ac:dyDescent="0.25">
      <c r="A381" s="29"/>
    </row>
    <row r="382" spans="1:1" x14ac:dyDescent="0.25">
      <c r="A382" s="29"/>
    </row>
    <row r="383" spans="1:1" x14ac:dyDescent="0.25">
      <c r="A383" s="29"/>
    </row>
    <row r="384" spans="1:1" x14ac:dyDescent="0.25">
      <c r="A384" s="29"/>
    </row>
    <row r="385" spans="1:1" x14ac:dyDescent="0.25">
      <c r="A385" s="29"/>
    </row>
    <row r="386" spans="1:1" x14ac:dyDescent="0.25">
      <c r="A386" s="29"/>
    </row>
    <row r="387" spans="1:1" x14ac:dyDescent="0.25">
      <c r="A387" s="29"/>
    </row>
    <row r="388" spans="1:1" x14ac:dyDescent="0.25">
      <c r="A388" s="29"/>
    </row>
    <row r="389" spans="1:1" x14ac:dyDescent="0.25">
      <c r="A389" s="29"/>
    </row>
    <row r="390" spans="1:1" x14ac:dyDescent="0.25">
      <c r="A390" s="29"/>
    </row>
    <row r="391" spans="1:1" x14ac:dyDescent="0.25">
      <c r="A391" s="29"/>
    </row>
    <row r="392" spans="1:1" x14ac:dyDescent="0.25">
      <c r="A392" s="29"/>
    </row>
    <row r="393" spans="1:1" x14ac:dyDescent="0.25">
      <c r="A393" s="29"/>
    </row>
    <row r="394" spans="1:1" x14ac:dyDescent="0.25">
      <c r="A394" s="29"/>
    </row>
    <row r="395" spans="1:1" x14ac:dyDescent="0.25">
      <c r="A395" s="29"/>
    </row>
    <row r="396" spans="1:1" x14ac:dyDescent="0.25">
      <c r="A396" s="29"/>
    </row>
    <row r="397" spans="1:1" x14ac:dyDescent="0.25">
      <c r="A397" s="29"/>
    </row>
    <row r="398" spans="1:1" x14ac:dyDescent="0.25">
      <c r="A398" s="29"/>
    </row>
    <row r="399" spans="1:1" x14ac:dyDescent="0.25">
      <c r="A399" s="29"/>
    </row>
    <row r="400" spans="1:1" x14ac:dyDescent="0.25">
      <c r="A400" s="29"/>
    </row>
    <row r="401" spans="1:1" x14ac:dyDescent="0.25">
      <c r="A401" s="29"/>
    </row>
    <row r="402" spans="1:1" x14ac:dyDescent="0.25">
      <c r="A402" s="29"/>
    </row>
    <row r="403" spans="1:1" x14ac:dyDescent="0.25">
      <c r="A403" s="29"/>
    </row>
    <row r="404" spans="1:1" x14ac:dyDescent="0.25">
      <c r="A404" s="29"/>
    </row>
    <row r="405" spans="1:1" x14ac:dyDescent="0.25">
      <c r="A405" s="29"/>
    </row>
    <row r="406" spans="1:1" x14ac:dyDescent="0.25">
      <c r="A406" s="29"/>
    </row>
    <row r="407" spans="1:1" x14ac:dyDescent="0.25">
      <c r="A407" s="29"/>
    </row>
    <row r="408" spans="1:1" x14ac:dyDescent="0.25">
      <c r="A408" s="29"/>
    </row>
    <row r="409" spans="1:1" x14ac:dyDescent="0.25">
      <c r="A409" s="29"/>
    </row>
    <row r="410" spans="1:1" x14ac:dyDescent="0.25">
      <c r="A410" s="29"/>
    </row>
    <row r="411" spans="1:1" x14ac:dyDescent="0.25">
      <c r="A411" s="29"/>
    </row>
    <row r="412" spans="1:1" x14ac:dyDescent="0.25">
      <c r="A412" s="29"/>
    </row>
    <row r="413" spans="1:1" x14ac:dyDescent="0.25">
      <c r="A413" s="29"/>
    </row>
    <row r="414" spans="1:1" x14ac:dyDescent="0.25">
      <c r="A414" s="29"/>
    </row>
    <row r="415" spans="1:1" x14ac:dyDescent="0.25">
      <c r="A415" s="29"/>
    </row>
    <row r="416" spans="1:1" x14ac:dyDescent="0.25">
      <c r="A416" s="29"/>
    </row>
    <row r="417" spans="1:2" x14ac:dyDescent="0.25">
      <c r="A417" s="29"/>
    </row>
    <row r="418" spans="1:2" x14ac:dyDescent="0.25">
      <c r="A418" s="29"/>
    </row>
    <row r="419" spans="1:2" x14ac:dyDescent="0.25">
      <c r="A419" s="29"/>
    </row>
    <row r="420" spans="1:2" x14ac:dyDescent="0.25">
      <c r="A420" s="29"/>
    </row>
    <row r="421" spans="1:2" x14ac:dyDescent="0.25">
      <c r="B421" t="s">
        <v>1640</v>
      </c>
    </row>
    <row r="422" spans="1:2" x14ac:dyDescent="0.25">
      <c r="B422" t="s">
        <v>1640</v>
      </c>
    </row>
    <row r="423" spans="1:2" x14ac:dyDescent="0.25">
      <c r="B423" t="s">
        <v>1640</v>
      </c>
    </row>
    <row r="424" spans="1:2" x14ac:dyDescent="0.25">
      <c r="B424" t="s">
        <v>1640</v>
      </c>
    </row>
    <row r="425" spans="1:2" x14ac:dyDescent="0.25">
      <c r="B425" t="s">
        <v>1640</v>
      </c>
    </row>
    <row r="426" spans="1:2" x14ac:dyDescent="0.25">
      <c r="B426" t="s">
        <v>1640</v>
      </c>
    </row>
    <row r="427" spans="1:2" x14ac:dyDescent="0.25">
      <c r="B427" t="s">
        <v>1640</v>
      </c>
    </row>
    <row r="428" spans="1:2" x14ac:dyDescent="0.25">
      <c r="B428" t="s">
        <v>1640</v>
      </c>
    </row>
    <row r="429" spans="1:2" x14ac:dyDescent="0.25">
      <c r="B429" t="s">
        <v>1640</v>
      </c>
    </row>
    <row r="430" spans="1:2" x14ac:dyDescent="0.25">
      <c r="B430" t="s">
        <v>1640</v>
      </c>
    </row>
    <row r="431" spans="1:2" x14ac:dyDescent="0.25">
      <c r="B431" t="s">
        <v>1640</v>
      </c>
    </row>
    <row r="432" spans="1:2" x14ac:dyDescent="0.25">
      <c r="B432" t="s">
        <v>1640</v>
      </c>
    </row>
    <row r="433" spans="2:2" x14ac:dyDescent="0.25">
      <c r="B433" t="s">
        <v>1640</v>
      </c>
    </row>
    <row r="434" spans="2:2" x14ac:dyDescent="0.25">
      <c r="B434" t="s">
        <v>1640</v>
      </c>
    </row>
    <row r="435" spans="2:2" x14ac:dyDescent="0.25">
      <c r="B435" t="s">
        <v>1640</v>
      </c>
    </row>
    <row r="436" spans="2:2" x14ac:dyDescent="0.25">
      <c r="B436" t="s">
        <v>1640</v>
      </c>
    </row>
    <row r="437" spans="2:2" x14ac:dyDescent="0.25">
      <c r="B437" t="s">
        <v>1640</v>
      </c>
    </row>
    <row r="438" spans="2:2" x14ac:dyDescent="0.25">
      <c r="B438" t="s">
        <v>1640</v>
      </c>
    </row>
    <row r="439" spans="2:2" x14ac:dyDescent="0.25">
      <c r="B439" t="s">
        <v>1640</v>
      </c>
    </row>
    <row r="440" spans="2:2" x14ac:dyDescent="0.25">
      <c r="B440" t="s">
        <v>1640</v>
      </c>
    </row>
    <row r="441" spans="2:2" x14ac:dyDescent="0.25">
      <c r="B441" t="s">
        <v>1640</v>
      </c>
    </row>
    <row r="442" spans="2:2" x14ac:dyDescent="0.25">
      <c r="B442" t="s">
        <v>1640</v>
      </c>
    </row>
    <row r="443" spans="2:2" x14ac:dyDescent="0.25">
      <c r="B443" t="s">
        <v>1640</v>
      </c>
    </row>
    <row r="444" spans="2:2" x14ac:dyDescent="0.25">
      <c r="B444" t="s">
        <v>1640</v>
      </c>
    </row>
    <row r="445" spans="2:2" x14ac:dyDescent="0.25">
      <c r="B445" t="s">
        <v>1640</v>
      </c>
    </row>
    <row r="446" spans="2:2" x14ac:dyDescent="0.25">
      <c r="B446" t="s">
        <v>1640</v>
      </c>
    </row>
    <row r="447" spans="2:2" x14ac:dyDescent="0.25">
      <c r="B447" t="s">
        <v>1640</v>
      </c>
    </row>
    <row r="448" spans="2:2" x14ac:dyDescent="0.25">
      <c r="B448" t="s">
        <v>1640</v>
      </c>
    </row>
    <row r="449" spans="2:2" x14ac:dyDescent="0.25">
      <c r="B449" t="s">
        <v>1640</v>
      </c>
    </row>
    <row r="450" spans="2:2" x14ac:dyDescent="0.25">
      <c r="B450" t="s">
        <v>1640</v>
      </c>
    </row>
    <row r="451" spans="2:2" x14ac:dyDescent="0.25">
      <c r="B451" t="s">
        <v>1640</v>
      </c>
    </row>
    <row r="452" spans="2:2" x14ac:dyDescent="0.25">
      <c r="B452" t="s">
        <v>1640</v>
      </c>
    </row>
    <row r="453" spans="2:2" x14ac:dyDescent="0.25">
      <c r="B453" t="s">
        <v>1640</v>
      </c>
    </row>
    <row r="454" spans="2:2" x14ac:dyDescent="0.25">
      <c r="B454" t="s">
        <v>1640</v>
      </c>
    </row>
    <row r="455" spans="2:2" x14ac:dyDescent="0.25">
      <c r="B455" t="s">
        <v>1640</v>
      </c>
    </row>
    <row r="456" spans="2:2" x14ac:dyDescent="0.25">
      <c r="B456" t="s">
        <v>1640</v>
      </c>
    </row>
    <row r="457" spans="2:2" x14ac:dyDescent="0.25">
      <c r="B457" t="s">
        <v>1640</v>
      </c>
    </row>
    <row r="458" spans="2:2" x14ac:dyDescent="0.25">
      <c r="B458" t="s">
        <v>1640</v>
      </c>
    </row>
    <row r="459" spans="2:2" x14ac:dyDescent="0.25">
      <c r="B459" t="s">
        <v>1640</v>
      </c>
    </row>
    <row r="460" spans="2:2" x14ac:dyDescent="0.25">
      <c r="B460" t="s">
        <v>1640</v>
      </c>
    </row>
    <row r="461" spans="2:2" x14ac:dyDescent="0.25">
      <c r="B461" t="s">
        <v>1640</v>
      </c>
    </row>
    <row r="462" spans="2:2" x14ac:dyDescent="0.25">
      <c r="B462" t="s">
        <v>1640</v>
      </c>
    </row>
    <row r="463" spans="2:2" x14ac:dyDescent="0.25">
      <c r="B463" t="s">
        <v>1640</v>
      </c>
    </row>
    <row r="464" spans="2:2" x14ac:dyDescent="0.25">
      <c r="B464" t="s">
        <v>1640</v>
      </c>
    </row>
    <row r="465" spans="2:2" x14ac:dyDescent="0.25">
      <c r="B465" t="s">
        <v>1640</v>
      </c>
    </row>
    <row r="466" spans="2:2" x14ac:dyDescent="0.25">
      <c r="B466" t="s">
        <v>1640</v>
      </c>
    </row>
    <row r="467" spans="2:2" x14ac:dyDescent="0.25">
      <c r="B467" t="s">
        <v>1640</v>
      </c>
    </row>
    <row r="468" spans="2:2" x14ac:dyDescent="0.25">
      <c r="B468" t="s">
        <v>1640</v>
      </c>
    </row>
    <row r="469" spans="2:2" x14ac:dyDescent="0.25">
      <c r="B469" t="s">
        <v>1640</v>
      </c>
    </row>
    <row r="470" spans="2:2" x14ac:dyDescent="0.25">
      <c r="B470" t="s">
        <v>1640</v>
      </c>
    </row>
    <row r="471" spans="2:2" x14ac:dyDescent="0.25">
      <c r="B471" t="s">
        <v>1640</v>
      </c>
    </row>
    <row r="472" spans="2:2" x14ac:dyDescent="0.25">
      <c r="B472" t="s">
        <v>1640</v>
      </c>
    </row>
    <row r="473" spans="2:2" x14ac:dyDescent="0.25">
      <c r="B473" t="s">
        <v>1640</v>
      </c>
    </row>
    <row r="474" spans="2:2" x14ac:dyDescent="0.25">
      <c r="B474" t="s">
        <v>1640</v>
      </c>
    </row>
    <row r="475" spans="2:2" x14ac:dyDescent="0.25">
      <c r="B475" t="s">
        <v>1640</v>
      </c>
    </row>
    <row r="476" spans="2:2" x14ac:dyDescent="0.25">
      <c r="B476" t="s">
        <v>1640</v>
      </c>
    </row>
    <row r="477" spans="2:2" x14ac:dyDescent="0.25">
      <c r="B477" t="s">
        <v>1640</v>
      </c>
    </row>
    <row r="478" spans="2:2" x14ac:dyDescent="0.25">
      <c r="B478" t="s">
        <v>1640</v>
      </c>
    </row>
    <row r="479" spans="2:2" x14ac:dyDescent="0.25">
      <c r="B479" t="s">
        <v>1640</v>
      </c>
    </row>
    <row r="480" spans="2:2" x14ac:dyDescent="0.25">
      <c r="B480" t="s">
        <v>1640</v>
      </c>
    </row>
    <row r="481" spans="2:2" x14ac:dyDescent="0.25">
      <c r="B481" t="s">
        <v>1640</v>
      </c>
    </row>
    <row r="482" spans="2:2" x14ac:dyDescent="0.25">
      <c r="B482" t="s">
        <v>1640</v>
      </c>
    </row>
    <row r="483" spans="2:2" x14ac:dyDescent="0.25">
      <c r="B483" t="s">
        <v>1640</v>
      </c>
    </row>
    <row r="484" spans="2:2" x14ac:dyDescent="0.25">
      <c r="B484" t="s">
        <v>1640</v>
      </c>
    </row>
    <row r="485" spans="2:2" x14ac:dyDescent="0.25">
      <c r="B485" t="s">
        <v>1640</v>
      </c>
    </row>
    <row r="486" spans="2:2" x14ac:dyDescent="0.25">
      <c r="B486" t="s">
        <v>1640</v>
      </c>
    </row>
    <row r="487" spans="2:2" x14ac:dyDescent="0.25">
      <c r="B487" t="s">
        <v>1640</v>
      </c>
    </row>
    <row r="488" spans="2:2" x14ac:dyDescent="0.25">
      <c r="B488" t="s">
        <v>1640</v>
      </c>
    </row>
    <row r="489" spans="2:2" x14ac:dyDescent="0.25">
      <c r="B489" t="s">
        <v>1640</v>
      </c>
    </row>
    <row r="490" spans="2:2" x14ac:dyDescent="0.25">
      <c r="B490" t="s">
        <v>1640</v>
      </c>
    </row>
    <row r="491" spans="2:2" x14ac:dyDescent="0.25">
      <c r="B491" t="s">
        <v>1640</v>
      </c>
    </row>
    <row r="492" spans="2:2" x14ac:dyDescent="0.25">
      <c r="B492" t="s">
        <v>1640</v>
      </c>
    </row>
    <row r="493" spans="2:2" x14ac:dyDescent="0.25">
      <c r="B493" t="s">
        <v>1640</v>
      </c>
    </row>
    <row r="494" spans="2:2" x14ac:dyDescent="0.25">
      <c r="B494" t="s">
        <v>1640</v>
      </c>
    </row>
    <row r="495" spans="2:2" x14ac:dyDescent="0.25">
      <c r="B495" t="s">
        <v>1640</v>
      </c>
    </row>
    <row r="496" spans="2:2" x14ac:dyDescent="0.25">
      <c r="B496" t="s">
        <v>1640</v>
      </c>
    </row>
    <row r="497" spans="2:2" x14ac:dyDescent="0.25">
      <c r="B497" t="s">
        <v>1640</v>
      </c>
    </row>
    <row r="498" spans="2:2" x14ac:dyDescent="0.25">
      <c r="B498" t="s">
        <v>1640</v>
      </c>
    </row>
    <row r="499" spans="2:2" x14ac:dyDescent="0.25">
      <c r="B499" t="s">
        <v>1640</v>
      </c>
    </row>
    <row r="500" spans="2:2" x14ac:dyDescent="0.25">
      <c r="B500" t="s">
        <v>1640</v>
      </c>
    </row>
    <row r="501" spans="2:2" x14ac:dyDescent="0.25">
      <c r="B501" t="s">
        <v>1640</v>
      </c>
    </row>
    <row r="502" spans="2:2" x14ac:dyDescent="0.25">
      <c r="B502" t="s">
        <v>1640</v>
      </c>
    </row>
    <row r="503" spans="2:2" x14ac:dyDescent="0.25">
      <c r="B503" t="s">
        <v>1640</v>
      </c>
    </row>
    <row r="504" spans="2:2" x14ac:dyDescent="0.25">
      <c r="B504" t="s">
        <v>1640</v>
      </c>
    </row>
    <row r="505" spans="2:2" x14ac:dyDescent="0.25">
      <c r="B505" t="s">
        <v>1640</v>
      </c>
    </row>
    <row r="506" spans="2:2" x14ac:dyDescent="0.25">
      <c r="B506" t="s">
        <v>1640</v>
      </c>
    </row>
    <row r="507" spans="2:2" x14ac:dyDescent="0.25">
      <c r="B507" t="s">
        <v>1640</v>
      </c>
    </row>
    <row r="508" spans="2:2" x14ac:dyDescent="0.25">
      <c r="B508" t="s">
        <v>1640</v>
      </c>
    </row>
    <row r="509" spans="2:2" x14ac:dyDescent="0.25">
      <c r="B509" t="s">
        <v>1640</v>
      </c>
    </row>
    <row r="510" spans="2:2" x14ac:dyDescent="0.25">
      <c r="B510" t="s">
        <v>1640</v>
      </c>
    </row>
    <row r="511" spans="2:2" x14ac:dyDescent="0.25">
      <c r="B511" t="s">
        <v>1640</v>
      </c>
    </row>
    <row r="512" spans="2:2" x14ac:dyDescent="0.25">
      <c r="B512" t="s">
        <v>1640</v>
      </c>
    </row>
    <row r="513" spans="2:2" x14ac:dyDescent="0.25">
      <c r="B513" t="s">
        <v>1640</v>
      </c>
    </row>
    <row r="514" spans="2:2" x14ac:dyDescent="0.25">
      <c r="B514" t="s">
        <v>1640</v>
      </c>
    </row>
    <row r="515" spans="2:2" x14ac:dyDescent="0.25">
      <c r="B515" t="s">
        <v>1640</v>
      </c>
    </row>
    <row r="516" spans="2:2" x14ac:dyDescent="0.25">
      <c r="B516" t="s">
        <v>1640</v>
      </c>
    </row>
    <row r="517" spans="2:2" x14ac:dyDescent="0.25">
      <c r="B517" t="s">
        <v>1640</v>
      </c>
    </row>
    <row r="518" spans="2:2" x14ac:dyDescent="0.25">
      <c r="B518" t="s">
        <v>1640</v>
      </c>
    </row>
    <row r="519" spans="2:2" x14ac:dyDescent="0.25">
      <c r="B519" t="s">
        <v>1640</v>
      </c>
    </row>
    <row r="520" spans="2:2" x14ac:dyDescent="0.25">
      <c r="B520" t="s">
        <v>1640</v>
      </c>
    </row>
    <row r="521" spans="2:2" x14ac:dyDescent="0.25">
      <c r="B521" t="s">
        <v>1640</v>
      </c>
    </row>
    <row r="522" spans="2:2" x14ac:dyDescent="0.25">
      <c r="B522" t="s">
        <v>1640</v>
      </c>
    </row>
    <row r="523" spans="2:2" x14ac:dyDescent="0.25">
      <c r="B523" t="s">
        <v>1640</v>
      </c>
    </row>
    <row r="524" spans="2:2" x14ac:dyDescent="0.25">
      <c r="B524" t="s">
        <v>1640</v>
      </c>
    </row>
    <row r="525" spans="2:2" x14ac:dyDescent="0.25">
      <c r="B525" t="s">
        <v>1640</v>
      </c>
    </row>
    <row r="526" spans="2:2" x14ac:dyDescent="0.25">
      <c r="B526" t="s">
        <v>1640</v>
      </c>
    </row>
    <row r="527" spans="2:2" x14ac:dyDescent="0.25">
      <c r="B527" t="s">
        <v>1640</v>
      </c>
    </row>
    <row r="528" spans="2:2" x14ac:dyDescent="0.25">
      <c r="B528" t="s">
        <v>1640</v>
      </c>
    </row>
    <row r="529" spans="2:2" x14ac:dyDescent="0.25">
      <c r="B529" t="s">
        <v>1640</v>
      </c>
    </row>
    <row r="530" spans="2:2" x14ac:dyDescent="0.25">
      <c r="B530" t="s">
        <v>1640</v>
      </c>
    </row>
    <row r="531" spans="2:2" x14ac:dyDescent="0.25">
      <c r="B531" t="s">
        <v>1640</v>
      </c>
    </row>
    <row r="532" spans="2:2" x14ac:dyDescent="0.25">
      <c r="B532" t="s">
        <v>1640</v>
      </c>
    </row>
    <row r="533" spans="2:2" x14ac:dyDescent="0.25">
      <c r="B533" t="s">
        <v>1640</v>
      </c>
    </row>
    <row r="534" spans="2:2" x14ac:dyDescent="0.25">
      <c r="B534" t="s">
        <v>1640</v>
      </c>
    </row>
    <row r="535" spans="2:2" x14ac:dyDescent="0.25">
      <c r="B535" t="s">
        <v>1640</v>
      </c>
    </row>
    <row r="536" spans="2:2" x14ac:dyDescent="0.25">
      <c r="B536" t="s">
        <v>1640</v>
      </c>
    </row>
    <row r="537" spans="2:2" x14ac:dyDescent="0.25">
      <c r="B537" t="s">
        <v>1640</v>
      </c>
    </row>
    <row r="538" spans="2:2" x14ac:dyDescent="0.25">
      <c r="B538" t="s">
        <v>1640</v>
      </c>
    </row>
    <row r="539" spans="2:2" x14ac:dyDescent="0.25">
      <c r="B539" t="s">
        <v>1640</v>
      </c>
    </row>
    <row r="540" spans="2:2" x14ac:dyDescent="0.25">
      <c r="B540" t="s">
        <v>1640</v>
      </c>
    </row>
    <row r="541" spans="2:2" x14ac:dyDescent="0.25">
      <c r="B541" t="s">
        <v>1640</v>
      </c>
    </row>
    <row r="542" spans="2:2" x14ac:dyDescent="0.25">
      <c r="B542" t="s">
        <v>1640</v>
      </c>
    </row>
    <row r="543" spans="2:2" x14ac:dyDescent="0.25">
      <c r="B543" t="s">
        <v>1640</v>
      </c>
    </row>
    <row r="544" spans="2:2" x14ac:dyDescent="0.25">
      <c r="B544" t="s">
        <v>1640</v>
      </c>
    </row>
    <row r="545" spans="2:2" x14ac:dyDescent="0.25">
      <c r="B545" t="s">
        <v>1640</v>
      </c>
    </row>
    <row r="546" spans="2:2" x14ac:dyDescent="0.25">
      <c r="B546" t="s">
        <v>1640</v>
      </c>
    </row>
    <row r="547" spans="2:2" x14ac:dyDescent="0.25">
      <c r="B547" t="s">
        <v>1640</v>
      </c>
    </row>
    <row r="548" spans="2:2" x14ac:dyDescent="0.25">
      <c r="B548" t="s">
        <v>1640</v>
      </c>
    </row>
    <row r="549" spans="2:2" x14ac:dyDescent="0.25">
      <c r="B549" t="s">
        <v>1640</v>
      </c>
    </row>
    <row r="550" spans="2:2" x14ac:dyDescent="0.25">
      <c r="B550" t="s">
        <v>1640</v>
      </c>
    </row>
    <row r="551" spans="2:2" x14ac:dyDescent="0.25">
      <c r="B551" t="s">
        <v>1640</v>
      </c>
    </row>
    <row r="552" spans="2:2" x14ac:dyDescent="0.25">
      <c r="B552" t="s">
        <v>1640</v>
      </c>
    </row>
    <row r="553" spans="2:2" x14ac:dyDescent="0.25">
      <c r="B553" t="s">
        <v>1640</v>
      </c>
    </row>
    <row r="554" spans="2:2" x14ac:dyDescent="0.25">
      <c r="B554" t="s">
        <v>1640</v>
      </c>
    </row>
    <row r="555" spans="2:2" x14ac:dyDescent="0.25">
      <c r="B555" t="s">
        <v>1640</v>
      </c>
    </row>
    <row r="556" spans="2:2" x14ac:dyDescent="0.25">
      <c r="B556" t="s">
        <v>1640</v>
      </c>
    </row>
    <row r="557" spans="2:2" x14ac:dyDescent="0.25">
      <c r="B557" t="s">
        <v>1640</v>
      </c>
    </row>
    <row r="558" spans="2:2" x14ac:dyDescent="0.25">
      <c r="B558" t="s">
        <v>1640</v>
      </c>
    </row>
    <row r="559" spans="2:2" x14ac:dyDescent="0.25">
      <c r="B559" t="s">
        <v>1640</v>
      </c>
    </row>
    <row r="560" spans="2:2" x14ac:dyDescent="0.25">
      <c r="B560" t="s">
        <v>1640</v>
      </c>
    </row>
    <row r="561" spans="2:2" x14ac:dyDescent="0.25">
      <c r="B561" t="s">
        <v>1640</v>
      </c>
    </row>
    <row r="562" spans="2:2" x14ac:dyDescent="0.25">
      <c r="B562" t="s">
        <v>1640</v>
      </c>
    </row>
    <row r="563" spans="2:2" x14ac:dyDescent="0.25">
      <c r="B563" t="s">
        <v>1640</v>
      </c>
    </row>
    <row r="564" spans="2:2" x14ac:dyDescent="0.25">
      <c r="B564" t="s">
        <v>1640</v>
      </c>
    </row>
    <row r="565" spans="2:2" x14ac:dyDescent="0.25">
      <c r="B565" t="s">
        <v>1640</v>
      </c>
    </row>
    <row r="566" spans="2:2" x14ac:dyDescent="0.25">
      <c r="B566" t="s">
        <v>1640</v>
      </c>
    </row>
    <row r="567" spans="2:2" x14ac:dyDescent="0.25">
      <c r="B567" t="s">
        <v>1640</v>
      </c>
    </row>
    <row r="568" spans="2:2" x14ac:dyDescent="0.25">
      <c r="B568" t="s">
        <v>1640</v>
      </c>
    </row>
    <row r="569" spans="2:2" x14ac:dyDescent="0.25">
      <c r="B569" t="s">
        <v>1640</v>
      </c>
    </row>
    <row r="570" spans="2:2" x14ac:dyDescent="0.25">
      <c r="B570" t="s">
        <v>1640</v>
      </c>
    </row>
    <row r="571" spans="2:2" x14ac:dyDescent="0.25">
      <c r="B571" t="s">
        <v>1640</v>
      </c>
    </row>
    <row r="572" spans="2:2" x14ac:dyDescent="0.25">
      <c r="B572" t="s">
        <v>1640</v>
      </c>
    </row>
    <row r="573" spans="2:2" x14ac:dyDescent="0.25">
      <c r="B573" t="s">
        <v>1640</v>
      </c>
    </row>
    <row r="574" spans="2:2" x14ac:dyDescent="0.25">
      <c r="B574" t="s">
        <v>1640</v>
      </c>
    </row>
    <row r="575" spans="2:2" x14ac:dyDescent="0.25">
      <c r="B575" t="s">
        <v>1640</v>
      </c>
    </row>
    <row r="576" spans="2:2" x14ac:dyDescent="0.25">
      <c r="B576" t="s">
        <v>1640</v>
      </c>
    </row>
    <row r="577" spans="2:2" x14ac:dyDescent="0.25">
      <c r="B577" t="s">
        <v>1640</v>
      </c>
    </row>
    <row r="578" spans="2:2" x14ac:dyDescent="0.25">
      <c r="B578" t="s">
        <v>1640</v>
      </c>
    </row>
    <row r="579" spans="2:2" x14ac:dyDescent="0.25">
      <c r="B579" t="s">
        <v>1640</v>
      </c>
    </row>
    <row r="580" spans="2:2" x14ac:dyDescent="0.25">
      <c r="B580" t="s">
        <v>1640</v>
      </c>
    </row>
    <row r="581" spans="2:2" x14ac:dyDescent="0.25">
      <c r="B581" t="s">
        <v>1640</v>
      </c>
    </row>
    <row r="582" spans="2:2" x14ac:dyDescent="0.25">
      <c r="B582" t="s">
        <v>1640</v>
      </c>
    </row>
    <row r="583" spans="2:2" x14ac:dyDescent="0.25">
      <c r="B583" t="s">
        <v>1640</v>
      </c>
    </row>
    <row r="584" spans="2:2" x14ac:dyDescent="0.25">
      <c r="B584" t="s">
        <v>1640</v>
      </c>
    </row>
    <row r="585" spans="2:2" x14ac:dyDescent="0.25">
      <c r="B585" t="s">
        <v>1640</v>
      </c>
    </row>
    <row r="586" spans="2:2" x14ac:dyDescent="0.25">
      <c r="B586" t="s">
        <v>1640</v>
      </c>
    </row>
    <row r="587" spans="2:2" x14ac:dyDescent="0.25">
      <c r="B587" t="s">
        <v>1640</v>
      </c>
    </row>
    <row r="588" spans="2:2" x14ac:dyDescent="0.25">
      <c r="B588" t="s">
        <v>1640</v>
      </c>
    </row>
    <row r="589" spans="2:2" x14ac:dyDescent="0.25">
      <c r="B589" t="s">
        <v>1640</v>
      </c>
    </row>
    <row r="590" spans="2:2" x14ac:dyDescent="0.25">
      <c r="B590" t="s">
        <v>1640</v>
      </c>
    </row>
    <row r="591" spans="2:2" x14ac:dyDescent="0.25">
      <c r="B591" t="s">
        <v>1640</v>
      </c>
    </row>
    <row r="592" spans="2:2" x14ac:dyDescent="0.25">
      <c r="B592" t="s">
        <v>1640</v>
      </c>
    </row>
    <row r="593" spans="2:2" x14ac:dyDescent="0.25">
      <c r="B593" t="s">
        <v>1640</v>
      </c>
    </row>
    <row r="594" spans="2:2" x14ac:dyDescent="0.25">
      <c r="B594" t="s">
        <v>1640</v>
      </c>
    </row>
    <row r="595" spans="2:2" x14ac:dyDescent="0.25">
      <c r="B595" t="s">
        <v>1640</v>
      </c>
    </row>
    <row r="596" spans="2:2" x14ac:dyDescent="0.25">
      <c r="B596" t="s">
        <v>1640</v>
      </c>
    </row>
    <row r="597" spans="2:2" x14ac:dyDescent="0.25">
      <c r="B597" t="s">
        <v>1640</v>
      </c>
    </row>
    <row r="598" spans="2:2" x14ac:dyDescent="0.25">
      <c r="B598" t="s">
        <v>1640</v>
      </c>
    </row>
    <row r="599" spans="2:2" x14ac:dyDescent="0.25">
      <c r="B599" t="s">
        <v>1640</v>
      </c>
    </row>
    <row r="600" spans="2:2" x14ac:dyDescent="0.25">
      <c r="B600" t="s">
        <v>1640</v>
      </c>
    </row>
    <row r="601" spans="2:2" x14ac:dyDescent="0.25">
      <c r="B601" t="s">
        <v>1640</v>
      </c>
    </row>
    <row r="602" spans="2:2" x14ac:dyDescent="0.25">
      <c r="B602" t="s">
        <v>1640</v>
      </c>
    </row>
    <row r="603" spans="2:2" x14ac:dyDescent="0.25">
      <c r="B603" t="s">
        <v>1640</v>
      </c>
    </row>
    <row r="604" spans="2:2" x14ac:dyDescent="0.25">
      <c r="B604" t="s">
        <v>1640</v>
      </c>
    </row>
    <row r="605" spans="2:2" x14ac:dyDescent="0.25">
      <c r="B605" t="s">
        <v>1640</v>
      </c>
    </row>
    <row r="606" spans="2:2" x14ac:dyDescent="0.25">
      <c r="B606" t="s">
        <v>1640</v>
      </c>
    </row>
    <row r="607" spans="2:2" x14ac:dyDescent="0.25">
      <c r="B607" t="s">
        <v>1640</v>
      </c>
    </row>
    <row r="608" spans="2:2" x14ac:dyDescent="0.25">
      <c r="B608" t="s">
        <v>1640</v>
      </c>
    </row>
    <row r="609" spans="2:2" x14ac:dyDescent="0.25">
      <c r="B609" t="s">
        <v>1640</v>
      </c>
    </row>
    <row r="610" spans="2:2" x14ac:dyDescent="0.25">
      <c r="B610" t="s">
        <v>1640</v>
      </c>
    </row>
    <row r="611" spans="2:2" x14ac:dyDescent="0.25">
      <c r="B611" t="s">
        <v>1640</v>
      </c>
    </row>
    <row r="612" spans="2:2" x14ac:dyDescent="0.25">
      <c r="B612" t="s">
        <v>1640</v>
      </c>
    </row>
    <row r="613" spans="2:2" x14ac:dyDescent="0.25">
      <c r="B613" t="s">
        <v>1640</v>
      </c>
    </row>
    <row r="614" spans="2:2" x14ac:dyDescent="0.25">
      <c r="B614" t="s">
        <v>1640</v>
      </c>
    </row>
    <row r="615" spans="2:2" x14ac:dyDescent="0.25">
      <c r="B615" t="s">
        <v>1640</v>
      </c>
    </row>
    <row r="616" spans="2:2" x14ac:dyDescent="0.25">
      <c r="B616" t="s">
        <v>1640</v>
      </c>
    </row>
    <row r="617" spans="2:2" x14ac:dyDescent="0.25">
      <c r="B617" t="s">
        <v>1640</v>
      </c>
    </row>
    <row r="618" spans="2:2" x14ac:dyDescent="0.25">
      <c r="B618" t="s">
        <v>1640</v>
      </c>
    </row>
    <row r="619" spans="2:2" x14ac:dyDescent="0.25">
      <c r="B619" t="s">
        <v>1640</v>
      </c>
    </row>
    <row r="620" spans="2:2" x14ac:dyDescent="0.25">
      <c r="B620" t="s">
        <v>1640</v>
      </c>
    </row>
    <row r="621" spans="2:2" x14ac:dyDescent="0.25">
      <c r="B621" t="s">
        <v>1640</v>
      </c>
    </row>
    <row r="622" spans="2:2" x14ac:dyDescent="0.25">
      <c r="B622" t="s">
        <v>1640</v>
      </c>
    </row>
    <row r="623" spans="2:2" x14ac:dyDescent="0.25">
      <c r="B623" t="s">
        <v>1640</v>
      </c>
    </row>
    <row r="624" spans="2:2" x14ac:dyDescent="0.25">
      <c r="B624" t="s">
        <v>1640</v>
      </c>
    </row>
    <row r="625" spans="2:2" x14ac:dyDescent="0.25">
      <c r="B625" t="s">
        <v>1640</v>
      </c>
    </row>
    <row r="626" spans="2:2" x14ac:dyDescent="0.25">
      <c r="B626" t="s">
        <v>1640</v>
      </c>
    </row>
    <row r="627" spans="2:2" x14ac:dyDescent="0.25">
      <c r="B627" t="s">
        <v>1640</v>
      </c>
    </row>
    <row r="628" spans="2:2" x14ac:dyDescent="0.25">
      <c r="B628" t="s">
        <v>1640</v>
      </c>
    </row>
    <row r="629" spans="2:2" x14ac:dyDescent="0.25">
      <c r="B629" t="s">
        <v>1640</v>
      </c>
    </row>
    <row r="630" spans="2:2" x14ac:dyDescent="0.25">
      <c r="B630" t="s">
        <v>1640</v>
      </c>
    </row>
    <row r="631" spans="2:2" x14ac:dyDescent="0.25">
      <c r="B631" t="s">
        <v>1640</v>
      </c>
    </row>
    <row r="632" spans="2:2" x14ac:dyDescent="0.25">
      <c r="B632" t="s">
        <v>1640</v>
      </c>
    </row>
    <row r="633" spans="2:2" x14ac:dyDescent="0.25">
      <c r="B633" t="s">
        <v>1640</v>
      </c>
    </row>
    <row r="634" spans="2:2" x14ac:dyDescent="0.25">
      <c r="B634" t="s">
        <v>1640</v>
      </c>
    </row>
    <row r="635" spans="2:2" x14ac:dyDescent="0.25">
      <c r="B635" t="s">
        <v>1640</v>
      </c>
    </row>
    <row r="636" spans="2:2" x14ac:dyDescent="0.25">
      <c r="B636" t="s">
        <v>1640</v>
      </c>
    </row>
    <row r="637" spans="2:2" x14ac:dyDescent="0.25">
      <c r="B637" t="s">
        <v>1640</v>
      </c>
    </row>
    <row r="638" spans="2:2" x14ac:dyDescent="0.25">
      <c r="B638" t="s">
        <v>1640</v>
      </c>
    </row>
    <row r="639" spans="2:2" x14ac:dyDescent="0.25">
      <c r="B639" t="s">
        <v>1640</v>
      </c>
    </row>
    <row r="640" spans="2:2" x14ac:dyDescent="0.25">
      <c r="B640" t="s">
        <v>1640</v>
      </c>
    </row>
    <row r="641" spans="2:2" x14ac:dyDescent="0.25">
      <c r="B641" t="s">
        <v>1640</v>
      </c>
    </row>
    <row r="642" spans="2:2" x14ac:dyDescent="0.25">
      <c r="B642" t="s">
        <v>1640</v>
      </c>
    </row>
    <row r="643" spans="2:2" x14ac:dyDescent="0.25">
      <c r="B643" t="s">
        <v>1640</v>
      </c>
    </row>
    <row r="644" spans="2:2" x14ac:dyDescent="0.25">
      <c r="B644" t="s">
        <v>1640</v>
      </c>
    </row>
    <row r="645" spans="2:2" x14ac:dyDescent="0.25">
      <c r="B645" t="s">
        <v>1640</v>
      </c>
    </row>
    <row r="646" spans="2:2" x14ac:dyDescent="0.25">
      <c r="B646" t="s">
        <v>1640</v>
      </c>
    </row>
    <row r="647" spans="2:2" x14ac:dyDescent="0.25">
      <c r="B647" t="s">
        <v>1640</v>
      </c>
    </row>
    <row r="648" spans="2:2" x14ac:dyDescent="0.25">
      <c r="B648" t="s">
        <v>1640</v>
      </c>
    </row>
    <row r="649" spans="2:2" x14ac:dyDescent="0.25">
      <c r="B649" t="s">
        <v>1640</v>
      </c>
    </row>
    <row r="650" spans="2:2" x14ac:dyDescent="0.25">
      <c r="B650" t="s">
        <v>1640</v>
      </c>
    </row>
    <row r="651" spans="2:2" x14ac:dyDescent="0.25">
      <c r="B651" t="s">
        <v>1640</v>
      </c>
    </row>
    <row r="652" spans="2:2" x14ac:dyDescent="0.25">
      <c r="B652" t="s">
        <v>1640</v>
      </c>
    </row>
    <row r="653" spans="2:2" x14ac:dyDescent="0.25">
      <c r="B653" t="s">
        <v>1640</v>
      </c>
    </row>
    <row r="654" spans="2:2" x14ac:dyDescent="0.25">
      <c r="B654" t="s">
        <v>1640</v>
      </c>
    </row>
    <row r="655" spans="2:2" x14ac:dyDescent="0.25">
      <c r="B655" t="s">
        <v>1640</v>
      </c>
    </row>
    <row r="656" spans="2:2" x14ac:dyDescent="0.25">
      <c r="B656" t="s">
        <v>1640</v>
      </c>
    </row>
    <row r="657" spans="2:2" x14ac:dyDescent="0.25">
      <c r="B657" t="s">
        <v>1640</v>
      </c>
    </row>
    <row r="658" spans="2:2" x14ac:dyDescent="0.25">
      <c r="B658" t="s">
        <v>1640</v>
      </c>
    </row>
    <row r="659" spans="2:2" x14ac:dyDescent="0.25">
      <c r="B659" t="s">
        <v>1640</v>
      </c>
    </row>
    <row r="660" spans="2:2" x14ac:dyDescent="0.25">
      <c r="B660" t="s">
        <v>1640</v>
      </c>
    </row>
    <row r="661" spans="2:2" x14ac:dyDescent="0.25">
      <c r="B661" t="s">
        <v>1640</v>
      </c>
    </row>
    <row r="662" spans="2:2" x14ac:dyDescent="0.25">
      <c r="B662" t="s">
        <v>1640</v>
      </c>
    </row>
    <row r="663" spans="2:2" x14ac:dyDescent="0.25">
      <c r="B663" t="s">
        <v>1640</v>
      </c>
    </row>
    <row r="664" spans="2:2" x14ac:dyDescent="0.25">
      <c r="B664" t="s">
        <v>1640</v>
      </c>
    </row>
    <row r="665" spans="2:2" x14ac:dyDescent="0.25">
      <c r="B665" t="s">
        <v>1640</v>
      </c>
    </row>
    <row r="666" spans="2:2" x14ac:dyDescent="0.25">
      <c r="B666" t="s">
        <v>1640</v>
      </c>
    </row>
    <row r="667" spans="2:2" x14ac:dyDescent="0.25">
      <c r="B667" t="s">
        <v>1640</v>
      </c>
    </row>
    <row r="668" spans="2:2" x14ac:dyDescent="0.25">
      <c r="B668" t="s">
        <v>1640</v>
      </c>
    </row>
    <row r="669" spans="2:2" x14ac:dyDescent="0.25">
      <c r="B669" t="s">
        <v>1640</v>
      </c>
    </row>
    <row r="670" spans="2:2" x14ac:dyDescent="0.25">
      <c r="B670" t="s">
        <v>1640</v>
      </c>
    </row>
    <row r="671" spans="2:2" x14ac:dyDescent="0.25">
      <c r="B671" t="s">
        <v>1640</v>
      </c>
    </row>
    <row r="672" spans="2:2" x14ac:dyDescent="0.25">
      <c r="B672" t="s">
        <v>1640</v>
      </c>
    </row>
    <row r="673" spans="2:2" x14ac:dyDescent="0.25">
      <c r="B673" t="s">
        <v>1640</v>
      </c>
    </row>
    <row r="674" spans="2:2" x14ac:dyDescent="0.25">
      <c r="B674" t="s">
        <v>1640</v>
      </c>
    </row>
    <row r="675" spans="2:2" x14ac:dyDescent="0.25">
      <c r="B675" t="s">
        <v>1640</v>
      </c>
    </row>
    <row r="676" spans="2:2" x14ac:dyDescent="0.25">
      <c r="B676" t="s">
        <v>1640</v>
      </c>
    </row>
    <row r="677" spans="2:2" x14ac:dyDescent="0.25">
      <c r="B677" t="s">
        <v>1640</v>
      </c>
    </row>
    <row r="678" spans="2:2" x14ac:dyDescent="0.25">
      <c r="B678" t="s">
        <v>1640</v>
      </c>
    </row>
    <row r="679" spans="2:2" x14ac:dyDescent="0.25">
      <c r="B679" t="s">
        <v>1640</v>
      </c>
    </row>
    <row r="680" spans="2:2" x14ac:dyDescent="0.25">
      <c r="B680" t="s">
        <v>1640</v>
      </c>
    </row>
    <row r="681" spans="2:2" x14ac:dyDescent="0.25">
      <c r="B681" t="s">
        <v>1640</v>
      </c>
    </row>
    <row r="682" spans="2:2" x14ac:dyDescent="0.25">
      <c r="B682" t="s">
        <v>1640</v>
      </c>
    </row>
    <row r="683" spans="2:2" x14ac:dyDescent="0.25">
      <c r="B683" t="s">
        <v>1640</v>
      </c>
    </row>
    <row r="684" spans="2:2" x14ac:dyDescent="0.25">
      <c r="B684" t="s">
        <v>1640</v>
      </c>
    </row>
    <row r="685" spans="2:2" x14ac:dyDescent="0.25">
      <c r="B685" t="s">
        <v>1640</v>
      </c>
    </row>
    <row r="686" spans="2:2" x14ac:dyDescent="0.25">
      <c r="B686" t="s">
        <v>1640</v>
      </c>
    </row>
    <row r="687" spans="2:2" x14ac:dyDescent="0.25">
      <c r="B687" t="s">
        <v>1640</v>
      </c>
    </row>
    <row r="688" spans="2:2" x14ac:dyDescent="0.25">
      <c r="B688" t="s">
        <v>1640</v>
      </c>
    </row>
    <row r="689" spans="2:2" x14ac:dyDescent="0.25">
      <c r="B689" t="s">
        <v>1640</v>
      </c>
    </row>
    <row r="690" spans="2:2" x14ac:dyDescent="0.25">
      <c r="B690" t="s">
        <v>1640</v>
      </c>
    </row>
    <row r="691" spans="2:2" x14ac:dyDescent="0.25">
      <c r="B691" t="s">
        <v>1640</v>
      </c>
    </row>
    <row r="692" spans="2:2" x14ac:dyDescent="0.25">
      <c r="B692" t="s">
        <v>1640</v>
      </c>
    </row>
    <row r="693" spans="2:2" x14ac:dyDescent="0.25">
      <c r="B693" t="s">
        <v>1640</v>
      </c>
    </row>
    <row r="694" spans="2:2" x14ac:dyDescent="0.25">
      <c r="B694" t="s">
        <v>1640</v>
      </c>
    </row>
    <row r="695" spans="2:2" x14ac:dyDescent="0.25">
      <c r="B695" t="s">
        <v>1640</v>
      </c>
    </row>
    <row r="696" spans="2:2" x14ac:dyDescent="0.25">
      <c r="B696" t="s">
        <v>1640</v>
      </c>
    </row>
    <row r="697" spans="2:2" x14ac:dyDescent="0.25">
      <c r="B697" t="s">
        <v>1640</v>
      </c>
    </row>
    <row r="698" spans="2:2" x14ac:dyDescent="0.25">
      <c r="B698" t="s">
        <v>1640</v>
      </c>
    </row>
    <row r="699" spans="2:2" x14ac:dyDescent="0.25">
      <c r="B699" t="s">
        <v>1640</v>
      </c>
    </row>
    <row r="700" spans="2:2" x14ac:dyDescent="0.25">
      <c r="B700" t="s">
        <v>1640</v>
      </c>
    </row>
    <row r="701" spans="2:2" x14ac:dyDescent="0.25">
      <c r="B701" t="s">
        <v>1640</v>
      </c>
    </row>
    <row r="702" spans="2:2" x14ac:dyDescent="0.25">
      <c r="B702" t="s">
        <v>1640</v>
      </c>
    </row>
    <row r="703" spans="2:2" x14ac:dyDescent="0.25">
      <c r="B703" t="s">
        <v>1640</v>
      </c>
    </row>
    <row r="704" spans="2:2" x14ac:dyDescent="0.25">
      <c r="B704" t="s">
        <v>1640</v>
      </c>
    </row>
    <row r="705" spans="2:2" x14ac:dyDescent="0.25">
      <c r="B705" t="s">
        <v>1640</v>
      </c>
    </row>
    <row r="706" spans="2:2" x14ac:dyDescent="0.25">
      <c r="B706" t="s">
        <v>1640</v>
      </c>
    </row>
    <row r="707" spans="2:2" x14ac:dyDescent="0.25">
      <c r="B707" t="s">
        <v>1640</v>
      </c>
    </row>
    <row r="708" spans="2:2" x14ac:dyDescent="0.25">
      <c r="B708" t="s">
        <v>1640</v>
      </c>
    </row>
    <row r="709" spans="2:2" x14ac:dyDescent="0.25">
      <c r="B709" t="s">
        <v>1640</v>
      </c>
    </row>
    <row r="710" spans="2:2" x14ac:dyDescent="0.25">
      <c r="B710" t="s">
        <v>1640</v>
      </c>
    </row>
    <row r="711" spans="2:2" x14ac:dyDescent="0.25">
      <c r="B711" t="s">
        <v>1640</v>
      </c>
    </row>
    <row r="712" spans="2:2" x14ac:dyDescent="0.25">
      <c r="B712" t="s">
        <v>1640</v>
      </c>
    </row>
    <row r="713" spans="2:2" x14ac:dyDescent="0.25">
      <c r="B713" t="s">
        <v>1640</v>
      </c>
    </row>
    <row r="714" spans="2:2" x14ac:dyDescent="0.25">
      <c r="B714" t="s">
        <v>1640</v>
      </c>
    </row>
    <row r="715" spans="2:2" x14ac:dyDescent="0.25">
      <c r="B715" t="s">
        <v>1640</v>
      </c>
    </row>
    <row r="716" spans="2:2" x14ac:dyDescent="0.25">
      <c r="B716" t="s">
        <v>1640</v>
      </c>
    </row>
    <row r="717" spans="2:2" x14ac:dyDescent="0.25">
      <c r="B717" t="s">
        <v>1640</v>
      </c>
    </row>
    <row r="718" spans="2:2" x14ac:dyDescent="0.25">
      <c r="B718" t="s">
        <v>1640</v>
      </c>
    </row>
    <row r="719" spans="2:2" x14ac:dyDescent="0.25">
      <c r="B719" t="s">
        <v>1640</v>
      </c>
    </row>
    <row r="720" spans="2:2" x14ac:dyDescent="0.25">
      <c r="B720" t="s">
        <v>1640</v>
      </c>
    </row>
    <row r="721" spans="2:2" x14ac:dyDescent="0.25">
      <c r="B721" t="s">
        <v>1640</v>
      </c>
    </row>
    <row r="722" spans="2:2" x14ac:dyDescent="0.25">
      <c r="B722" t="s">
        <v>1640</v>
      </c>
    </row>
    <row r="723" spans="2:2" x14ac:dyDescent="0.25">
      <c r="B723" t="s">
        <v>1640</v>
      </c>
    </row>
    <row r="724" spans="2:2" x14ac:dyDescent="0.25">
      <c r="B724" t="s">
        <v>1640</v>
      </c>
    </row>
    <row r="725" spans="2:2" x14ac:dyDescent="0.25">
      <c r="B725" t="s">
        <v>1640</v>
      </c>
    </row>
    <row r="726" spans="2:2" x14ac:dyDescent="0.25">
      <c r="B726" t="s">
        <v>1640</v>
      </c>
    </row>
    <row r="727" spans="2:2" x14ac:dyDescent="0.25">
      <c r="B727" t="s">
        <v>1640</v>
      </c>
    </row>
    <row r="728" spans="2:2" x14ac:dyDescent="0.25">
      <c r="B728" t="s">
        <v>1640</v>
      </c>
    </row>
    <row r="729" spans="2:2" x14ac:dyDescent="0.25">
      <c r="B729" t="s">
        <v>1640</v>
      </c>
    </row>
    <row r="730" spans="2:2" x14ac:dyDescent="0.25">
      <c r="B730" t="s">
        <v>1640</v>
      </c>
    </row>
    <row r="731" spans="2:2" x14ac:dyDescent="0.25">
      <c r="B731" t="s">
        <v>1640</v>
      </c>
    </row>
    <row r="732" spans="2:2" x14ac:dyDescent="0.25">
      <c r="B732" t="s">
        <v>1640</v>
      </c>
    </row>
    <row r="733" spans="2:2" x14ac:dyDescent="0.25">
      <c r="B733" t="s">
        <v>1640</v>
      </c>
    </row>
    <row r="734" spans="2:2" x14ac:dyDescent="0.25">
      <c r="B734" t="s">
        <v>1640</v>
      </c>
    </row>
    <row r="735" spans="2:2" x14ac:dyDescent="0.25">
      <c r="B735" t="s">
        <v>1640</v>
      </c>
    </row>
    <row r="736" spans="2:2" x14ac:dyDescent="0.25">
      <c r="B736" t="s">
        <v>1640</v>
      </c>
    </row>
    <row r="737" spans="2:2" x14ac:dyDescent="0.25">
      <c r="B737" t="s">
        <v>1640</v>
      </c>
    </row>
    <row r="738" spans="2:2" x14ac:dyDescent="0.25">
      <c r="B738" t="s">
        <v>1640</v>
      </c>
    </row>
    <row r="739" spans="2:2" x14ac:dyDescent="0.25">
      <c r="B739" t="s">
        <v>1640</v>
      </c>
    </row>
    <row r="740" spans="2:2" x14ac:dyDescent="0.25">
      <c r="B740" t="s">
        <v>1640</v>
      </c>
    </row>
    <row r="741" spans="2:2" x14ac:dyDescent="0.25">
      <c r="B741" t="s">
        <v>1640</v>
      </c>
    </row>
    <row r="742" spans="2:2" x14ac:dyDescent="0.25">
      <c r="B742" t="s">
        <v>1640</v>
      </c>
    </row>
    <row r="743" spans="2:2" x14ac:dyDescent="0.25">
      <c r="B743" t="s">
        <v>1640</v>
      </c>
    </row>
    <row r="744" spans="2:2" x14ac:dyDescent="0.25">
      <c r="B744" t="s">
        <v>1640</v>
      </c>
    </row>
    <row r="745" spans="2:2" x14ac:dyDescent="0.25">
      <c r="B745" t="s">
        <v>1640</v>
      </c>
    </row>
    <row r="746" spans="2:2" x14ac:dyDescent="0.25">
      <c r="B746" t="s">
        <v>1640</v>
      </c>
    </row>
    <row r="747" spans="2:2" x14ac:dyDescent="0.25">
      <c r="B747" t="s">
        <v>1640</v>
      </c>
    </row>
    <row r="748" spans="2:2" x14ac:dyDescent="0.25">
      <c r="B748" t="s">
        <v>1640</v>
      </c>
    </row>
    <row r="749" spans="2:2" x14ac:dyDescent="0.25">
      <c r="B749" t="s">
        <v>1640</v>
      </c>
    </row>
    <row r="750" spans="2:2" x14ac:dyDescent="0.25">
      <c r="B750" t="s">
        <v>1640</v>
      </c>
    </row>
    <row r="751" spans="2:2" x14ac:dyDescent="0.25">
      <c r="B751" t="s">
        <v>1640</v>
      </c>
    </row>
    <row r="752" spans="2:2" x14ac:dyDescent="0.25">
      <c r="B752" t="s">
        <v>1640</v>
      </c>
    </row>
    <row r="753" spans="2:2" x14ac:dyDescent="0.25">
      <c r="B753" t="s">
        <v>1640</v>
      </c>
    </row>
    <row r="754" spans="2:2" x14ac:dyDescent="0.25">
      <c r="B754" t="s">
        <v>1640</v>
      </c>
    </row>
    <row r="755" spans="2:2" x14ac:dyDescent="0.25">
      <c r="B755" t="s">
        <v>1640</v>
      </c>
    </row>
    <row r="756" spans="2:2" x14ac:dyDescent="0.25">
      <c r="B756" t="s">
        <v>1640</v>
      </c>
    </row>
    <row r="757" spans="2:2" x14ac:dyDescent="0.25">
      <c r="B757" t="s">
        <v>1640</v>
      </c>
    </row>
    <row r="758" spans="2:2" x14ac:dyDescent="0.25">
      <c r="B758" t="s">
        <v>1640</v>
      </c>
    </row>
    <row r="759" spans="2:2" x14ac:dyDescent="0.25">
      <c r="B759" t="s">
        <v>1640</v>
      </c>
    </row>
    <row r="760" spans="2:2" x14ac:dyDescent="0.25">
      <c r="B760" t="s">
        <v>1640</v>
      </c>
    </row>
    <row r="761" spans="2:2" x14ac:dyDescent="0.25">
      <c r="B761" t="s">
        <v>1640</v>
      </c>
    </row>
    <row r="762" spans="2:2" x14ac:dyDescent="0.25">
      <c r="B762" t="s">
        <v>1640</v>
      </c>
    </row>
    <row r="763" spans="2:2" x14ac:dyDescent="0.25">
      <c r="B763" t="s">
        <v>1640</v>
      </c>
    </row>
    <row r="764" spans="2:2" x14ac:dyDescent="0.25">
      <c r="B764" t="s">
        <v>1640</v>
      </c>
    </row>
    <row r="765" spans="2:2" x14ac:dyDescent="0.25">
      <c r="B765" t="s">
        <v>1640</v>
      </c>
    </row>
    <row r="766" spans="2:2" x14ac:dyDescent="0.25">
      <c r="B766" t="s">
        <v>1640</v>
      </c>
    </row>
    <row r="767" spans="2:2" x14ac:dyDescent="0.25">
      <c r="B767" t="s">
        <v>1640</v>
      </c>
    </row>
    <row r="768" spans="2:2" x14ac:dyDescent="0.25">
      <c r="B768" t="s">
        <v>1640</v>
      </c>
    </row>
    <row r="769" spans="2:2" x14ac:dyDescent="0.25">
      <c r="B769" t="s">
        <v>1640</v>
      </c>
    </row>
    <row r="770" spans="2:2" x14ac:dyDescent="0.25">
      <c r="B770" t="s">
        <v>1640</v>
      </c>
    </row>
    <row r="771" spans="2:2" x14ac:dyDescent="0.25">
      <c r="B771" t="s">
        <v>1640</v>
      </c>
    </row>
    <row r="772" spans="2:2" x14ac:dyDescent="0.25">
      <c r="B772" t="s">
        <v>1640</v>
      </c>
    </row>
    <row r="773" spans="2:2" x14ac:dyDescent="0.25">
      <c r="B773" t="s">
        <v>1640</v>
      </c>
    </row>
    <row r="774" spans="2:2" x14ac:dyDescent="0.25">
      <c r="B774" t="s">
        <v>1640</v>
      </c>
    </row>
    <row r="775" spans="2:2" x14ac:dyDescent="0.25">
      <c r="B775" t="s">
        <v>1640</v>
      </c>
    </row>
    <row r="776" spans="2:2" x14ac:dyDescent="0.25">
      <c r="B776" t="s">
        <v>1640</v>
      </c>
    </row>
    <row r="777" spans="2:2" x14ac:dyDescent="0.25">
      <c r="B777" t="s">
        <v>1640</v>
      </c>
    </row>
    <row r="778" spans="2:2" x14ac:dyDescent="0.25">
      <c r="B778" t="s">
        <v>1640</v>
      </c>
    </row>
    <row r="779" spans="2:2" x14ac:dyDescent="0.25">
      <c r="B779" t="s">
        <v>1640</v>
      </c>
    </row>
    <row r="780" spans="2:2" x14ac:dyDescent="0.25">
      <c r="B780" t="s">
        <v>1640</v>
      </c>
    </row>
    <row r="781" spans="2:2" x14ac:dyDescent="0.25">
      <c r="B781" t="s">
        <v>1640</v>
      </c>
    </row>
    <row r="782" spans="2:2" x14ac:dyDescent="0.25">
      <c r="B782" t="s">
        <v>1640</v>
      </c>
    </row>
    <row r="783" spans="2:2" x14ac:dyDescent="0.25">
      <c r="B783" t="s">
        <v>1640</v>
      </c>
    </row>
    <row r="784" spans="2:2" x14ac:dyDescent="0.25">
      <c r="B784" t="s">
        <v>1640</v>
      </c>
    </row>
    <row r="785" spans="2:2" x14ac:dyDescent="0.25">
      <c r="B785" t="s">
        <v>1640</v>
      </c>
    </row>
    <row r="786" spans="2:2" x14ac:dyDescent="0.25">
      <c r="B786" t="s">
        <v>1640</v>
      </c>
    </row>
    <row r="787" spans="2:2" x14ac:dyDescent="0.25">
      <c r="B787" t="s">
        <v>1640</v>
      </c>
    </row>
    <row r="788" spans="2:2" x14ac:dyDescent="0.25">
      <c r="B788" t="s">
        <v>1640</v>
      </c>
    </row>
    <row r="789" spans="2:2" x14ac:dyDescent="0.25">
      <c r="B789" t="s">
        <v>1640</v>
      </c>
    </row>
    <row r="790" spans="2:2" x14ac:dyDescent="0.25">
      <c r="B790" t="s">
        <v>1640</v>
      </c>
    </row>
    <row r="791" spans="2:2" x14ac:dyDescent="0.25">
      <c r="B791" t="s">
        <v>1640</v>
      </c>
    </row>
    <row r="792" spans="2:2" x14ac:dyDescent="0.25">
      <c r="B792" t="s">
        <v>1640</v>
      </c>
    </row>
    <row r="793" spans="2:2" x14ac:dyDescent="0.25">
      <c r="B793" t="s">
        <v>1640</v>
      </c>
    </row>
    <row r="794" spans="2:2" x14ac:dyDescent="0.25">
      <c r="B794" t="s">
        <v>1640</v>
      </c>
    </row>
    <row r="795" spans="2:2" x14ac:dyDescent="0.25">
      <c r="B795" t="s">
        <v>1640</v>
      </c>
    </row>
    <row r="796" spans="2:2" x14ac:dyDescent="0.25">
      <c r="B796" t="s">
        <v>1640</v>
      </c>
    </row>
    <row r="797" spans="2:2" x14ac:dyDescent="0.25">
      <c r="B797" t="s">
        <v>1640</v>
      </c>
    </row>
    <row r="798" spans="2:2" x14ac:dyDescent="0.25">
      <c r="B798" t="s">
        <v>1640</v>
      </c>
    </row>
    <row r="799" spans="2:2" x14ac:dyDescent="0.25">
      <c r="B799" t="s">
        <v>1640</v>
      </c>
    </row>
    <row r="800" spans="2:2" x14ac:dyDescent="0.25">
      <c r="B800" t="s">
        <v>1640</v>
      </c>
    </row>
    <row r="801" spans="2:2" x14ac:dyDescent="0.25">
      <c r="B801" t="s">
        <v>1640</v>
      </c>
    </row>
    <row r="802" spans="2:2" x14ac:dyDescent="0.25">
      <c r="B802" t="s">
        <v>1640</v>
      </c>
    </row>
    <row r="803" spans="2:2" x14ac:dyDescent="0.25">
      <c r="B803" t="s">
        <v>1640</v>
      </c>
    </row>
    <row r="804" spans="2:2" x14ac:dyDescent="0.25">
      <c r="B804" t="s">
        <v>1640</v>
      </c>
    </row>
    <row r="805" spans="2:2" x14ac:dyDescent="0.25">
      <c r="B805" t="s">
        <v>1640</v>
      </c>
    </row>
    <row r="806" spans="2:2" x14ac:dyDescent="0.25">
      <c r="B806" t="s">
        <v>1640</v>
      </c>
    </row>
    <row r="807" spans="2:2" x14ac:dyDescent="0.25">
      <c r="B807" t="s">
        <v>1640</v>
      </c>
    </row>
    <row r="808" spans="2:2" x14ac:dyDescent="0.25">
      <c r="B808" t="s">
        <v>1640</v>
      </c>
    </row>
    <row r="809" spans="2:2" x14ac:dyDescent="0.25">
      <c r="B809" t="s">
        <v>1640</v>
      </c>
    </row>
    <row r="810" spans="2:2" x14ac:dyDescent="0.25">
      <c r="B810" t="s">
        <v>1640</v>
      </c>
    </row>
    <row r="811" spans="2:2" x14ac:dyDescent="0.25">
      <c r="B811" t="s">
        <v>1640</v>
      </c>
    </row>
    <row r="812" spans="2:2" x14ac:dyDescent="0.25">
      <c r="B812" t="s">
        <v>1640</v>
      </c>
    </row>
    <row r="813" spans="2:2" x14ac:dyDescent="0.25">
      <c r="B813" t="s">
        <v>1640</v>
      </c>
    </row>
    <row r="814" spans="2:2" x14ac:dyDescent="0.25">
      <c r="B814" t="s">
        <v>1640</v>
      </c>
    </row>
    <row r="815" spans="2:2" x14ac:dyDescent="0.25">
      <c r="B815" t="s">
        <v>1640</v>
      </c>
    </row>
    <row r="816" spans="2:2" x14ac:dyDescent="0.25">
      <c r="B816" t="s">
        <v>1640</v>
      </c>
    </row>
    <row r="817" spans="2:2" x14ac:dyDescent="0.25">
      <c r="B817" t="s">
        <v>1640</v>
      </c>
    </row>
    <row r="818" spans="2:2" x14ac:dyDescent="0.25">
      <c r="B818" t="s">
        <v>1640</v>
      </c>
    </row>
    <row r="819" spans="2:2" x14ac:dyDescent="0.25">
      <c r="B819" t="s">
        <v>1640</v>
      </c>
    </row>
    <row r="820" spans="2:2" x14ac:dyDescent="0.25">
      <c r="B820" t="s">
        <v>1640</v>
      </c>
    </row>
    <row r="821" spans="2:2" x14ac:dyDescent="0.25">
      <c r="B821" t="s">
        <v>1640</v>
      </c>
    </row>
    <row r="822" spans="2:2" x14ac:dyDescent="0.25">
      <c r="B822" t="s">
        <v>1640</v>
      </c>
    </row>
    <row r="823" spans="2:2" x14ac:dyDescent="0.25">
      <c r="B823" t="s">
        <v>1640</v>
      </c>
    </row>
    <row r="824" spans="2:2" x14ac:dyDescent="0.25">
      <c r="B824" t="s">
        <v>1640</v>
      </c>
    </row>
    <row r="825" spans="2:2" x14ac:dyDescent="0.25">
      <c r="B825" t="s">
        <v>1640</v>
      </c>
    </row>
    <row r="826" spans="2:2" x14ac:dyDescent="0.25">
      <c r="B826" t="s">
        <v>1640</v>
      </c>
    </row>
    <row r="827" spans="2:2" x14ac:dyDescent="0.25">
      <c r="B827" t="s">
        <v>1640</v>
      </c>
    </row>
    <row r="828" spans="2:2" x14ac:dyDescent="0.25">
      <c r="B828" t="s">
        <v>1640</v>
      </c>
    </row>
    <row r="829" spans="2:2" x14ac:dyDescent="0.25">
      <c r="B829" t="s">
        <v>1640</v>
      </c>
    </row>
    <row r="830" spans="2:2" x14ac:dyDescent="0.25">
      <c r="B830" t="s">
        <v>1640</v>
      </c>
    </row>
    <row r="831" spans="2:2" x14ac:dyDescent="0.25">
      <c r="B831" t="s">
        <v>1640</v>
      </c>
    </row>
    <row r="832" spans="2:2" x14ac:dyDescent="0.25">
      <c r="B832" t="s">
        <v>1640</v>
      </c>
    </row>
    <row r="833" spans="2:2" x14ac:dyDescent="0.25">
      <c r="B833" t="s">
        <v>1640</v>
      </c>
    </row>
    <row r="834" spans="2:2" x14ac:dyDescent="0.25">
      <c r="B834" t="s">
        <v>1640</v>
      </c>
    </row>
    <row r="835" spans="2:2" x14ac:dyDescent="0.25">
      <c r="B835" t="s">
        <v>1640</v>
      </c>
    </row>
    <row r="836" spans="2:2" x14ac:dyDescent="0.25">
      <c r="B836" t="s">
        <v>1640</v>
      </c>
    </row>
    <row r="837" spans="2:2" x14ac:dyDescent="0.25">
      <c r="B837" t="s">
        <v>1640</v>
      </c>
    </row>
    <row r="838" spans="2:2" x14ac:dyDescent="0.25">
      <c r="B838" t="s">
        <v>1640</v>
      </c>
    </row>
    <row r="839" spans="2:2" x14ac:dyDescent="0.25">
      <c r="B839" t="s">
        <v>1640</v>
      </c>
    </row>
    <row r="840" spans="2:2" x14ac:dyDescent="0.25">
      <c r="B840" t="s">
        <v>1640</v>
      </c>
    </row>
    <row r="841" spans="2:2" x14ac:dyDescent="0.25">
      <c r="B841" t="s">
        <v>1640</v>
      </c>
    </row>
    <row r="842" spans="2:2" x14ac:dyDescent="0.25">
      <c r="B842" t="s">
        <v>1640</v>
      </c>
    </row>
    <row r="843" spans="2:2" x14ac:dyDescent="0.25">
      <c r="B843" t="s">
        <v>1640</v>
      </c>
    </row>
    <row r="844" spans="2:2" x14ac:dyDescent="0.25">
      <c r="B844" t="s">
        <v>1640</v>
      </c>
    </row>
    <row r="845" spans="2:2" x14ac:dyDescent="0.25">
      <c r="B845" t="s">
        <v>1640</v>
      </c>
    </row>
    <row r="846" spans="2:2" x14ac:dyDescent="0.25">
      <c r="B846" t="s">
        <v>1640</v>
      </c>
    </row>
    <row r="847" spans="2:2" x14ac:dyDescent="0.25">
      <c r="B847" t="s">
        <v>1640</v>
      </c>
    </row>
    <row r="848" spans="2:2" x14ac:dyDescent="0.25">
      <c r="B848" t="s">
        <v>1640</v>
      </c>
    </row>
    <row r="849" spans="2:2" x14ac:dyDescent="0.25">
      <c r="B849" t="s">
        <v>1640</v>
      </c>
    </row>
    <row r="850" spans="2:2" x14ac:dyDescent="0.25">
      <c r="B850" t="s">
        <v>1640</v>
      </c>
    </row>
    <row r="851" spans="2:2" x14ac:dyDescent="0.25">
      <c r="B851" t="s">
        <v>1640</v>
      </c>
    </row>
    <row r="852" spans="2:2" x14ac:dyDescent="0.25">
      <c r="B852" t="s">
        <v>1640</v>
      </c>
    </row>
    <row r="853" spans="2:2" x14ac:dyDescent="0.25">
      <c r="B853" t="s">
        <v>1640</v>
      </c>
    </row>
    <row r="854" spans="2:2" x14ac:dyDescent="0.25">
      <c r="B854" t="s">
        <v>1640</v>
      </c>
    </row>
    <row r="855" spans="2:2" x14ac:dyDescent="0.25">
      <c r="B855" t="s">
        <v>1640</v>
      </c>
    </row>
    <row r="856" spans="2:2" x14ac:dyDescent="0.25">
      <c r="B856" t="s">
        <v>1640</v>
      </c>
    </row>
    <row r="857" spans="2:2" x14ac:dyDescent="0.25">
      <c r="B857" t="s">
        <v>1640</v>
      </c>
    </row>
    <row r="858" spans="2:2" x14ac:dyDescent="0.25">
      <c r="B858" t="s">
        <v>1640</v>
      </c>
    </row>
    <row r="859" spans="2:2" x14ac:dyDescent="0.25">
      <c r="B859" t="s">
        <v>1640</v>
      </c>
    </row>
    <row r="860" spans="2:2" x14ac:dyDescent="0.25">
      <c r="B860" t="s">
        <v>1640</v>
      </c>
    </row>
    <row r="861" spans="2:2" x14ac:dyDescent="0.25">
      <c r="B861" t="s">
        <v>1640</v>
      </c>
    </row>
    <row r="862" spans="2:2" x14ac:dyDescent="0.25">
      <c r="B862" t="s">
        <v>1640</v>
      </c>
    </row>
    <row r="863" spans="2:2" x14ac:dyDescent="0.25">
      <c r="B863" t="s">
        <v>1640</v>
      </c>
    </row>
    <row r="864" spans="2:2" x14ac:dyDescent="0.25">
      <c r="B864" t="s">
        <v>1640</v>
      </c>
    </row>
    <row r="865" spans="2:2" x14ac:dyDescent="0.25">
      <c r="B865" t="s">
        <v>1640</v>
      </c>
    </row>
    <row r="866" spans="2:2" x14ac:dyDescent="0.25">
      <c r="B866" t="s">
        <v>1640</v>
      </c>
    </row>
    <row r="867" spans="2:2" x14ac:dyDescent="0.25">
      <c r="B867" t="s">
        <v>1640</v>
      </c>
    </row>
    <row r="868" spans="2:2" x14ac:dyDescent="0.25">
      <c r="B868" t="s">
        <v>1640</v>
      </c>
    </row>
    <row r="869" spans="2:2" x14ac:dyDescent="0.25">
      <c r="B869" t="s">
        <v>1640</v>
      </c>
    </row>
    <row r="870" spans="2:2" x14ac:dyDescent="0.25">
      <c r="B870" t="s">
        <v>1640</v>
      </c>
    </row>
    <row r="871" spans="2:2" x14ac:dyDescent="0.25">
      <c r="B871" t="s">
        <v>1640</v>
      </c>
    </row>
    <row r="872" spans="2:2" x14ac:dyDescent="0.25">
      <c r="B872" t="s">
        <v>1640</v>
      </c>
    </row>
    <row r="873" spans="2:2" x14ac:dyDescent="0.25">
      <c r="B873" t="s">
        <v>1640</v>
      </c>
    </row>
    <row r="874" spans="2:2" x14ac:dyDescent="0.25">
      <c r="B874" t="s">
        <v>1640</v>
      </c>
    </row>
    <row r="875" spans="2:2" x14ac:dyDescent="0.25">
      <c r="B875" t="s">
        <v>1640</v>
      </c>
    </row>
    <row r="876" spans="2:2" x14ac:dyDescent="0.25">
      <c r="B876" t="s">
        <v>1640</v>
      </c>
    </row>
    <row r="877" spans="2:2" x14ac:dyDescent="0.25">
      <c r="B877" t="s">
        <v>1640</v>
      </c>
    </row>
    <row r="878" spans="2:2" x14ac:dyDescent="0.25">
      <c r="B878" t="s">
        <v>1640</v>
      </c>
    </row>
    <row r="879" spans="2:2" x14ac:dyDescent="0.25">
      <c r="B879" t="s">
        <v>1640</v>
      </c>
    </row>
    <row r="880" spans="2:2" x14ac:dyDescent="0.25">
      <c r="B880" t="s">
        <v>1640</v>
      </c>
    </row>
    <row r="881" spans="2:2" x14ac:dyDescent="0.25">
      <c r="B881" t="s">
        <v>1640</v>
      </c>
    </row>
    <row r="882" spans="2:2" x14ac:dyDescent="0.25">
      <c r="B882" t="s">
        <v>1640</v>
      </c>
    </row>
    <row r="883" spans="2:2" x14ac:dyDescent="0.25">
      <c r="B883" t="s">
        <v>1640</v>
      </c>
    </row>
    <row r="884" spans="2:2" x14ac:dyDescent="0.25">
      <c r="B884" t="s">
        <v>1640</v>
      </c>
    </row>
    <row r="885" spans="2:2" x14ac:dyDescent="0.25">
      <c r="B885" t="s">
        <v>1640</v>
      </c>
    </row>
    <row r="886" spans="2:2" x14ac:dyDescent="0.25">
      <c r="B886" t="s">
        <v>1640</v>
      </c>
    </row>
    <row r="887" spans="2:2" x14ac:dyDescent="0.25">
      <c r="B887" t="s">
        <v>1640</v>
      </c>
    </row>
    <row r="888" spans="2:2" x14ac:dyDescent="0.25">
      <c r="B888" t="s">
        <v>1640</v>
      </c>
    </row>
    <row r="889" spans="2:2" x14ac:dyDescent="0.25">
      <c r="B889" t="s">
        <v>1640</v>
      </c>
    </row>
    <row r="890" spans="2:2" x14ac:dyDescent="0.25">
      <c r="B890" t="s">
        <v>1640</v>
      </c>
    </row>
    <row r="891" spans="2:2" x14ac:dyDescent="0.25">
      <c r="B891" t="s">
        <v>1640</v>
      </c>
    </row>
    <row r="892" spans="2:2" x14ac:dyDescent="0.25">
      <c r="B892" t="s">
        <v>1640</v>
      </c>
    </row>
    <row r="893" spans="2:2" x14ac:dyDescent="0.25">
      <c r="B893" t="s">
        <v>1640</v>
      </c>
    </row>
    <row r="894" spans="2:2" x14ac:dyDescent="0.25">
      <c r="B894" t="s">
        <v>1640</v>
      </c>
    </row>
    <row r="895" spans="2:2" x14ac:dyDescent="0.25">
      <c r="B895" t="s">
        <v>1640</v>
      </c>
    </row>
    <row r="896" spans="2:2" x14ac:dyDescent="0.25">
      <c r="B896" t="s">
        <v>1640</v>
      </c>
    </row>
    <row r="897" spans="2:2" x14ac:dyDescent="0.25">
      <c r="B897" t="s">
        <v>1640</v>
      </c>
    </row>
    <row r="898" spans="2:2" x14ac:dyDescent="0.25">
      <c r="B898" t="s">
        <v>1640</v>
      </c>
    </row>
    <row r="899" spans="2:2" x14ac:dyDescent="0.25">
      <c r="B899" t="s">
        <v>1640</v>
      </c>
    </row>
    <row r="900" spans="2:2" x14ac:dyDescent="0.25">
      <c r="B900" t="s">
        <v>1640</v>
      </c>
    </row>
    <row r="901" spans="2:2" x14ac:dyDescent="0.25">
      <c r="B901" t="s">
        <v>1640</v>
      </c>
    </row>
    <row r="902" spans="2:2" x14ac:dyDescent="0.25">
      <c r="B902" t="s">
        <v>1640</v>
      </c>
    </row>
    <row r="903" spans="2:2" x14ac:dyDescent="0.25">
      <c r="B903" t="s">
        <v>1640</v>
      </c>
    </row>
    <row r="904" spans="2:2" x14ac:dyDescent="0.25">
      <c r="B904" t="s">
        <v>1640</v>
      </c>
    </row>
    <row r="905" spans="2:2" x14ac:dyDescent="0.25">
      <c r="B905" t="s">
        <v>1640</v>
      </c>
    </row>
    <row r="906" spans="2:2" x14ac:dyDescent="0.25">
      <c r="B906" t="s">
        <v>1640</v>
      </c>
    </row>
    <row r="907" spans="2:2" x14ac:dyDescent="0.25">
      <c r="B907" t="s">
        <v>1640</v>
      </c>
    </row>
    <row r="908" spans="2:2" x14ac:dyDescent="0.25">
      <c r="B908" t="s">
        <v>1640</v>
      </c>
    </row>
    <row r="909" spans="2:2" x14ac:dyDescent="0.25">
      <c r="B909" t="s">
        <v>1640</v>
      </c>
    </row>
    <row r="910" spans="2:2" x14ac:dyDescent="0.25">
      <c r="B910" t="s">
        <v>1640</v>
      </c>
    </row>
    <row r="911" spans="2:2" x14ac:dyDescent="0.25">
      <c r="B911" t="s">
        <v>1640</v>
      </c>
    </row>
    <row r="912" spans="2:2" x14ac:dyDescent="0.25">
      <c r="B912" t="s">
        <v>1640</v>
      </c>
    </row>
    <row r="913" spans="2:2" x14ac:dyDescent="0.25">
      <c r="B913" t="s">
        <v>1640</v>
      </c>
    </row>
    <row r="914" spans="2:2" x14ac:dyDescent="0.25">
      <c r="B914" t="s">
        <v>1640</v>
      </c>
    </row>
    <row r="915" spans="2:2" x14ac:dyDescent="0.25">
      <c r="B915" t="s">
        <v>1640</v>
      </c>
    </row>
    <row r="916" spans="2:2" x14ac:dyDescent="0.25">
      <c r="B916" t="s">
        <v>1640</v>
      </c>
    </row>
    <row r="917" spans="2:2" x14ac:dyDescent="0.25">
      <c r="B917" t="s">
        <v>1640</v>
      </c>
    </row>
    <row r="918" spans="2:2" x14ac:dyDescent="0.25">
      <c r="B918" t="s">
        <v>1640</v>
      </c>
    </row>
    <row r="919" spans="2:2" x14ac:dyDescent="0.25">
      <c r="B919" t="s">
        <v>1640</v>
      </c>
    </row>
    <row r="920" spans="2:2" x14ac:dyDescent="0.25">
      <c r="B920" t="s">
        <v>1640</v>
      </c>
    </row>
    <row r="921" spans="2:2" x14ac:dyDescent="0.25">
      <c r="B921" t="s">
        <v>1640</v>
      </c>
    </row>
    <row r="922" spans="2:2" x14ac:dyDescent="0.25">
      <c r="B922" t="s">
        <v>1640</v>
      </c>
    </row>
    <row r="923" spans="2:2" x14ac:dyDescent="0.25">
      <c r="B923" t="s">
        <v>1640</v>
      </c>
    </row>
    <row r="924" spans="2:2" x14ac:dyDescent="0.25">
      <c r="B924" t="s">
        <v>1640</v>
      </c>
    </row>
    <row r="925" spans="2:2" x14ac:dyDescent="0.25">
      <c r="B925" t="s">
        <v>1640</v>
      </c>
    </row>
    <row r="926" spans="2:2" x14ac:dyDescent="0.25">
      <c r="B926" t="s">
        <v>1640</v>
      </c>
    </row>
    <row r="927" spans="2:2" x14ac:dyDescent="0.25">
      <c r="B927" t="s">
        <v>1640</v>
      </c>
    </row>
    <row r="928" spans="2:2" x14ac:dyDescent="0.25">
      <c r="B928" t="s">
        <v>1640</v>
      </c>
    </row>
    <row r="929" spans="2:2" x14ac:dyDescent="0.25">
      <c r="B929" t="s">
        <v>1640</v>
      </c>
    </row>
    <row r="930" spans="2:2" x14ac:dyDescent="0.25">
      <c r="B930" t="s">
        <v>1640</v>
      </c>
    </row>
    <row r="931" spans="2:2" x14ac:dyDescent="0.25">
      <c r="B931" t="s">
        <v>1640</v>
      </c>
    </row>
    <row r="932" spans="2:2" x14ac:dyDescent="0.25">
      <c r="B932" t="s">
        <v>1640</v>
      </c>
    </row>
    <row r="933" spans="2:2" x14ac:dyDescent="0.25">
      <c r="B933" t="s">
        <v>1640</v>
      </c>
    </row>
    <row r="934" spans="2:2" x14ac:dyDescent="0.25">
      <c r="B934" t="s">
        <v>1640</v>
      </c>
    </row>
    <row r="935" spans="2:2" x14ac:dyDescent="0.25">
      <c r="B935" t="s">
        <v>1640</v>
      </c>
    </row>
    <row r="936" spans="2:2" x14ac:dyDescent="0.25">
      <c r="B936" t="s">
        <v>1640</v>
      </c>
    </row>
    <row r="937" spans="2:2" x14ac:dyDescent="0.25">
      <c r="B937" t="s">
        <v>1640</v>
      </c>
    </row>
    <row r="938" spans="2:2" x14ac:dyDescent="0.25">
      <c r="B938" t="s">
        <v>1640</v>
      </c>
    </row>
    <row r="939" spans="2:2" x14ac:dyDescent="0.25">
      <c r="B939" t="s">
        <v>1640</v>
      </c>
    </row>
    <row r="940" spans="2:2" x14ac:dyDescent="0.25">
      <c r="B940" t="s">
        <v>1640</v>
      </c>
    </row>
    <row r="941" spans="2:2" x14ac:dyDescent="0.25">
      <c r="B941" t="s">
        <v>1640</v>
      </c>
    </row>
    <row r="942" spans="2:2" x14ac:dyDescent="0.25">
      <c r="B942" t="s">
        <v>1640</v>
      </c>
    </row>
    <row r="943" spans="2:2" x14ac:dyDescent="0.25">
      <c r="B943" t="s">
        <v>1640</v>
      </c>
    </row>
    <row r="944" spans="2:2" x14ac:dyDescent="0.25">
      <c r="B944" t="s">
        <v>1640</v>
      </c>
    </row>
    <row r="945" spans="2:2" x14ac:dyDescent="0.25">
      <c r="B945" t="s">
        <v>1640</v>
      </c>
    </row>
    <row r="946" spans="2:2" x14ac:dyDescent="0.25">
      <c r="B946" t="s">
        <v>1640</v>
      </c>
    </row>
    <row r="947" spans="2:2" x14ac:dyDescent="0.25">
      <c r="B947" t="s">
        <v>1640</v>
      </c>
    </row>
    <row r="948" spans="2:2" x14ac:dyDescent="0.25">
      <c r="B948" t="s">
        <v>1640</v>
      </c>
    </row>
    <row r="949" spans="2:2" x14ac:dyDescent="0.25">
      <c r="B949" t="s">
        <v>1640</v>
      </c>
    </row>
    <row r="950" spans="2:2" x14ac:dyDescent="0.25">
      <c r="B950" t="s">
        <v>1640</v>
      </c>
    </row>
    <row r="951" spans="2:2" x14ac:dyDescent="0.25">
      <c r="B951" t="s">
        <v>1640</v>
      </c>
    </row>
    <row r="952" spans="2:2" x14ac:dyDescent="0.25">
      <c r="B952" t="s">
        <v>1640</v>
      </c>
    </row>
    <row r="953" spans="2:2" x14ac:dyDescent="0.25">
      <c r="B953" t="s">
        <v>1640</v>
      </c>
    </row>
    <row r="954" spans="2:2" x14ac:dyDescent="0.25">
      <c r="B954" t="s">
        <v>1640</v>
      </c>
    </row>
    <row r="955" spans="2:2" x14ac:dyDescent="0.25">
      <c r="B955" t="s">
        <v>1640</v>
      </c>
    </row>
    <row r="956" spans="2:2" x14ac:dyDescent="0.25">
      <c r="B956" t="s">
        <v>1640</v>
      </c>
    </row>
    <row r="957" spans="2:2" x14ac:dyDescent="0.25">
      <c r="B957" t="s">
        <v>1640</v>
      </c>
    </row>
    <row r="958" spans="2:2" x14ac:dyDescent="0.25">
      <c r="B958" t="s">
        <v>1640</v>
      </c>
    </row>
    <row r="959" spans="2:2" x14ac:dyDescent="0.25">
      <c r="B959" t="s">
        <v>1640</v>
      </c>
    </row>
    <row r="960" spans="2:2" x14ac:dyDescent="0.25">
      <c r="B960" t="s">
        <v>1640</v>
      </c>
    </row>
    <row r="961" spans="2:2" x14ac:dyDescent="0.25">
      <c r="B961" t="s">
        <v>1640</v>
      </c>
    </row>
    <row r="962" spans="2:2" x14ac:dyDescent="0.25">
      <c r="B962" t="s">
        <v>1640</v>
      </c>
    </row>
    <row r="963" spans="2:2" x14ac:dyDescent="0.25">
      <c r="B963" t="s">
        <v>1640</v>
      </c>
    </row>
    <row r="964" spans="2:2" x14ac:dyDescent="0.25">
      <c r="B964" t="s">
        <v>1640</v>
      </c>
    </row>
    <row r="965" spans="2:2" x14ac:dyDescent="0.25">
      <c r="B965" t="s">
        <v>1640</v>
      </c>
    </row>
    <row r="966" spans="2:2" x14ac:dyDescent="0.25">
      <c r="B966" t="s">
        <v>1640</v>
      </c>
    </row>
    <row r="967" spans="2:2" x14ac:dyDescent="0.25">
      <c r="B967" t="s">
        <v>1640</v>
      </c>
    </row>
    <row r="968" spans="2:2" x14ac:dyDescent="0.25">
      <c r="B968" t="s">
        <v>1640</v>
      </c>
    </row>
    <row r="969" spans="2:2" x14ac:dyDescent="0.25">
      <c r="B969" t="s">
        <v>1640</v>
      </c>
    </row>
    <row r="970" spans="2:2" x14ac:dyDescent="0.25">
      <c r="B970" t="s">
        <v>1640</v>
      </c>
    </row>
    <row r="971" spans="2:2" x14ac:dyDescent="0.25">
      <c r="B971" t="s">
        <v>1640</v>
      </c>
    </row>
    <row r="972" spans="2:2" x14ac:dyDescent="0.25">
      <c r="B972" t="s">
        <v>1640</v>
      </c>
    </row>
    <row r="973" spans="2:2" x14ac:dyDescent="0.25">
      <c r="B973" t="s">
        <v>1640</v>
      </c>
    </row>
    <row r="974" spans="2:2" x14ac:dyDescent="0.25">
      <c r="B974" t="s">
        <v>1640</v>
      </c>
    </row>
    <row r="975" spans="2:2" x14ac:dyDescent="0.25">
      <c r="B975" t="s">
        <v>1640</v>
      </c>
    </row>
    <row r="976" spans="2:2" x14ac:dyDescent="0.25">
      <c r="B976" t="s">
        <v>1640</v>
      </c>
    </row>
    <row r="977" spans="2:2" x14ac:dyDescent="0.25">
      <c r="B977" t="s">
        <v>1640</v>
      </c>
    </row>
    <row r="978" spans="2:2" x14ac:dyDescent="0.25">
      <c r="B978" t="s">
        <v>1640</v>
      </c>
    </row>
    <row r="979" spans="2:2" x14ac:dyDescent="0.25">
      <c r="B979" t="s">
        <v>1640</v>
      </c>
    </row>
    <row r="980" spans="2:2" x14ac:dyDescent="0.25">
      <c r="B980" t="s">
        <v>1640</v>
      </c>
    </row>
    <row r="981" spans="2:2" x14ac:dyDescent="0.25">
      <c r="B981" t="s">
        <v>1640</v>
      </c>
    </row>
    <row r="982" spans="2:2" x14ac:dyDescent="0.25">
      <c r="B982" t="s">
        <v>1640</v>
      </c>
    </row>
    <row r="983" spans="2:2" x14ac:dyDescent="0.25">
      <c r="B983" t="s">
        <v>1640</v>
      </c>
    </row>
    <row r="984" spans="2:2" x14ac:dyDescent="0.25">
      <c r="B984" t="s">
        <v>1640</v>
      </c>
    </row>
    <row r="985" spans="2:2" x14ac:dyDescent="0.25">
      <c r="B985" t="s">
        <v>1640</v>
      </c>
    </row>
    <row r="986" spans="2:2" x14ac:dyDescent="0.25">
      <c r="B986" t="s">
        <v>1640</v>
      </c>
    </row>
    <row r="987" spans="2:2" x14ac:dyDescent="0.25">
      <c r="B987" t="s">
        <v>1640</v>
      </c>
    </row>
    <row r="988" spans="2:2" x14ac:dyDescent="0.25">
      <c r="B988" t="s">
        <v>1640</v>
      </c>
    </row>
    <row r="989" spans="2:2" x14ac:dyDescent="0.25">
      <c r="B989" t="s">
        <v>1640</v>
      </c>
    </row>
    <row r="990" spans="2:2" x14ac:dyDescent="0.25">
      <c r="B990" t="s">
        <v>1640</v>
      </c>
    </row>
    <row r="991" spans="2:2" x14ac:dyDescent="0.25">
      <c r="B991" t="s">
        <v>1640</v>
      </c>
    </row>
    <row r="992" spans="2:2" x14ac:dyDescent="0.25">
      <c r="B992" t="s">
        <v>1640</v>
      </c>
    </row>
    <row r="993" spans="2:2" x14ac:dyDescent="0.25">
      <c r="B993" t="s">
        <v>1640</v>
      </c>
    </row>
    <row r="994" spans="2:2" x14ac:dyDescent="0.25">
      <c r="B994" t="s">
        <v>1640</v>
      </c>
    </row>
    <row r="995" spans="2:2" x14ac:dyDescent="0.25">
      <c r="B995" t="s">
        <v>1640</v>
      </c>
    </row>
    <row r="996" spans="2:2" x14ac:dyDescent="0.25">
      <c r="B996" t="s">
        <v>1640</v>
      </c>
    </row>
    <row r="997" spans="2:2" x14ac:dyDescent="0.25">
      <c r="B997" t="s">
        <v>1640</v>
      </c>
    </row>
    <row r="998" spans="2:2" x14ac:dyDescent="0.25">
      <c r="B998" t="s">
        <v>1640</v>
      </c>
    </row>
    <row r="999" spans="2:2" x14ac:dyDescent="0.25">
      <c r="B999" t="s">
        <v>1640</v>
      </c>
    </row>
    <row r="1000" spans="2:2" x14ac:dyDescent="0.25">
      <c r="B1000" t="s">
        <v>1640</v>
      </c>
    </row>
    <row r="1001" spans="2:2" x14ac:dyDescent="0.25">
      <c r="B1001" t="s">
        <v>1640</v>
      </c>
    </row>
    <row r="1002" spans="2:2" x14ac:dyDescent="0.25">
      <c r="B1002" t="s">
        <v>1640</v>
      </c>
    </row>
    <row r="1003" spans="2:2" x14ac:dyDescent="0.25">
      <c r="B1003" t="s">
        <v>1640</v>
      </c>
    </row>
    <row r="1004" spans="2:2" x14ac:dyDescent="0.25">
      <c r="B1004" t="s">
        <v>1640</v>
      </c>
    </row>
    <row r="1005" spans="2:2" x14ac:dyDescent="0.25">
      <c r="B1005" t="s">
        <v>1640</v>
      </c>
    </row>
    <row r="1006" spans="2:2" x14ac:dyDescent="0.25">
      <c r="B1006" t="s">
        <v>1640</v>
      </c>
    </row>
    <row r="1007" spans="2:2" x14ac:dyDescent="0.25">
      <c r="B1007" t="s">
        <v>1640</v>
      </c>
    </row>
    <row r="1008" spans="2:2" x14ac:dyDescent="0.25">
      <c r="B1008" t="s">
        <v>1640</v>
      </c>
    </row>
    <row r="1009" spans="2:2" x14ac:dyDescent="0.25">
      <c r="B1009" t="s">
        <v>1640</v>
      </c>
    </row>
    <row r="1010" spans="2:2" x14ac:dyDescent="0.25">
      <c r="B1010" t="s">
        <v>1640</v>
      </c>
    </row>
    <row r="1011" spans="2:2" x14ac:dyDescent="0.25">
      <c r="B1011" t="s">
        <v>1640</v>
      </c>
    </row>
    <row r="1012" spans="2:2" x14ac:dyDescent="0.25">
      <c r="B1012" t="s">
        <v>1640</v>
      </c>
    </row>
    <row r="1013" spans="2:2" x14ac:dyDescent="0.25">
      <c r="B1013" t="s">
        <v>1640</v>
      </c>
    </row>
    <row r="1014" spans="2:2" x14ac:dyDescent="0.25">
      <c r="B1014" t="s">
        <v>1640</v>
      </c>
    </row>
    <row r="1015" spans="2:2" x14ac:dyDescent="0.25">
      <c r="B1015" t="s">
        <v>1640</v>
      </c>
    </row>
    <row r="1016" spans="2:2" x14ac:dyDescent="0.25">
      <c r="B1016" t="s">
        <v>1640</v>
      </c>
    </row>
    <row r="1017" spans="2:2" x14ac:dyDescent="0.25">
      <c r="B1017" t="s">
        <v>1640</v>
      </c>
    </row>
    <row r="1018" spans="2:2" x14ac:dyDescent="0.25">
      <c r="B1018" t="s">
        <v>1640</v>
      </c>
    </row>
    <row r="1019" spans="2:2" x14ac:dyDescent="0.25">
      <c r="B1019" t="s">
        <v>1640</v>
      </c>
    </row>
    <row r="1020" spans="2:2" x14ac:dyDescent="0.25">
      <c r="B1020" t="s">
        <v>1640</v>
      </c>
    </row>
    <row r="1021" spans="2:2" x14ac:dyDescent="0.25">
      <c r="B1021" t="s">
        <v>1640</v>
      </c>
    </row>
    <row r="1022" spans="2:2" x14ac:dyDescent="0.25">
      <c r="B1022" t="s">
        <v>1640</v>
      </c>
    </row>
    <row r="1023" spans="2:2" x14ac:dyDescent="0.25">
      <c r="B1023" t="s">
        <v>1640</v>
      </c>
    </row>
    <row r="1024" spans="2:2" x14ac:dyDescent="0.25">
      <c r="B1024" t="s">
        <v>1640</v>
      </c>
    </row>
    <row r="1025" spans="2:2" x14ac:dyDescent="0.25">
      <c r="B1025" t="s">
        <v>1640</v>
      </c>
    </row>
    <row r="1026" spans="2:2" x14ac:dyDescent="0.25">
      <c r="B1026" t="s">
        <v>1640</v>
      </c>
    </row>
    <row r="1027" spans="2:2" x14ac:dyDescent="0.25">
      <c r="B1027" t="s">
        <v>1640</v>
      </c>
    </row>
    <row r="1028" spans="2:2" x14ac:dyDescent="0.25">
      <c r="B1028" t="s">
        <v>1640</v>
      </c>
    </row>
    <row r="1029" spans="2:2" x14ac:dyDescent="0.25">
      <c r="B1029" t="s">
        <v>1640</v>
      </c>
    </row>
    <row r="1030" spans="2:2" x14ac:dyDescent="0.25">
      <c r="B1030" t="s">
        <v>1640</v>
      </c>
    </row>
    <row r="1031" spans="2:2" x14ac:dyDescent="0.25">
      <c r="B1031" t="s">
        <v>1640</v>
      </c>
    </row>
    <row r="1032" spans="2:2" x14ac:dyDescent="0.25">
      <c r="B1032" t="s">
        <v>1640</v>
      </c>
    </row>
    <row r="1033" spans="2:2" x14ac:dyDescent="0.25">
      <c r="B1033" t="s">
        <v>1640</v>
      </c>
    </row>
    <row r="1034" spans="2:2" x14ac:dyDescent="0.25">
      <c r="B1034" t="s">
        <v>1640</v>
      </c>
    </row>
    <row r="1035" spans="2:2" x14ac:dyDescent="0.25">
      <c r="B1035" t="s">
        <v>1640</v>
      </c>
    </row>
    <row r="1036" spans="2:2" x14ac:dyDescent="0.25">
      <c r="B1036" t="s">
        <v>1640</v>
      </c>
    </row>
    <row r="1037" spans="2:2" x14ac:dyDescent="0.25">
      <c r="B1037" t="s">
        <v>1640</v>
      </c>
    </row>
    <row r="1038" spans="2:2" x14ac:dyDescent="0.25">
      <c r="B1038" t="s">
        <v>1640</v>
      </c>
    </row>
    <row r="1039" spans="2:2" x14ac:dyDescent="0.25">
      <c r="B1039" t="s">
        <v>1640</v>
      </c>
    </row>
    <row r="1040" spans="2:2" x14ac:dyDescent="0.25">
      <c r="B1040" t="s">
        <v>1640</v>
      </c>
    </row>
    <row r="1041" spans="2:2" x14ac:dyDescent="0.25">
      <c r="B1041" t="s">
        <v>1640</v>
      </c>
    </row>
    <row r="1042" spans="2:2" x14ac:dyDescent="0.25">
      <c r="B1042" t="s">
        <v>1640</v>
      </c>
    </row>
    <row r="1043" spans="2:2" x14ac:dyDescent="0.25">
      <c r="B1043" t="s">
        <v>1640</v>
      </c>
    </row>
    <row r="1044" spans="2:2" x14ac:dyDescent="0.25">
      <c r="B1044" t="s">
        <v>1640</v>
      </c>
    </row>
    <row r="1045" spans="2:2" x14ac:dyDescent="0.25">
      <c r="B1045" t="s">
        <v>1640</v>
      </c>
    </row>
    <row r="1046" spans="2:2" x14ac:dyDescent="0.25">
      <c r="B1046" t="s">
        <v>1640</v>
      </c>
    </row>
    <row r="1047" spans="2:2" x14ac:dyDescent="0.25">
      <c r="B1047" t="s">
        <v>1640</v>
      </c>
    </row>
    <row r="1048" spans="2:2" x14ac:dyDescent="0.25">
      <c r="B1048" t="s">
        <v>1640</v>
      </c>
    </row>
    <row r="1049" spans="2:2" x14ac:dyDescent="0.25">
      <c r="B1049" t="s">
        <v>1640</v>
      </c>
    </row>
    <row r="1050" spans="2:2" x14ac:dyDescent="0.25">
      <c r="B1050" t="s">
        <v>1640</v>
      </c>
    </row>
    <row r="1051" spans="2:2" x14ac:dyDescent="0.25">
      <c r="B1051" t="s">
        <v>1640</v>
      </c>
    </row>
    <row r="1052" spans="2:2" x14ac:dyDescent="0.25">
      <c r="B1052" t="s">
        <v>1640</v>
      </c>
    </row>
    <row r="1053" spans="2:2" x14ac:dyDescent="0.25">
      <c r="B1053" t="s">
        <v>1640</v>
      </c>
    </row>
    <row r="1054" spans="2:2" x14ac:dyDescent="0.25">
      <c r="B1054" t="s">
        <v>1640</v>
      </c>
    </row>
    <row r="1055" spans="2:2" x14ac:dyDescent="0.25">
      <c r="B1055" t="s">
        <v>1640</v>
      </c>
    </row>
    <row r="1056" spans="2:2" x14ac:dyDescent="0.25">
      <c r="B1056" t="s">
        <v>1640</v>
      </c>
    </row>
    <row r="1057" spans="2:2" x14ac:dyDescent="0.25">
      <c r="B1057" t="s">
        <v>1640</v>
      </c>
    </row>
    <row r="1058" spans="2:2" x14ac:dyDescent="0.25">
      <c r="B1058" t="s">
        <v>1640</v>
      </c>
    </row>
    <row r="1059" spans="2:2" x14ac:dyDescent="0.25">
      <c r="B1059" t="s">
        <v>1640</v>
      </c>
    </row>
    <row r="1060" spans="2:2" x14ac:dyDescent="0.25">
      <c r="B1060" t="s">
        <v>1640</v>
      </c>
    </row>
    <row r="1061" spans="2:2" x14ac:dyDescent="0.25">
      <c r="B1061" t="s">
        <v>1640</v>
      </c>
    </row>
    <row r="1062" spans="2:2" x14ac:dyDescent="0.25">
      <c r="B1062" t="s">
        <v>1640</v>
      </c>
    </row>
    <row r="1063" spans="2:2" x14ac:dyDescent="0.25">
      <c r="B1063" t="s">
        <v>1640</v>
      </c>
    </row>
    <row r="1064" spans="2:2" x14ac:dyDescent="0.25">
      <c r="B1064" t="s">
        <v>1640</v>
      </c>
    </row>
    <row r="1065" spans="2:2" x14ac:dyDescent="0.25">
      <c r="B1065" t="s">
        <v>1640</v>
      </c>
    </row>
    <row r="1066" spans="2:2" x14ac:dyDescent="0.25">
      <c r="B1066" t="s">
        <v>1640</v>
      </c>
    </row>
    <row r="1067" spans="2:2" x14ac:dyDescent="0.25">
      <c r="B1067" t="s">
        <v>1640</v>
      </c>
    </row>
    <row r="1068" spans="2:2" x14ac:dyDescent="0.25">
      <c r="B1068" t="s">
        <v>1640</v>
      </c>
    </row>
    <row r="1069" spans="2:2" x14ac:dyDescent="0.25">
      <c r="B1069" t="s">
        <v>1640</v>
      </c>
    </row>
    <row r="1070" spans="2:2" x14ac:dyDescent="0.25">
      <c r="B1070" t="s">
        <v>1640</v>
      </c>
    </row>
    <row r="1071" spans="2:2" x14ac:dyDescent="0.25">
      <c r="B1071" t="s">
        <v>1640</v>
      </c>
    </row>
    <row r="1072" spans="2:2" x14ac:dyDescent="0.25">
      <c r="B1072" t="s">
        <v>1640</v>
      </c>
    </row>
    <row r="1073" spans="2:2" x14ac:dyDescent="0.25">
      <c r="B1073" t="s">
        <v>1640</v>
      </c>
    </row>
    <row r="1074" spans="2:2" x14ac:dyDescent="0.25">
      <c r="B1074" t="s">
        <v>1640</v>
      </c>
    </row>
    <row r="1075" spans="2:2" x14ac:dyDescent="0.25">
      <c r="B1075" t="s">
        <v>1640</v>
      </c>
    </row>
    <row r="1076" spans="2:2" x14ac:dyDescent="0.25">
      <c r="B1076" t="s">
        <v>1640</v>
      </c>
    </row>
    <row r="1077" spans="2:2" x14ac:dyDescent="0.25">
      <c r="B1077" t="s">
        <v>1640</v>
      </c>
    </row>
    <row r="1078" spans="2:2" x14ac:dyDescent="0.25">
      <c r="B1078" t="s">
        <v>1640</v>
      </c>
    </row>
    <row r="1079" spans="2:2" x14ac:dyDescent="0.25">
      <c r="B1079" t="s">
        <v>1640</v>
      </c>
    </row>
    <row r="1080" spans="2:2" x14ac:dyDescent="0.25">
      <c r="B1080" t="s">
        <v>1640</v>
      </c>
    </row>
    <row r="1081" spans="2:2" x14ac:dyDescent="0.25">
      <c r="B1081" t="s">
        <v>1640</v>
      </c>
    </row>
    <row r="1082" spans="2:2" x14ac:dyDescent="0.25">
      <c r="B1082" t="s">
        <v>1640</v>
      </c>
    </row>
    <row r="1083" spans="2:2" x14ac:dyDescent="0.25">
      <c r="B1083" t="s">
        <v>1640</v>
      </c>
    </row>
    <row r="1084" spans="2:2" x14ac:dyDescent="0.25">
      <c r="B1084" t="s">
        <v>1640</v>
      </c>
    </row>
    <row r="1085" spans="2:2" x14ac:dyDescent="0.25">
      <c r="B1085" t="s">
        <v>1640</v>
      </c>
    </row>
    <row r="1086" spans="2:2" x14ac:dyDescent="0.25">
      <c r="B1086" t="s">
        <v>1640</v>
      </c>
    </row>
    <row r="1087" spans="2:2" x14ac:dyDescent="0.25">
      <c r="B1087" t="s">
        <v>1640</v>
      </c>
    </row>
    <row r="1088" spans="2:2" x14ac:dyDescent="0.25">
      <c r="B1088" t="s">
        <v>1640</v>
      </c>
    </row>
    <row r="1089" spans="2:2" x14ac:dyDescent="0.25">
      <c r="B1089" t="s">
        <v>1640</v>
      </c>
    </row>
    <row r="1090" spans="2:2" x14ac:dyDescent="0.25">
      <c r="B1090" t="s">
        <v>1640</v>
      </c>
    </row>
    <row r="1091" spans="2:2" x14ac:dyDescent="0.25">
      <c r="B1091" t="s">
        <v>1640</v>
      </c>
    </row>
    <row r="1092" spans="2:2" x14ac:dyDescent="0.25">
      <c r="B1092" t="s">
        <v>1640</v>
      </c>
    </row>
    <row r="1093" spans="2:2" x14ac:dyDescent="0.25">
      <c r="B1093" t="s">
        <v>1640</v>
      </c>
    </row>
    <row r="1094" spans="2:2" x14ac:dyDescent="0.25">
      <c r="B1094" t="s">
        <v>1640</v>
      </c>
    </row>
    <row r="1095" spans="2:2" x14ac:dyDescent="0.25">
      <c r="B1095" t="s">
        <v>1640</v>
      </c>
    </row>
    <row r="1096" spans="2:2" x14ac:dyDescent="0.25">
      <c r="B1096" t="s">
        <v>1640</v>
      </c>
    </row>
    <row r="1097" spans="2:2" x14ac:dyDescent="0.25">
      <c r="B1097" t="s">
        <v>1640</v>
      </c>
    </row>
    <row r="1098" spans="2:2" x14ac:dyDescent="0.25">
      <c r="B1098" t="s">
        <v>1640</v>
      </c>
    </row>
    <row r="1099" spans="2:2" x14ac:dyDescent="0.25">
      <c r="B1099" t="s">
        <v>1640</v>
      </c>
    </row>
    <row r="1100" spans="2:2" x14ac:dyDescent="0.25">
      <c r="B1100" t="s">
        <v>1640</v>
      </c>
    </row>
    <row r="1101" spans="2:2" x14ac:dyDescent="0.25">
      <c r="B1101" t="s">
        <v>1640</v>
      </c>
    </row>
    <row r="1102" spans="2:2" x14ac:dyDescent="0.25">
      <c r="B1102" t="s">
        <v>1640</v>
      </c>
    </row>
    <row r="1103" spans="2:2" x14ac:dyDescent="0.25">
      <c r="B1103" t="s">
        <v>1640</v>
      </c>
    </row>
    <row r="1104" spans="2:2" x14ac:dyDescent="0.25">
      <c r="B1104" t="s">
        <v>1640</v>
      </c>
    </row>
    <row r="1105" spans="2:2" x14ac:dyDescent="0.25">
      <c r="B1105" t="s">
        <v>1640</v>
      </c>
    </row>
    <row r="1106" spans="2:2" x14ac:dyDescent="0.25">
      <c r="B1106" t="s">
        <v>1640</v>
      </c>
    </row>
    <row r="1107" spans="2:2" x14ac:dyDescent="0.25">
      <c r="B1107" t="s">
        <v>1640</v>
      </c>
    </row>
    <row r="1108" spans="2:2" x14ac:dyDescent="0.25">
      <c r="B1108" t="s">
        <v>1640</v>
      </c>
    </row>
    <row r="1109" spans="2:2" x14ac:dyDescent="0.25">
      <c r="B1109" t="s">
        <v>1640</v>
      </c>
    </row>
    <row r="1110" spans="2:2" x14ac:dyDescent="0.25">
      <c r="B1110" t="s">
        <v>1640</v>
      </c>
    </row>
    <row r="1111" spans="2:2" x14ac:dyDescent="0.25">
      <c r="B1111" t="s">
        <v>1640</v>
      </c>
    </row>
    <row r="1112" spans="2:2" x14ac:dyDescent="0.25">
      <c r="B1112" t="s">
        <v>1640</v>
      </c>
    </row>
    <row r="1113" spans="2:2" x14ac:dyDescent="0.25">
      <c r="B1113" t="s">
        <v>1640</v>
      </c>
    </row>
    <row r="1114" spans="2:2" x14ac:dyDescent="0.25">
      <c r="B1114" t="s">
        <v>1640</v>
      </c>
    </row>
    <row r="1115" spans="2:2" x14ac:dyDescent="0.25">
      <c r="B1115" t="s">
        <v>1640</v>
      </c>
    </row>
    <row r="1116" spans="2:2" x14ac:dyDescent="0.25">
      <c r="B1116" t="s">
        <v>1640</v>
      </c>
    </row>
    <row r="1117" spans="2:2" x14ac:dyDescent="0.25">
      <c r="B1117" t="s">
        <v>1640</v>
      </c>
    </row>
    <row r="1118" spans="2:2" x14ac:dyDescent="0.25">
      <c r="B1118" t="s">
        <v>1640</v>
      </c>
    </row>
    <row r="1119" spans="2:2" x14ac:dyDescent="0.25">
      <c r="B1119" t="s">
        <v>1640</v>
      </c>
    </row>
    <row r="1120" spans="2:2" x14ac:dyDescent="0.25">
      <c r="B1120" t="s">
        <v>1640</v>
      </c>
    </row>
    <row r="1121" spans="2:2" x14ac:dyDescent="0.25">
      <c r="B1121" t="s">
        <v>1640</v>
      </c>
    </row>
    <row r="1122" spans="2:2" x14ac:dyDescent="0.25">
      <c r="B1122" t="s">
        <v>1640</v>
      </c>
    </row>
    <row r="1123" spans="2:2" x14ac:dyDescent="0.25">
      <c r="B1123" t="s">
        <v>1640</v>
      </c>
    </row>
    <row r="1124" spans="2:2" x14ac:dyDescent="0.25">
      <c r="B1124" t="s">
        <v>1640</v>
      </c>
    </row>
    <row r="1125" spans="2:2" x14ac:dyDescent="0.25">
      <c r="B1125" t="s">
        <v>1640</v>
      </c>
    </row>
    <row r="1126" spans="2:2" x14ac:dyDescent="0.25">
      <c r="B1126" t="s">
        <v>1640</v>
      </c>
    </row>
    <row r="1127" spans="2:2" x14ac:dyDescent="0.25">
      <c r="B1127" t="s">
        <v>1640</v>
      </c>
    </row>
    <row r="1128" spans="2:2" x14ac:dyDescent="0.25">
      <c r="B1128" t="s">
        <v>1640</v>
      </c>
    </row>
    <row r="1129" spans="2:2" x14ac:dyDescent="0.25">
      <c r="B1129" t="s">
        <v>1640</v>
      </c>
    </row>
    <row r="1130" spans="2:2" x14ac:dyDescent="0.25">
      <c r="B1130" t="s">
        <v>1640</v>
      </c>
    </row>
    <row r="1131" spans="2:2" x14ac:dyDescent="0.25">
      <c r="B1131" t="s">
        <v>1640</v>
      </c>
    </row>
    <row r="1132" spans="2:2" x14ac:dyDescent="0.25">
      <c r="B1132" t="s">
        <v>1640</v>
      </c>
    </row>
    <row r="1133" spans="2:2" x14ac:dyDescent="0.25">
      <c r="B1133" t="s">
        <v>1640</v>
      </c>
    </row>
    <row r="1134" spans="2:2" x14ac:dyDescent="0.25">
      <c r="B1134" t="s">
        <v>1640</v>
      </c>
    </row>
    <row r="1135" spans="2:2" x14ac:dyDescent="0.25">
      <c r="B1135" t="s">
        <v>1640</v>
      </c>
    </row>
    <row r="1136" spans="2:2" x14ac:dyDescent="0.25">
      <c r="B1136" t="s">
        <v>1640</v>
      </c>
    </row>
    <row r="1137" spans="2:2" x14ac:dyDescent="0.25">
      <c r="B1137" t="s">
        <v>1640</v>
      </c>
    </row>
    <row r="1138" spans="2:2" x14ac:dyDescent="0.25">
      <c r="B1138" t="s">
        <v>1640</v>
      </c>
    </row>
    <row r="1139" spans="2:2" x14ac:dyDescent="0.25">
      <c r="B1139" t="s">
        <v>1640</v>
      </c>
    </row>
    <row r="1140" spans="2:2" x14ac:dyDescent="0.25">
      <c r="B1140" t="s">
        <v>1640</v>
      </c>
    </row>
    <row r="1141" spans="2:2" x14ac:dyDescent="0.25">
      <c r="B1141" t="s">
        <v>1640</v>
      </c>
    </row>
    <row r="1142" spans="2:2" x14ac:dyDescent="0.25">
      <c r="B1142" t="s">
        <v>1640</v>
      </c>
    </row>
    <row r="1143" spans="2:2" x14ac:dyDescent="0.25">
      <c r="B1143" t="s">
        <v>1640</v>
      </c>
    </row>
    <row r="1144" spans="2:2" x14ac:dyDescent="0.25">
      <c r="B1144" t="s">
        <v>1640</v>
      </c>
    </row>
    <row r="1145" spans="2:2" x14ac:dyDescent="0.25">
      <c r="B1145" t="s">
        <v>1640</v>
      </c>
    </row>
    <row r="1146" spans="2:2" x14ac:dyDescent="0.25">
      <c r="B1146" t="s">
        <v>1640</v>
      </c>
    </row>
    <row r="1147" spans="2:2" x14ac:dyDescent="0.25">
      <c r="B1147" t="s">
        <v>1640</v>
      </c>
    </row>
    <row r="1148" spans="2:2" x14ac:dyDescent="0.25">
      <c r="B1148" t="s">
        <v>1640</v>
      </c>
    </row>
    <row r="1149" spans="2:2" x14ac:dyDescent="0.25">
      <c r="B1149" t="s">
        <v>1640</v>
      </c>
    </row>
    <row r="1150" spans="2:2" x14ac:dyDescent="0.25">
      <c r="B1150" t="s">
        <v>1640</v>
      </c>
    </row>
    <row r="1151" spans="2:2" x14ac:dyDescent="0.25">
      <c r="B1151" t="s">
        <v>1640</v>
      </c>
    </row>
    <row r="1152" spans="2:2" x14ac:dyDescent="0.25">
      <c r="B1152" t="s">
        <v>1640</v>
      </c>
    </row>
    <row r="1153" spans="2:2" x14ac:dyDescent="0.25">
      <c r="B1153" t="s">
        <v>1640</v>
      </c>
    </row>
    <row r="1154" spans="2:2" x14ac:dyDescent="0.25">
      <c r="B1154" t="s">
        <v>1640</v>
      </c>
    </row>
    <row r="1155" spans="2:2" x14ac:dyDescent="0.25">
      <c r="B1155" t="s">
        <v>1640</v>
      </c>
    </row>
    <row r="1156" spans="2:2" x14ac:dyDescent="0.25">
      <c r="B1156" t="s">
        <v>1640</v>
      </c>
    </row>
    <row r="1157" spans="2:2" x14ac:dyDescent="0.25">
      <c r="B1157" t="s">
        <v>1640</v>
      </c>
    </row>
    <row r="1158" spans="2:2" x14ac:dyDescent="0.25">
      <c r="B1158" t="s">
        <v>1640</v>
      </c>
    </row>
    <row r="1159" spans="2:2" x14ac:dyDescent="0.25">
      <c r="B1159" t="s">
        <v>1640</v>
      </c>
    </row>
    <row r="1160" spans="2:2" x14ac:dyDescent="0.25">
      <c r="B1160" t="s">
        <v>1640</v>
      </c>
    </row>
    <row r="1161" spans="2:2" x14ac:dyDescent="0.25">
      <c r="B1161" t="s">
        <v>1640</v>
      </c>
    </row>
    <row r="1162" spans="2:2" x14ac:dyDescent="0.25">
      <c r="B1162" t="s">
        <v>1640</v>
      </c>
    </row>
    <row r="1163" spans="2:2" x14ac:dyDescent="0.25">
      <c r="B1163" t="s">
        <v>1640</v>
      </c>
    </row>
    <row r="1164" spans="2:2" x14ac:dyDescent="0.25">
      <c r="B1164" t="s">
        <v>1640</v>
      </c>
    </row>
    <row r="1165" spans="2:2" x14ac:dyDescent="0.25">
      <c r="B1165" t="s">
        <v>1640</v>
      </c>
    </row>
    <row r="1166" spans="2:2" x14ac:dyDescent="0.25">
      <c r="B1166" t="s">
        <v>1640</v>
      </c>
    </row>
    <row r="1167" spans="2:2" x14ac:dyDescent="0.25">
      <c r="B1167" t="s">
        <v>1640</v>
      </c>
    </row>
    <row r="1168" spans="2:2" x14ac:dyDescent="0.25">
      <c r="B1168" t="s">
        <v>1640</v>
      </c>
    </row>
    <row r="1169" spans="2:2" x14ac:dyDescent="0.25">
      <c r="B1169" t="s">
        <v>1640</v>
      </c>
    </row>
    <row r="1170" spans="2:2" x14ac:dyDescent="0.25">
      <c r="B1170" t="s">
        <v>1640</v>
      </c>
    </row>
    <row r="1171" spans="2:2" x14ac:dyDescent="0.25">
      <c r="B1171" t="s">
        <v>1640</v>
      </c>
    </row>
    <row r="1172" spans="2:2" x14ac:dyDescent="0.25">
      <c r="B1172" t="s">
        <v>1640</v>
      </c>
    </row>
    <row r="1173" spans="2:2" x14ac:dyDescent="0.25">
      <c r="B1173" t="s">
        <v>1640</v>
      </c>
    </row>
    <row r="1174" spans="2:2" x14ac:dyDescent="0.25">
      <c r="B1174" t="s">
        <v>1640</v>
      </c>
    </row>
    <row r="1175" spans="2:2" x14ac:dyDescent="0.25">
      <c r="B1175" t="s">
        <v>1640</v>
      </c>
    </row>
    <row r="1176" spans="2:2" x14ac:dyDescent="0.25">
      <c r="B1176" t="s">
        <v>1640</v>
      </c>
    </row>
    <row r="1177" spans="2:2" x14ac:dyDescent="0.25">
      <c r="B1177" t="s">
        <v>1640</v>
      </c>
    </row>
    <row r="1178" spans="2:2" x14ac:dyDescent="0.25">
      <c r="B1178" t="s">
        <v>1640</v>
      </c>
    </row>
    <row r="1179" spans="2:2" x14ac:dyDescent="0.25">
      <c r="B1179" t="s">
        <v>1640</v>
      </c>
    </row>
    <row r="1180" spans="2:2" x14ac:dyDescent="0.25">
      <c r="B1180" t="s">
        <v>1640</v>
      </c>
    </row>
    <row r="1181" spans="2:2" x14ac:dyDescent="0.25">
      <c r="B1181" t="s">
        <v>1640</v>
      </c>
    </row>
    <row r="1182" spans="2:2" x14ac:dyDescent="0.25">
      <c r="B1182" t="s">
        <v>1640</v>
      </c>
    </row>
    <row r="1183" spans="2:2" x14ac:dyDescent="0.25">
      <c r="B1183" t="s">
        <v>1640</v>
      </c>
    </row>
    <row r="1184" spans="2:2" x14ac:dyDescent="0.25">
      <c r="B1184" t="s">
        <v>1640</v>
      </c>
    </row>
    <row r="1185" spans="2:2" x14ac:dyDescent="0.25">
      <c r="B1185" t="s">
        <v>1640</v>
      </c>
    </row>
    <row r="1186" spans="2:2" x14ac:dyDescent="0.25">
      <c r="B1186" t="s">
        <v>1640</v>
      </c>
    </row>
    <row r="1187" spans="2:2" x14ac:dyDescent="0.25">
      <c r="B1187" t="s">
        <v>1640</v>
      </c>
    </row>
    <row r="1188" spans="2:2" x14ac:dyDescent="0.25">
      <c r="B1188" t="s">
        <v>1640</v>
      </c>
    </row>
    <row r="1189" spans="2:2" x14ac:dyDescent="0.25">
      <c r="B1189" t="s">
        <v>1640</v>
      </c>
    </row>
    <row r="1190" spans="2:2" x14ac:dyDescent="0.25">
      <c r="B1190" t="s">
        <v>1640</v>
      </c>
    </row>
    <row r="1191" spans="2:2" x14ac:dyDescent="0.25">
      <c r="B1191" t="s">
        <v>1640</v>
      </c>
    </row>
    <row r="1192" spans="2:2" x14ac:dyDescent="0.25">
      <c r="B1192" t="s">
        <v>1640</v>
      </c>
    </row>
    <row r="1193" spans="2:2" x14ac:dyDescent="0.25">
      <c r="B1193" t="s">
        <v>1640</v>
      </c>
    </row>
    <row r="1194" spans="2:2" x14ac:dyDescent="0.25">
      <c r="B1194" t="s">
        <v>1640</v>
      </c>
    </row>
    <row r="1195" spans="2:2" x14ac:dyDescent="0.25">
      <c r="B1195" t="s">
        <v>1640</v>
      </c>
    </row>
    <row r="1196" spans="2:2" x14ac:dyDescent="0.25">
      <c r="B1196" t="s">
        <v>1640</v>
      </c>
    </row>
    <row r="1197" spans="2:2" x14ac:dyDescent="0.25">
      <c r="B1197" t="s">
        <v>1640</v>
      </c>
    </row>
    <row r="1198" spans="2:2" x14ac:dyDescent="0.25">
      <c r="B1198" t="s">
        <v>1640</v>
      </c>
    </row>
    <row r="1199" spans="2:2" x14ac:dyDescent="0.25">
      <c r="B1199" t="s">
        <v>1640</v>
      </c>
    </row>
    <row r="1200" spans="2:2" x14ac:dyDescent="0.25">
      <c r="B1200" t="s">
        <v>1640</v>
      </c>
    </row>
    <row r="1201" spans="2:2" x14ac:dyDescent="0.25">
      <c r="B1201" t="s">
        <v>1640</v>
      </c>
    </row>
    <row r="1202" spans="2:2" x14ac:dyDescent="0.25">
      <c r="B1202" t="s">
        <v>1640</v>
      </c>
    </row>
    <row r="1203" spans="2:2" x14ac:dyDescent="0.25">
      <c r="B1203" t="s">
        <v>1640</v>
      </c>
    </row>
    <row r="1204" spans="2:2" x14ac:dyDescent="0.25">
      <c r="B1204" t="s">
        <v>1640</v>
      </c>
    </row>
    <row r="1205" spans="2:2" x14ac:dyDescent="0.25">
      <c r="B1205" t="s">
        <v>1640</v>
      </c>
    </row>
    <row r="1206" spans="2:2" x14ac:dyDescent="0.25">
      <c r="B1206" t="s">
        <v>1640</v>
      </c>
    </row>
    <row r="1207" spans="2:2" x14ac:dyDescent="0.25">
      <c r="B1207" t="s">
        <v>1640</v>
      </c>
    </row>
    <row r="1208" spans="2:2" x14ac:dyDescent="0.25">
      <c r="B1208" t="s">
        <v>1640</v>
      </c>
    </row>
    <row r="1209" spans="2:2" x14ac:dyDescent="0.25">
      <c r="B1209" t="s">
        <v>1640</v>
      </c>
    </row>
    <row r="1210" spans="2:2" x14ac:dyDescent="0.25">
      <c r="B1210" t="s">
        <v>1640</v>
      </c>
    </row>
    <row r="1211" spans="2:2" x14ac:dyDescent="0.25">
      <c r="B1211" t="s">
        <v>1640</v>
      </c>
    </row>
    <row r="1212" spans="2:2" x14ac:dyDescent="0.25">
      <c r="B1212" t="s">
        <v>1640</v>
      </c>
    </row>
    <row r="1213" spans="2:2" x14ac:dyDescent="0.25">
      <c r="B1213" t="s">
        <v>1640</v>
      </c>
    </row>
    <row r="1214" spans="2:2" x14ac:dyDescent="0.25">
      <c r="B1214" t="s">
        <v>1640</v>
      </c>
    </row>
    <row r="1215" spans="2:2" x14ac:dyDescent="0.25">
      <c r="B1215" t="s">
        <v>1640</v>
      </c>
    </row>
    <row r="1216" spans="2:2" x14ac:dyDescent="0.25">
      <c r="B1216" t="s">
        <v>1640</v>
      </c>
    </row>
    <row r="1217" spans="2:2" x14ac:dyDescent="0.25">
      <c r="B1217" t="s">
        <v>1640</v>
      </c>
    </row>
    <row r="1218" spans="2:2" x14ac:dyDescent="0.25">
      <c r="B1218" t="s">
        <v>1640</v>
      </c>
    </row>
    <row r="1219" spans="2:2" x14ac:dyDescent="0.25">
      <c r="B1219" t="s">
        <v>1640</v>
      </c>
    </row>
    <row r="1220" spans="2:2" x14ac:dyDescent="0.25">
      <c r="B1220" t="s">
        <v>1640</v>
      </c>
    </row>
    <row r="1221" spans="2:2" x14ac:dyDescent="0.25">
      <c r="B1221" t="s">
        <v>1640</v>
      </c>
    </row>
    <row r="1222" spans="2:2" x14ac:dyDescent="0.25">
      <c r="B1222" t="s">
        <v>1640</v>
      </c>
    </row>
    <row r="1223" spans="2:2" x14ac:dyDescent="0.25">
      <c r="B1223" t="s">
        <v>1640</v>
      </c>
    </row>
    <row r="1224" spans="2:2" x14ac:dyDescent="0.25">
      <c r="B1224" t="s">
        <v>1640</v>
      </c>
    </row>
    <row r="1225" spans="2:2" x14ac:dyDescent="0.25">
      <c r="B1225" t="s">
        <v>1640</v>
      </c>
    </row>
    <row r="1226" spans="2:2" x14ac:dyDescent="0.25">
      <c r="B1226" t="s">
        <v>1640</v>
      </c>
    </row>
    <row r="1227" spans="2:2" x14ac:dyDescent="0.25">
      <c r="B1227" t="s">
        <v>1640</v>
      </c>
    </row>
    <row r="1228" spans="2:2" x14ac:dyDescent="0.25">
      <c r="B1228" t="s">
        <v>1640</v>
      </c>
    </row>
    <row r="1229" spans="2:2" x14ac:dyDescent="0.25">
      <c r="B1229" t="s">
        <v>1640</v>
      </c>
    </row>
    <row r="1230" spans="2:2" x14ac:dyDescent="0.25">
      <c r="B1230" t="s">
        <v>1640</v>
      </c>
    </row>
    <row r="1231" spans="2:2" x14ac:dyDescent="0.25">
      <c r="B1231" t="s">
        <v>1640</v>
      </c>
    </row>
    <row r="1232" spans="2:2" x14ac:dyDescent="0.25">
      <c r="B1232" t="s">
        <v>1640</v>
      </c>
    </row>
    <row r="1233" spans="2:2" x14ac:dyDescent="0.25">
      <c r="B1233" t="s">
        <v>1640</v>
      </c>
    </row>
    <row r="1234" spans="2:2" x14ac:dyDescent="0.25">
      <c r="B1234" t="s">
        <v>1640</v>
      </c>
    </row>
    <row r="1235" spans="2:2" x14ac:dyDescent="0.25">
      <c r="B1235" t="s">
        <v>1640</v>
      </c>
    </row>
    <row r="1236" spans="2:2" x14ac:dyDescent="0.25">
      <c r="B1236" t="s">
        <v>1640</v>
      </c>
    </row>
    <row r="1237" spans="2:2" x14ac:dyDescent="0.25">
      <c r="B1237" t="s">
        <v>1640</v>
      </c>
    </row>
    <row r="1238" spans="2:2" x14ac:dyDescent="0.25">
      <c r="B1238" t="s">
        <v>1640</v>
      </c>
    </row>
    <row r="1239" spans="2:2" x14ac:dyDescent="0.25">
      <c r="B1239" t="s">
        <v>1640</v>
      </c>
    </row>
    <row r="1240" spans="2:2" x14ac:dyDescent="0.25">
      <c r="B1240" t="s">
        <v>1640</v>
      </c>
    </row>
    <row r="1241" spans="2:2" x14ac:dyDescent="0.25">
      <c r="B1241" t="s">
        <v>1640</v>
      </c>
    </row>
    <row r="1242" spans="2:2" x14ac:dyDescent="0.25">
      <c r="B1242" t="s">
        <v>1640</v>
      </c>
    </row>
    <row r="1243" spans="2:2" x14ac:dyDescent="0.25">
      <c r="B1243" t="s">
        <v>1640</v>
      </c>
    </row>
    <row r="1244" spans="2:2" x14ac:dyDescent="0.25">
      <c r="B1244" t="s">
        <v>1640</v>
      </c>
    </row>
    <row r="1245" spans="2:2" x14ac:dyDescent="0.25">
      <c r="B1245" t="s">
        <v>1640</v>
      </c>
    </row>
    <row r="1246" spans="2:2" x14ac:dyDescent="0.25">
      <c r="B1246" t="s">
        <v>1640</v>
      </c>
    </row>
    <row r="1247" spans="2:2" x14ac:dyDescent="0.25">
      <c r="B1247" t="s">
        <v>1640</v>
      </c>
    </row>
    <row r="1248" spans="2:2" x14ac:dyDescent="0.25">
      <c r="B1248" t="s">
        <v>1640</v>
      </c>
    </row>
    <row r="1249" spans="2:2" x14ac:dyDescent="0.25">
      <c r="B1249" t="s">
        <v>1640</v>
      </c>
    </row>
    <row r="1250" spans="2:2" x14ac:dyDescent="0.25">
      <c r="B1250" t="s">
        <v>1640</v>
      </c>
    </row>
    <row r="1251" spans="2:2" x14ac:dyDescent="0.25">
      <c r="B1251" t="s">
        <v>1640</v>
      </c>
    </row>
    <row r="1252" spans="2:2" x14ac:dyDescent="0.25">
      <c r="B1252" t="s">
        <v>1640</v>
      </c>
    </row>
    <row r="1253" spans="2:2" x14ac:dyDescent="0.25">
      <c r="B1253" t="s">
        <v>1640</v>
      </c>
    </row>
    <row r="1254" spans="2:2" x14ac:dyDescent="0.25">
      <c r="B1254" t="s">
        <v>1640</v>
      </c>
    </row>
    <row r="1255" spans="2:2" x14ac:dyDescent="0.25">
      <c r="B1255" t="s">
        <v>1640</v>
      </c>
    </row>
    <row r="1256" spans="2:2" x14ac:dyDescent="0.25">
      <c r="B1256" t="s">
        <v>1640</v>
      </c>
    </row>
    <row r="1257" spans="2:2" x14ac:dyDescent="0.25">
      <c r="B1257" t="s">
        <v>1640</v>
      </c>
    </row>
    <row r="1258" spans="2:2" x14ac:dyDescent="0.25">
      <c r="B1258" t="s">
        <v>1640</v>
      </c>
    </row>
    <row r="1259" spans="2:2" x14ac:dyDescent="0.25">
      <c r="B1259" t="s">
        <v>1640</v>
      </c>
    </row>
    <row r="1260" spans="2:2" x14ac:dyDescent="0.25">
      <c r="B1260" t="s">
        <v>1640</v>
      </c>
    </row>
    <row r="1261" spans="2:2" x14ac:dyDescent="0.25">
      <c r="B1261" t="s">
        <v>1640</v>
      </c>
    </row>
    <row r="1262" spans="2:2" x14ac:dyDescent="0.25">
      <c r="B1262" t="s">
        <v>1640</v>
      </c>
    </row>
    <row r="1263" spans="2:2" x14ac:dyDescent="0.25">
      <c r="B1263" t="s">
        <v>1640</v>
      </c>
    </row>
    <row r="1264" spans="2:2" x14ac:dyDescent="0.25">
      <c r="B1264" t="s">
        <v>1640</v>
      </c>
    </row>
    <row r="1265" spans="2:2" x14ac:dyDescent="0.25">
      <c r="B1265" t="s">
        <v>1640</v>
      </c>
    </row>
    <row r="1266" spans="2:2" x14ac:dyDescent="0.25">
      <c r="B1266" t="s">
        <v>1640</v>
      </c>
    </row>
    <row r="1267" spans="2:2" x14ac:dyDescent="0.25">
      <c r="B1267" t="s">
        <v>1640</v>
      </c>
    </row>
    <row r="1268" spans="2:2" x14ac:dyDescent="0.25">
      <c r="B1268" t="s">
        <v>1640</v>
      </c>
    </row>
    <row r="1269" spans="2:2" x14ac:dyDescent="0.25">
      <c r="B1269" t="s">
        <v>1640</v>
      </c>
    </row>
    <row r="1270" spans="2:2" x14ac:dyDescent="0.25">
      <c r="B1270" t="s">
        <v>1640</v>
      </c>
    </row>
    <row r="1271" spans="2:2" x14ac:dyDescent="0.25">
      <c r="B1271" t="s">
        <v>1640</v>
      </c>
    </row>
    <row r="1272" spans="2:2" x14ac:dyDescent="0.25">
      <c r="B1272" t="s">
        <v>1640</v>
      </c>
    </row>
    <row r="1273" spans="2:2" x14ac:dyDescent="0.25">
      <c r="B1273" t="s">
        <v>1640</v>
      </c>
    </row>
    <row r="1274" spans="2:2" x14ac:dyDescent="0.25">
      <c r="B1274" t="s">
        <v>1640</v>
      </c>
    </row>
    <row r="1275" spans="2:2" x14ac:dyDescent="0.25">
      <c r="B1275" t="s">
        <v>1640</v>
      </c>
    </row>
    <row r="1276" spans="2:2" x14ac:dyDescent="0.25">
      <c r="B1276" t="s">
        <v>1640</v>
      </c>
    </row>
    <row r="1277" spans="2:2" x14ac:dyDescent="0.25">
      <c r="B1277" t="s">
        <v>1640</v>
      </c>
    </row>
    <row r="1278" spans="2:2" x14ac:dyDescent="0.25">
      <c r="B1278" t="s">
        <v>1640</v>
      </c>
    </row>
    <row r="1279" spans="2:2" x14ac:dyDescent="0.25">
      <c r="B1279" t="s">
        <v>1640</v>
      </c>
    </row>
    <row r="1280" spans="2:2" x14ac:dyDescent="0.25">
      <c r="B1280" t="s">
        <v>1640</v>
      </c>
    </row>
    <row r="1281" spans="2:2" x14ac:dyDescent="0.25">
      <c r="B1281" t="s">
        <v>1640</v>
      </c>
    </row>
    <row r="1282" spans="2:2" x14ac:dyDescent="0.25">
      <c r="B1282" t="s">
        <v>1640</v>
      </c>
    </row>
    <row r="1283" spans="2:2" x14ac:dyDescent="0.25">
      <c r="B1283" t="s">
        <v>1640</v>
      </c>
    </row>
    <row r="1284" spans="2:2" x14ac:dyDescent="0.25">
      <c r="B1284" t="s">
        <v>1640</v>
      </c>
    </row>
    <row r="1285" spans="2:2" x14ac:dyDescent="0.25">
      <c r="B1285" t="s">
        <v>1640</v>
      </c>
    </row>
    <row r="1286" spans="2:2" x14ac:dyDescent="0.25">
      <c r="B1286" t="s">
        <v>1640</v>
      </c>
    </row>
    <row r="1287" spans="2:2" x14ac:dyDescent="0.25">
      <c r="B1287" t="s">
        <v>1640</v>
      </c>
    </row>
    <row r="1288" spans="2:2" x14ac:dyDescent="0.25">
      <c r="B1288" t="s">
        <v>1640</v>
      </c>
    </row>
    <row r="1289" spans="2:2" x14ac:dyDescent="0.25">
      <c r="B1289" t="s">
        <v>1640</v>
      </c>
    </row>
    <row r="1290" spans="2:2" x14ac:dyDescent="0.25">
      <c r="B1290" t="s">
        <v>1640</v>
      </c>
    </row>
    <row r="1291" spans="2:2" x14ac:dyDescent="0.25">
      <c r="B1291" t="s">
        <v>1640</v>
      </c>
    </row>
    <row r="1292" spans="2:2" x14ac:dyDescent="0.25">
      <c r="B1292" t="s">
        <v>1640</v>
      </c>
    </row>
    <row r="1293" spans="2:2" x14ac:dyDescent="0.25">
      <c r="B1293" t="s">
        <v>1640</v>
      </c>
    </row>
    <row r="1294" spans="2:2" x14ac:dyDescent="0.25">
      <c r="B1294" t="s">
        <v>1640</v>
      </c>
    </row>
    <row r="1295" spans="2:2" x14ac:dyDescent="0.25">
      <c r="B1295" t="s">
        <v>1640</v>
      </c>
    </row>
    <row r="1296" spans="2:2" x14ac:dyDescent="0.25">
      <c r="B1296" t="s">
        <v>1640</v>
      </c>
    </row>
    <row r="1297" spans="2:2" x14ac:dyDescent="0.25">
      <c r="B1297" t="s">
        <v>1640</v>
      </c>
    </row>
    <row r="1298" spans="2:2" x14ac:dyDescent="0.25">
      <c r="B1298" t="s">
        <v>1640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1C7CF-069E-498A-8CB1-F56567C3F6BD}">
  <dimension ref="A1"/>
  <sheetViews>
    <sheetView workbookViewId="0">
      <selection activeCell="D5" sqref="D5"/>
    </sheetView>
  </sheetViews>
  <sheetFormatPr defaultRowHeight="15" x14ac:dyDescent="0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1A634-FD76-452A-9820-2488DCDFB972}">
  <dimension ref="A1"/>
  <sheetViews>
    <sheetView workbookViewId="0">
      <selection activeCell="D5" sqref="D5"/>
    </sheetView>
  </sheetViews>
  <sheetFormatPr defaultRowHeight="15" x14ac:dyDescent="0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2FF16-0273-42FC-AF68-BF9290093588}">
  <dimension ref="J2:P16385"/>
  <sheetViews>
    <sheetView workbookViewId="0">
      <selection activeCell="T3" sqref="T3"/>
    </sheetView>
  </sheetViews>
  <sheetFormatPr defaultRowHeight="15" x14ac:dyDescent="0.25"/>
  <sheetData>
    <row r="2" spans="11:16" x14ac:dyDescent="0.25">
      <c r="P2" s="4"/>
    </row>
    <row r="3" spans="11:16" x14ac:dyDescent="0.25">
      <c r="K3" t="s">
        <v>0</v>
      </c>
      <c r="P3" s="7" t="s">
        <v>0</v>
      </c>
    </row>
    <row r="4" spans="11:16" x14ac:dyDescent="0.25">
      <c r="K4" t="s">
        <v>3</v>
      </c>
      <c r="O4" s="9" t="s">
        <v>832</v>
      </c>
      <c r="P4" t="s">
        <v>3</v>
      </c>
    </row>
    <row r="5" spans="11:16" x14ac:dyDescent="0.25">
      <c r="K5" t="s">
        <v>4</v>
      </c>
      <c r="O5" s="9" t="s">
        <v>832</v>
      </c>
      <c r="P5" t="s">
        <v>4</v>
      </c>
    </row>
    <row r="6" spans="11:16" x14ac:dyDescent="0.25">
      <c r="K6" t="s">
        <v>5</v>
      </c>
      <c r="O6" s="9" t="s">
        <v>832</v>
      </c>
      <c r="P6" t="s">
        <v>5</v>
      </c>
    </row>
    <row r="7" spans="11:16" x14ac:dyDescent="0.25">
      <c r="K7" t="s">
        <v>6</v>
      </c>
      <c r="O7" s="9" t="s">
        <v>832</v>
      </c>
      <c r="P7" t="s">
        <v>6</v>
      </c>
    </row>
    <row r="8" spans="11:16" x14ac:dyDescent="0.25">
      <c r="K8" t="s">
        <v>7</v>
      </c>
      <c r="O8" s="9" t="s">
        <v>832</v>
      </c>
      <c r="P8" t="s">
        <v>7</v>
      </c>
    </row>
    <row r="9" spans="11:16" x14ac:dyDescent="0.25">
      <c r="K9" t="s">
        <v>8</v>
      </c>
      <c r="O9" s="9" t="s">
        <v>832</v>
      </c>
      <c r="P9" t="s">
        <v>8</v>
      </c>
    </row>
    <row r="10" spans="11:16" x14ac:dyDescent="0.25">
      <c r="K10" t="s">
        <v>9</v>
      </c>
      <c r="O10" s="9" t="s">
        <v>832</v>
      </c>
      <c r="P10" t="s">
        <v>9</v>
      </c>
    </row>
    <row r="11" spans="11:16" x14ac:dyDescent="0.25">
      <c r="K11" t="s">
        <v>10</v>
      </c>
      <c r="O11" s="9" t="s">
        <v>832</v>
      </c>
      <c r="P11" t="s">
        <v>10</v>
      </c>
    </row>
    <row r="12" spans="11:16" x14ac:dyDescent="0.25">
      <c r="K12" t="s">
        <v>11</v>
      </c>
      <c r="O12" s="9" t="s">
        <v>832</v>
      </c>
      <c r="P12" t="s">
        <v>11</v>
      </c>
    </row>
    <row r="13" spans="11:16" x14ac:dyDescent="0.25">
      <c r="K13" t="s">
        <v>12</v>
      </c>
      <c r="O13" s="9" t="s">
        <v>832</v>
      </c>
      <c r="P13" t="s">
        <v>12</v>
      </c>
    </row>
    <row r="14" spans="11:16" x14ac:dyDescent="0.25">
      <c r="K14" t="s">
        <v>13</v>
      </c>
      <c r="O14" s="9" t="s">
        <v>832</v>
      </c>
      <c r="P14" t="s">
        <v>13</v>
      </c>
    </row>
    <row r="15" spans="11:16" x14ac:dyDescent="0.25">
      <c r="K15" t="s">
        <v>14</v>
      </c>
      <c r="O15" s="9" t="s">
        <v>832</v>
      </c>
      <c r="P15" t="s">
        <v>14</v>
      </c>
    </row>
    <row r="16" spans="11:16" x14ac:dyDescent="0.25">
      <c r="K16" t="s">
        <v>15</v>
      </c>
      <c r="P16" t="s">
        <v>15</v>
      </c>
    </row>
    <row r="17" spans="11:16" x14ac:dyDescent="0.25">
      <c r="K17" t="s">
        <v>16</v>
      </c>
      <c r="O17" s="9" t="s">
        <v>832</v>
      </c>
      <c r="P17" t="s">
        <v>16</v>
      </c>
    </row>
    <row r="18" spans="11:16" x14ac:dyDescent="0.25">
      <c r="K18" t="s">
        <v>17</v>
      </c>
      <c r="O18" s="9" t="s">
        <v>832</v>
      </c>
      <c r="P18" t="s">
        <v>17</v>
      </c>
    </row>
    <row r="19" spans="11:16" x14ac:dyDescent="0.25">
      <c r="K19" t="s">
        <v>18</v>
      </c>
      <c r="O19" s="9" t="s">
        <v>832</v>
      </c>
      <c r="P19" t="s">
        <v>18</v>
      </c>
    </row>
    <row r="20" spans="11:16" x14ac:dyDescent="0.25">
      <c r="K20" t="s">
        <v>19</v>
      </c>
      <c r="O20" s="9" t="s">
        <v>832</v>
      </c>
      <c r="P20" t="s">
        <v>19</v>
      </c>
    </row>
    <row r="21" spans="11:16" x14ac:dyDescent="0.25">
      <c r="K21" t="s">
        <v>20</v>
      </c>
      <c r="O21" s="9" t="s">
        <v>832</v>
      </c>
      <c r="P21" t="s">
        <v>20</v>
      </c>
    </row>
    <row r="22" spans="11:16" x14ac:dyDescent="0.25">
      <c r="K22" t="s">
        <v>21</v>
      </c>
      <c r="O22" s="9" t="s">
        <v>832</v>
      </c>
      <c r="P22" t="s">
        <v>21</v>
      </c>
    </row>
    <row r="23" spans="11:16" x14ac:dyDescent="0.25">
      <c r="K23" t="s">
        <v>22</v>
      </c>
      <c r="O23" s="9" t="s">
        <v>832</v>
      </c>
      <c r="P23" t="s">
        <v>22</v>
      </c>
    </row>
    <row r="24" spans="11:16" x14ac:dyDescent="0.25">
      <c r="K24" t="s">
        <v>23</v>
      </c>
      <c r="P24" t="s">
        <v>23</v>
      </c>
    </row>
    <row r="25" spans="11:16" x14ac:dyDescent="0.25">
      <c r="K25" t="s">
        <v>24</v>
      </c>
      <c r="O25" s="9" t="s">
        <v>832</v>
      </c>
      <c r="P25" t="s">
        <v>24</v>
      </c>
    </row>
    <row r="26" spans="11:16" x14ac:dyDescent="0.25">
      <c r="K26" t="s">
        <v>25</v>
      </c>
      <c r="O26" s="9" t="s">
        <v>832</v>
      </c>
      <c r="P26" t="s">
        <v>25</v>
      </c>
    </row>
    <row r="27" spans="11:16" x14ac:dyDescent="0.25">
      <c r="K27" t="s">
        <v>26</v>
      </c>
      <c r="O27" s="9" t="s">
        <v>832</v>
      </c>
      <c r="P27" t="s">
        <v>26</v>
      </c>
    </row>
    <row r="28" spans="11:16" x14ac:dyDescent="0.25">
      <c r="K28" t="s">
        <v>27</v>
      </c>
      <c r="O28" s="9" t="s">
        <v>832</v>
      </c>
      <c r="P28" t="s">
        <v>27</v>
      </c>
    </row>
    <row r="29" spans="11:16" x14ac:dyDescent="0.25">
      <c r="K29" t="s">
        <v>28</v>
      </c>
      <c r="O29" s="9" t="s">
        <v>832</v>
      </c>
      <c r="P29" t="s">
        <v>28</v>
      </c>
    </row>
    <row r="30" spans="11:16" x14ac:dyDescent="0.25">
      <c r="K30" t="s">
        <v>29</v>
      </c>
      <c r="O30" s="9" t="s">
        <v>832</v>
      </c>
      <c r="P30" t="s">
        <v>29</v>
      </c>
    </row>
    <row r="31" spans="11:16" x14ac:dyDescent="0.25">
      <c r="K31" t="s">
        <v>30</v>
      </c>
      <c r="O31" s="9" t="s">
        <v>832</v>
      </c>
      <c r="P31" t="s">
        <v>30</v>
      </c>
    </row>
    <row r="32" spans="11:16" x14ac:dyDescent="0.25">
      <c r="K32" t="s">
        <v>352</v>
      </c>
      <c r="O32" s="9" t="s">
        <v>832</v>
      </c>
      <c r="P32" t="s">
        <v>352</v>
      </c>
    </row>
    <row r="33" spans="11:16" x14ac:dyDescent="0.25">
      <c r="K33" t="s">
        <v>31</v>
      </c>
      <c r="O33" s="9" t="s">
        <v>832</v>
      </c>
      <c r="P33" t="s">
        <v>31</v>
      </c>
    </row>
    <row r="34" spans="11:16" x14ac:dyDescent="0.25">
      <c r="K34" t="s">
        <v>32</v>
      </c>
      <c r="O34" s="9" t="s">
        <v>832</v>
      </c>
      <c r="P34" t="s">
        <v>32</v>
      </c>
    </row>
    <row r="35" spans="11:16" x14ac:dyDescent="0.25">
      <c r="K35" t="s">
        <v>33</v>
      </c>
      <c r="O35" s="9" t="s">
        <v>832</v>
      </c>
      <c r="P35" t="s">
        <v>33</v>
      </c>
    </row>
    <row r="36" spans="11:16" x14ac:dyDescent="0.25">
      <c r="K36" t="s">
        <v>34</v>
      </c>
      <c r="P36" t="s">
        <v>34</v>
      </c>
    </row>
    <row r="37" spans="11:16" x14ac:dyDescent="0.25">
      <c r="K37" t="s">
        <v>35</v>
      </c>
      <c r="P37" t="s">
        <v>35</v>
      </c>
    </row>
    <row r="38" spans="11:16" x14ac:dyDescent="0.25">
      <c r="K38" t="s">
        <v>36</v>
      </c>
      <c r="O38" s="9" t="s">
        <v>832</v>
      </c>
      <c r="P38" t="s">
        <v>36</v>
      </c>
    </row>
    <row r="39" spans="11:16" x14ac:dyDescent="0.25">
      <c r="K39" t="s">
        <v>37</v>
      </c>
      <c r="O39" s="9" t="s">
        <v>832</v>
      </c>
      <c r="P39" t="s">
        <v>37</v>
      </c>
    </row>
    <row r="40" spans="11:16" x14ac:dyDescent="0.25">
      <c r="K40" t="s">
        <v>38</v>
      </c>
      <c r="O40" s="9" t="s">
        <v>832</v>
      </c>
      <c r="P40" t="s">
        <v>38</v>
      </c>
    </row>
    <row r="41" spans="11:16" x14ac:dyDescent="0.25">
      <c r="K41" t="s">
        <v>39</v>
      </c>
      <c r="P41" t="s">
        <v>39</v>
      </c>
    </row>
    <row r="42" spans="11:16" x14ac:dyDescent="0.25">
      <c r="K42" t="s">
        <v>40</v>
      </c>
      <c r="P42" t="s">
        <v>40</v>
      </c>
    </row>
    <row r="43" spans="11:16" x14ac:dyDescent="0.25">
      <c r="K43" t="s">
        <v>782</v>
      </c>
      <c r="O43" s="9" t="s">
        <v>832</v>
      </c>
      <c r="P43" t="s">
        <v>782</v>
      </c>
    </row>
    <row r="44" spans="11:16" x14ac:dyDescent="0.25">
      <c r="K44" t="s">
        <v>41</v>
      </c>
      <c r="O44" s="9" t="s">
        <v>832</v>
      </c>
      <c r="P44" t="s">
        <v>41</v>
      </c>
    </row>
    <row r="45" spans="11:16" x14ac:dyDescent="0.25">
      <c r="K45" t="s">
        <v>42</v>
      </c>
      <c r="O45" s="9" t="s">
        <v>832</v>
      </c>
      <c r="P45" t="s">
        <v>42</v>
      </c>
    </row>
    <row r="46" spans="11:16" x14ac:dyDescent="0.25">
      <c r="K46" t="s">
        <v>43</v>
      </c>
      <c r="O46" s="9" t="s">
        <v>832</v>
      </c>
      <c r="P46" t="s">
        <v>43</v>
      </c>
    </row>
    <row r="47" spans="11:16" x14ac:dyDescent="0.25">
      <c r="K47" t="s">
        <v>44</v>
      </c>
      <c r="P47" t="s">
        <v>44</v>
      </c>
    </row>
    <row r="48" spans="11:16" x14ac:dyDescent="0.25">
      <c r="K48" t="s">
        <v>45</v>
      </c>
      <c r="P48" t="s">
        <v>45</v>
      </c>
    </row>
    <row r="49" spans="11:16" x14ac:dyDescent="0.25">
      <c r="K49" t="s">
        <v>46</v>
      </c>
      <c r="O49" s="9" t="s">
        <v>832</v>
      </c>
      <c r="P49" t="s">
        <v>46</v>
      </c>
    </row>
    <row r="50" spans="11:16" x14ac:dyDescent="0.25">
      <c r="K50" t="s">
        <v>47</v>
      </c>
      <c r="O50" s="9" t="s">
        <v>832</v>
      </c>
      <c r="P50" t="s">
        <v>47</v>
      </c>
    </row>
    <row r="51" spans="11:16" x14ac:dyDescent="0.25">
      <c r="K51" t="s">
        <v>48</v>
      </c>
      <c r="O51" s="9" t="s">
        <v>832</v>
      </c>
      <c r="P51" t="s">
        <v>48</v>
      </c>
    </row>
    <row r="52" spans="11:16" x14ac:dyDescent="0.25">
      <c r="K52" t="s">
        <v>49</v>
      </c>
      <c r="O52" s="9" t="s">
        <v>832</v>
      </c>
      <c r="P52" t="s">
        <v>49</v>
      </c>
    </row>
    <row r="53" spans="11:16" x14ac:dyDescent="0.25">
      <c r="K53" t="s">
        <v>783</v>
      </c>
      <c r="P53" t="s">
        <v>783</v>
      </c>
    </row>
    <row r="54" spans="11:16" x14ac:dyDescent="0.25">
      <c r="K54" t="s">
        <v>50</v>
      </c>
      <c r="O54" s="9" t="s">
        <v>832</v>
      </c>
      <c r="P54" t="s">
        <v>50</v>
      </c>
    </row>
    <row r="55" spans="11:16" x14ac:dyDescent="0.25">
      <c r="K55" t="s">
        <v>51</v>
      </c>
      <c r="O55" s="9" t="s">
        <v>832</v>
      </c>
      <c r="P55" t="s">
        <v>51</v>
      </c>
    </row>
    <row r="56" spans="11:16" x14ac:dyDescent="0.25">
      <c r="K56" t="s">
        <v>52</v>
      </c>
      <c r="O56" s="9" t="s">
        <v>832</v>
      </c>
      <c r="P56" t="s">
        <v>52</v>
      </c>
    </row>
    <row r="57" spans="11:16" x14ac:dyDescent="0.25">
      <c r="K57" t="s">
        <v>53</v>
      </c>
      <c r="P57" t="s">
        <v>53</v>
      </c>
    </row>
    <row r="58" spans="11:16" x14ac:dyDescent="0.25">
      <c r="K58" t="s">
        <v>54</v>
      </c>
      <c r="O58" s="10"/>
      <c r="P58" t="s">
        <v>54</v>
      </c>
    </row>
    <row r="59" spans="11:16" x14ac:dyDescent="0.25">
      <c r="K59" t="s">
        <v>55</v>
      </c>
      <c r="O59" s="10"/>
      <c r="P59" t="s">
        <v>55</v>
      </c>
    </row>
    <row r="60" spans="11:16" x14ac:dyDescent="0.25">
      <c r="K60" t="s">
        <v>56</v>
      </c>
      <c r="O60" s="10"/>
      <c r="P60" t="s">
        <v>56</v>
      </c>
    </row>
    <row r="61" spans="11:16" x14ac:dyDescent="0.25">
      <c r="K61" t="s">
        <v>57</v>
      </c>
      <c r="O61" s="9" t="s">
        <v>832</v>
      </c>
      <c r="P61" t="s">
        <v>57</v>
      </c>
    </row>
    <row r="62" spans="11:16" x14ac:dyDescent="0.25">
      <c r="K62" t="s">
        <v>58</v>
      </c>
      <c r="P62" t="s">
        <v>58</v>
      </c>
    </row>
    <row r="63" spans="11:16" x14ac:dyDescent="0.25">
      <c r="K63" t="s">
        <v>59</v>
      </c>
      <c r="O63" s="9" t="s">
        <v>832</v>
      </c>
      <c r="P63" t="s">
        <v>59</v>
      </c>
    </row>
    <row r="64" spans="11:16" x14ac:dyDescent="0.25">
      <c r="K64" t="s">
        <v>60</v>
      </c>
      <c r="O64" s="9" t="s">
        <v>832</v>
      </c>
      <c r="P64" t="s">
        <v>60</v>
      </c>
    </row>
    <row r="65" spans="11:16" x14ac:dyDescent="0.25">
      <c r="K65" t="s">
        <v>61</v>
      </c>
      <c r="O65" s="9" t="s">
        <v>832</v>
      </c>
      <c r="P65" t="s">
        <v>61</v>
      </c>
    </row>
    <row r="66" spans="11:16" x14ac:dyDescent="0.25">
      <c r="K66" t="s">
        <v>62</v>
      </c>
      <c r="O66" s="9" t="s">
        <v>832</v>
      </c>
      <c r="P66" t="s">
        <v>62</v>
      </c>
    </row>
    <row r="67" spans="11:16" x14ac:dyDescent="0.25">
      <c r="K67" t="s">
        <v>63</v>
      </c>
      <c r="O67" s="9" t="s">
        <v>832</v>
      </c>
      <c r="P67" t="s">
        <v>63</v>
      </c>
    </row>
    <row r="68" spans="11:16" x14ac:dyDescent="0.25">
      <c r="K68" t="s">
        <v>64</v>
      </c>
      <c r="O68" s="9" t="s">
        <v>832</v>
      </c>
      <c r="P68" t="s">
        <v>64</v>
      </c>
    </row>
    <row r="69" spans="11:16" x14ac:dyDescent="0.25">
      <c r="K69" t="s">
        <v>65</v>
      </c>
      <c r="O69" s="9" t="s">
        <v>832</v>
      </c>
      <c r="P69" t="s">
        <v>65</v>
      </c>
    </row>
    <row r="70" spans="11:16" x14ac:dyDescent="0.25">
      <c r="K70" t="s">
        <v>66</v>
      </c>
      <c r="O70" s="9" t="s">
        <v>832</v>
      </c>
      <c r="P70" t="s">
        <v>66</v>
      </c>
    </row>
    <row r="71" spans="11:16" x14ac:dyDescent="0.25">
      <c r="K71" t="s">
        <v>67</v>
      </c>
      <c r="O71" s="9" t="s">
        <v>832</v>
      </c>
      <c r="P71" t="s">
        <v>67</v>
      </c>
    </row>
    <row r="72" spans="11:16" x14ac:dyDescent="0.25">
      <c r="K72" t="s">
        <v>68</v>
      </c>
      <c r="O72" s="9" t="s">
        <v>832</v>
      </c>
      <c r="P72" t="s">
        <v>68</v>
      </c>
    </row>
    <row r="73" spans="11:16" x14ac:dyDescent="0.25">
      <c r="K73" t="s">
        <v>69</v>
      </c>
      <c r="P73" t="s">
        <v>69</v>
      </c>
    </row>
    <row r="74" spans="11:16" x14ac:dyDescent="0.25">
      <c r="K74" t="s">
        <v>70</v>
      </c>
      <c r="P74" t="s">
        <v>70</v>
      </c>
    </row>
    <row r="75" spans="11:16" x14ac:dyDescent="0.25">
      <c r="K75" t="s">
        <v>775</v>
      </c>
      <c r="O75" s="9" t="s">
        <v>832</v>
      </c>
      <c r="P75" t="s">
        <v>775</v>
      </c>
    </row>
    <row r="76" spans="11:16" x14ac:dyDescent="0.25">
      <c r="K76" t="s">
        <v>71</v>
      </c>
      <c r="O76" s="9" t="s">
        <v>832</v>
      </c>
      <c r="P76" t="s">
        <v>71</v>
      </c>
    </row>
    <row r="77" spans="11:16" x14ac:dyDescent="0.25">
      <c r="K77" t="s">
        <v>72</v>
      </c>
      <c r="P77" t="s">
        <v>72</v>
      </c>
    </row>
    <row r="78" spans="11:16" x14ac:dyDescent="0.25">
      <c r="K78" t="s">
        <v>73</v>
      </c>
      <c r="P78" t="s">
        <v>73</v>
      </c>
    </row>
    <row r="79" spans="11:16" x14ac:dyDescent="0.25">
      <c r="K79" t="s">
        <v>74</v>
      </c>
      <c r="P79" t="s">
        <v>74</v>
      </c>
    </row>
    <row r="80" spans="11:16" x14ac:dyDescent="0.25">
      <c r="K80" t="s">
        <v>75</v>
      </c>
      <c r="P80" t="s">
        <v>75</v>
      </c>
    </row>
    <row r="81" spans="10:16" x14ac:dyDescent="0.25">
      <c r="K81" t="s">
        <v>76</v>
      </c>
      <c r="O81" s="9" t="s">
        <v>832</v>
      </c>
      <c r="P81" t="s">
        <v>76</v>
      </c>
    </row>
    <row r="82" spans="10:16" x14ac:dyDescent="0.25">
      <c r="K82" t="s">
        <v>77</v>
      </c>
      <c r="P82" t="s">
        <v>77</v>
      </c>
    </row>
    <row r="83" spans="10:16" x14ac:dyDescent="0.25">
      <c r="K83" t="s">
        <v>78</v>
      </c>
      <c r="P83" t="s">
        <v>78</v>
      </c>
    </row>
    <row r="84" spans="10:16" x14ac:dyDescent="0.25">
      <c r="K84" t="s">
        <v>79</v>
      </c>
      <c r="P84" t="s">
        <v>79</v>
      </c>
    </row>
    <row r="85" spans="10:16" x14ac:dyDescent="0.25">
      <c r="K85" t="s">
        <v>80</v>
      </c>
      <c r="P85" t="s">
        <v>80</v>
      </c>
    </row>
    <row r="86" spans="10:16" x14ac:dyDescent="0.25">
      <c r="K86" t="s">
        <v>81</v>
      </c>
      <c r="P86" t="s">
        <v>81</v>
      </c>
    </row>
    <row r="87" spans="10:16" x14ac:dyDescent="0.25">
      <c r="K87" t="s">
        <v>82</v>
      </c>
      <c r="P87" t="s">
        <v>82</v>
      </c>
    </row>
    <row r="88" spans="10:16" x14ac:dyDescent="0.25">
      <c r="K88" t="s">
        <v>83</v>
      </c>
      <c r="P88" t="s">
        <v>83</v>
      </c>
    </row>
    <row r="89" spans="10:16" x14ac:dyDescent="0.25">
      <c r="K89" t="s">
        <v>84</v>
      </c>
      <c r="P89" t="s">
        <v>84</v>
      </c>
    </row>
    <row r="90" spans="10:16" x14ac:dyDescent="0.25">
      <c r="K90" t="s">
        <v>85</v>
      </c>
      <c r="O90" s="9" t="s">
        <v>832</v>
      </c>
      <c r="P90" t="s">
        <v>85</v>
      </c>
    </row>
    <row r="91" spans="10:16" x14ac:dyDescent="0.25">
      <c r="K91" t="s">
        <v>86</v>
      </c>
      <c r="P91" t="s">
        <v>86</v>
      </c>
    </row>
    <row r="92" spans="10:16" x14ac:dyDescent="0.25">
      <c r="K92" t="s">
        <v>87</v>
      </c>
      <c r="P92" t="s">
        <v>87</v>
      </c>
    </row>
    <row r="93" spans="10:16" x14ac:dyDescent="0.25">
      <c r="K93" t="s">
        <v>88</v>
      </c>
      <c r="O93" s="10"/>
      <c r="P93" t="s">
        <v>88</v>
      </c>
    </row>
    <row r="94" spans="10:16" x14ac:dyDescent="0.25">
      <c r="K94" t="s">
        <v>89</v>
      </c>
      <c r="P94" t="s">
        <v>89</v>
      </c>
    </row>
    <row r="95" spans="10:16" x14ac:dyDescent="0.25">
      <c r="J95" t="s">
        <v>824</v>
      </c>
      <c r="K95" t="s">
        <v>90</v>
      </c>
      <c r="O95" t="s">
        <v>824</v>
      </c>
      <c r="P95" t="s">
        <v>90</v>
      </c>
    </row>
    <row r="96" spans="10:16" x14ac:dyDescent="0.25">
      <c r="J96" t="s">
        <v>824</v>
      </c>
      <c r="K96" t="s">
        <v>91</v>
      </c>
      <c r="O96" t="s">
        <v>824</v>
      </c>
      <c r="P96" t="s">
        <v>91</v>
      </c>
    </row>
    <row r="97" spans="10:16" x14ac:dyDescent="0.25">
      <c r="K97" t="s">
        <v>92</v>
      </c>
      <c r="O97" s="9" t="s">
        <v>832</v>
      </c>
      <c r="P97" t="s">
        <v>92</v>
      </c>
    </row>
    <row r="98" spans="10:16" x14ac:dyDescent="0.25">
      <c r="J98" t="s">
        <v>825</v>
      </c>
      <c r="K98" t="s">
        <v>93</v>
      </c>
      <c r="O98" t="s">
        <v>825</v>
      </c>
      <c r="P98" t="s">
        <v>93</v>
      </c>
    </row>
    <row r="99" spans="10:16" x14ac:dyDescent="0.25">
      <c r="J99" t="s">
        <v>825</v>
      </c>
      <c r="K99" t="s">
        <v>94</v>
      </c>
      <c r="O99" t="s">
        <v>825</v>
      </c>
      <c r="P99" t="s">
        <v>94</v>
      </c>
    </row>
    <row r="100" spans="10:16" x14ac:dyDescent="0.25">
      <c r="J100" t="s">
        <v>826</v>
      </c>
      <c r="K100" t="s">
        <v>95</v>
      </c>
      <c r="O100" t="s">
        <v>826</v>
      </c>
      <c r="P100" t="s">
        <v>95</v>
      </c>
    </row>
    <row r="101" spans="10:16" x14ac:dyDescent="0.25">
      <c r="J101" t="s">
        <v>825</v>
      </c>
      <c r="K101" t="s">
        <v>96</v>
      </c>
      <c r="O101" t="s">
        <v>825</v>
      </c>
      <c r="P101" t="s">
        <v>96</v>
      </c>
    </row>
    <row r="102" spans="10:16" x14ac:dyDescent="0.25">
      <c r="J102" t="s">
        <v>825</v>
      </c>
      <c r="K102" t="s">
        <v>97</v>
      </c>
      <c r="O102" t="s">
        <v>825</v>
      </c>
      <c r="P102" t="s">
        <v>97</v>
      </c>
    </row>
    <row r="103" spans="10:16" x14ac:dyDescent="0.25">
      <c r="J103" t="s">
        <v>825</v>
      </c>
      <c r="K103" t="s">
        <v>98</v>
      </c>
      <c r="O103" t="s">
        <v>825</v>
      </c>
      <c r="P103" t="s">
        <v>98</v>
      </c>
    </row>
    <row r="104" spans="10:16" x14ac:dyDescent="0.25">
      <c r="J104" t="s">
        <v>825</v>
      </c>
      <c r="K104" t="s">
        <v>99</v>
      </c>
      <c r="O104" t="s">
        <v>825</v>
      </c>
      <c r="P104" t="s">
        <v>99</v>
      </c>
    </row>
    <row r="105" spans="10:16" x14ac:dyDescent="0.25">
      <c r="J105" t="s">
        <v>825</v>
      </c>
      <c r="K105" t="s">
        <v>100</v>
      </c>
      <c r="O105" t="s">
        <v>825</v>
      </c>
      <c r="P105" t="s">
        <v>100</v>
      </c>
    </row>
    <row r="106" spans="10:16" x14ac:dyDescent="0.25">
      <c r="J106" t="s">
        <v>826</v>
      </c>
      <c r="K106" t="s">
        <v>101</v>
      </c>
      <c r="O106" t="s">
        <v>826</v>
      </c>
      <c r="P106" t="s">
        <v>101</v>
      </c>
    </row>
    <row r="107" spans="10:16" x14ac:dyDescent="0.25">
      <c r="K107" t="s">
        <v>102</v>
      </c>
      <c r="O107" s="9" t="s">
        <v>832</v>
      </c>
      <c r="P107" t="s">
        <v>102</v>
      </c>
    </row>
    <row r="108" spans="10:16" x14ac:dyDescent="0.25">
      <c r="J108" t="s">
        <v>825</v>
      </c>
      <c r="K108" t="s">
        <v>103</v>
      </c>
      <c r="O108" t="s">
        <v>825</v>
      </c>
      <c r="P108" t="s">
        <v>103</v>
      </c>
    </row>
    <row r="109" spans="10:16" x14ac:dyDescent="0.25">
      <c r="J109" t="s">
        <v>825</v>
      </c>
      <c r="K109" t="s">
        <v>104</v>
      </c>
      <c r="O109" t="s">
        <v>825</v>
      </c>
      <c r="P109" t="s">
        <v>104</v>
      </c>
    </row>
    <row r="110" spans="10:16" x14ac:dyDescent="0.25">
      <c r="J110" t="s">
        <v>825</v>
      </c>
      <c r="K110" t="s">
        <v>105</v>
      </c>
      <c r="O110" t="s">
        <v>825</v>
      </c>
      <c r="P110" t="s">
        <v>105</v>
      </c>
    </row>
    <row r="111" spans="10:16" x14ac:dyDescent="0.25">
      <c r="J111" t="s">
        <v>825</v>
      </c>
      <c r="K111" t="s">
        <v>106</v>
      </c>
      <c r="O111" t="s">
        <v>825</v>
      </c>
      <c r="P111" t="s">
        <v>106</v>
      </c>
    </row>
    <row r="112" spans="10:16" x14ac:dyDescent="0.25">
      <c r="J112" t="s">
        <v>825</v>
      </c>
      <c r="K112" t="s">
        <v>107</v>
      </c>
      <c r="O112" t="s">
        <v>825</v>
      </c>
      <c r="P112" t="s">
        <v>107</v>
      </c>
    </row>
    <row r="113" spans="10:16" x14ac:dyDescent="0.25">
      <c r="J113" t="s">
        <v>825</v>
      </c>
      <c r="K113" t="s">
        <v>108</v>
      </c>
      <c r="O113" t="s">
        <v>825</v>
      </c>
      <c r="P113" t="s">
        <v>108</v>
      </c>
    </row>
    <row r="114" spans="10:16" x14ac:dyDescent="0.25">
      <c r="J114" t="s">
        <v>827</v>
      </c>
      <c r="K114" t="s">
        <v>109</v>
      </c>
      <c r="O114" t="s">
        <v>827</v>
      </c>
      <c r="P114" t="s">
        <v>109</v>
      </c>
    </row>
    <row r="115" spans="10:16" x14ac:dyDescent="0.25">
      <c r="J115" t="s">
        <v>828</v>
      </c>
      <c r="K115" t="s">
        <v>110</v>
      </c>
      <c r="O115" t="s">
        <v>828</v>
      </c>
      <c r="P115" t="s">
        <v>110</v>
      </c>
    </row>
    <row r="116" spans="10:16" x14ac:dyDescent="0.25">
      <c r="J116" t="s">
        <v>825</v>
      </c>
      <c r="K116" t="s">
        <v>111</v>
      </c>
      <c r="O116" t="s">
        <v>825</v>
      </c>
      <c r="P116" t="s">
        <v>111</v>
      </c>
    </row>
    <row r="117" spans="10:16" x14ac:dyDescent="0.25">
      <c r="J117" t="s">
        <v>829</v>
      </c>
      <c r="K117" t="s">
        <v>112</v>
      </c>
      <c r="O117" t="s">
        <v>829</v>
      </c>
      <c r="P117" t="s">
        <v>112</v>
      </c>
    </row>
    <row r="118" spans="10:16" x14ac:dyDescent="0.25">
      <c r="J118" t="s">
        <v>825</v>
      </c>
      <c r="K118" t="s">
        <v>113</v>
      </c>
      <c r="O118" t="s">
        <v>825</v>
      </c>
      <c r="P118" t="s">
        <v>113</v>
      </c>
    </row>
    <row r="119" spans="10:16" x14ac:dyDescent="0.25">
      <c r="J119" t="s">
        <v>825</v>
      </c>
      <c r="K119" t="s">
        <v>114</v>
      </c>
      <c r="O119" t="s">
        <v>825</v>
      </c>
      <c r="P119" t="s">
        <v>114</v>
      </c>
    </row>
    <row r="120" spans="10:16" x14ac:dyDescent="0.25">
      <c r="K120" t="s">
        <v>115</v>
      </c>
      <c r="O120" s="9" t="s">
        <v>832</v>
      </c>
      <c r="P120" t="s">
        <v>115</v>
      </c>
    </row>
    <row r="121" spans="10:16" x14ac:dyDescent="0.25">
      <c r="J121" t="s">
        <v>825</v>
      </c>
      <c r="K121" t="s">
        <v>116</v>
      </c>
      <c r="O121" t="s">
        <v>825</v>
      </c>
      <c r="P121" t="s">
        <v>116</v>
      </c>
    </row>
    <row r="122" spans="10:16" x14ac:dyDescent="0.25">
      <c r="J122" t="s">
        <v>825</v>
      </c>
      <c r="K122" t="s">
        <v>117</v>
      </c>
      <c r="O122" t="s">
        <v>825</v>
      </c>
      <c r="P122" t="s">
        <v>117</v>
      </c>
    </row>
    <row r="123" spans="10:16" x14ac:dyDescent="0.25">
      <c r="J123" t="s">
        <v>825</v>
      </c>
      <c r="K123" t="s">
        <v>118</v>
      </c>
      <c r="O123" t="s">
        <v>825</v>
      </c>
      <c r="P123" t="s">
        <v>118</v>
      </c>
    </row>
    <row r="124" spans="10:16" x14ac:dyDescent="0.25">
      <c r="J124" t="s">
        <v>825</v>
      </c>
      <c r="K124" t="s">
        <v>119</v>
      </c>
      <c r="O124" t="s">
        <v>825</v>
      </c>
      <c r="P124" t="s">
        <v>119</v>
      </c>
    </row>
    <row r="125" spans="10:16" x14ac:dyDescent="0.25">
      <c r="J125" t="s">
        <v>825</v>
      </c>
      <c r="K125" t="s">
        <v>120</v>
      </c>
      <c r="O125" t="s">
        <v>825</v>
      </c>
      <c r="P125" t="s">
        <v>120</v>
      </c>
    </row>
    <row r="126" spans="10:16" x14ac:dyDescent="0.25">
      <c r="J126" t="s">
        <v>825</v>
      </c>
      <c r="K126" t="s">
        <v>121</v>
      </c>
      <c r="O126" t="s">
        <v>825</v>
      </c>
      <c r="P126" t="s">
        <v>121</v>
      </c>
    </row>
    <row r="127" spans="10:16" x14ac:dyDescent="0.25">
      <c r="J127" t="s">
        <v>825</v>
      </c>
      <c r="K127" t="s">
        <v>122</v>
      </c>
      <c r="O127" t="s">
        <v>825</v>
      </c>
      <c r="P127" t="s">
        <v>122</v>
      </c>
    </row>
    <row r="128" spans="10:16" x14ac:dyDescent="0.25">
      <c r="J128" t="s">
        <v>825</v>
      </c>
      <c r="K128" t="s">
        <v>123</v>
      </c>
      <c r="O128" t="s">
        <v>825</v>
      </c>
      <c r="P128" t="s">
        <v>123</v>
      </c>
    </row>
    <row r="129" spans="10:16" x14ac:dyDescent="0.25">
      <c r="J129" t="s">
        <v>830</v>
      </c>
      <c r="K129" t="s">
        <v>124</v>
      </c>
      <c r="O129" s="9" t="s">
        <v>830</v>
      </c>
      <c r="P129" t="s">
        <v>124</v>
      </c>
    </row>
    <row r="130" spans="10:16" x14ac:dyDescent="0.25">
      <c r="K130" t="s">
        <v>125</v>
      </c>
      <c r="O130" s="9" t="s">
        <v>832</v>
      </c>
      <c r="P130" t="s">
        <v>125</v>
      </c>
    </row>
    <row r="131" spans="10:16" x14ac:dyDescent="0.25">
      <c r="J131" t="s">
        <v>825</v>
      </c>
      <c r="K131" t="s">
        <v>126</v>
      </c>
      <c r="O131" t="s">
        <v>825</v>
      </c>
      <c r="P131" t="s">
        <v>126</v>
      </c>
    </row>
    <row r="132" spans="10:16" x14ac:dyDescent="0.25">
      <c r="J132" t="s">
        <v>825</v>
      </c>
      <c r="K132" t="s">
        <v>127</v>
      </c>
      <c r="O132" t="s">
        <v>825</v>
      </c>
      <c r="P132" t="s">
        <v>127</v>
      </c>
    </row>
    <row r="133" spans="10:16" x14ac:dyDescent="0.25">
      <c r="J133" t="s">
        <v>825</v>
      </c>
      <c r="K133" t="s">
        <v>128</v>
      </c>
      <c r="O133" t="s">
        <v>825</v>
      </c>
      <c r="P133" t="s">
        <v>128</v>
      </c>
    </row>
    <row r="134" spans="10:16" x14ac:dyDescent="0.25">
      <c r="J134" t="s">
        <v>831</v>
      </c>
      <c r="K134" t="s">
        <v>129</v>
      </c>
      <c r="O134" s="9" t="s">
        <v>831</v>
      </c>
      <c r="P134" t="s">
        <v>129</v>
      </c>
    </row>
    <row r="135" spans="10:16" x14ac:dyDescent="0.25">
      <c r="J135" t="s">
        <v>831</v>
      </c>
      <c r="K135" t="s">
        <v>130</v>
      </c>
      <c r="O135" s="9" t="s">
        <v>831</v>
      </c>
      <c r="P135" t="s">
        <v>130</v>
      </c>
    </row>
    <row r="136" spans="10:16" x14ac:dyDescent="0.25">
      <c r="J136" t="s">
        <v>831</v>
      </c>
      <c r="K136" t="s">
        <v>131</v>
      </c>
      <c r="O136" s="9" t="s">
        <v>831</v>
      </c>
      <c r="P136" t="s">
        <v>131</v>
      </c>
    </row>
    <row r="137" spans="10:16" x14ac:dyDescent="0.25">
      <c r="J137" t="s">
        <v>831</v>
      </c>
      <c r="K137" t="s">
        <v>132</v>
      </c>
      <c r="O137" s="9" t="s">
        <v>831</v>
      </c>
      <c r="P137" t="s">
        <v>132</v>
      </c>
    </row>
    <row r="138" spans="10:16" x14ac:dyDescent="0.25">
      <c r="K138" t="s">
        <v>401</v>
      </c>
      <c r="O138" s="9" t="s">
        <v>832</v>
      </c>
      <c r="P138" t="s">
        <v>401</v>
      </c>
    </row>
    <row r="139" spans="10:16" x14ac:dyDescent="0.25">
      <c r="K139" t="s">
        <v>737</v>
      </c>
      <c r="P139" t="s">
        <v>737</v>
      </c>
    </row>
    <row r="140" spans="10:16" x14ac:dyDescent="0.25">
      <c r="K140" t="s">
        <v>738</v>
      </c>
      <c r="P140" t="s">
        <v>738</v>
      </c>
    </row>
    <row r="141" spans="10:16" x14ac:dyDescent="0.25">
      <c r="K141" t="s">
        <v>739</v>
      </c>
      <c r="P141" t="s">
        <v>739</v>
      </c>
    </row>
    <row r="142" spans="10:16" x14ac:dyDescent="0.25">
      <c r="K142" t="s">
        <v>740</v>
      </c>
      <c r="P142" t="s">
        <v>740</v>
      </c>
    </row>
    <row r="143" spans="10:16" x14ac:dyDescent="0.25">
      <c r="K143" t="s">
        <v>741</v>
      </c>
      <c r="P143" t="s">
        <v>741</v>
      </c>
    </row>
    <row r="144" spans="10:16" x14ac:dyDescent="0.25">
      <c r="K144" t="s">
        <v>742</v>
      </c>
      <c r="P144" t="s">
        <v>742</v>
      </c>
    </row>
    <row r="145" spans="11:16" x14ac:dyDescent="0.25">
      <c r="K145" t="s">
        <v>743</v>
      </c>
      <c r="P145" t="s">
        <v>743</v>
      </c>
    </row>
    <row r="146" spans="11:16" x14ac:dyDescent="0.25">
      <c r="K146" t="s">
        <v>744</v>
      </c>
      <c r="P146" t="s">
        <v>744</v>
      </c>
    </row>
    <row r="147" spans="11:16" x14ac:dyDescent="0.25">
      <c r="K147" t="s">
        <v>745</v>
      </c>
      <c r="P147" t="s">
        <v>745</v>
      </c>
    </row>
    <row r="148" spans="11:16" x14ac:dyDescent="0.25">
      <c r="K148" t="s">
        <v>746</v>
      </c>
      <c r="P148" t="s">
        <v>746</v>
      </c>
    </row>
    <row r="149" spans="11:16" x14ac:dyDescent="0.25">
      <c r="K149" t="s">
        <v>747</v>
      </c>
      <c r="P149" t="s">
        <v>747</v>
      </c>
    </row>
    <row r="150" spans="11:16" x14ac:dyDescent="0.25">
      <c r="K150" t="s">
        <v>748</v>
      </c>
      <c r="P150" t="s">
        <v>748</v>
      </c>
    </row>
    <row r="151" spans="11:16" x14ac:dyDescent="0.25">
      <c r="K151" t="s">
        <v>749</v>
      </c>
      <c r="P151" t="s">
        <v>749</v>
      </c>
    </row>
    <row r="152" spans="11:16" x14ac:dyDescent="0.25">
      <c r="P152" s="4"/>
    </row>
    <row r="153" spans="11:16" x14ac:dyDescent="0.25">
      <c r="P153" s="4"/>
    </row>
    <row r="154" spans="11:16" x14ac:dyDescent="0.25">
      <c r="P154" s="4"/>
    </row>
    <row r="155" spans="11:16" x14ac:dyDescent="0.25">
      <c r="P155" s="4"/>
    </row>
    <row r="156" spans="11:16" x14ac:dyDescent="0.25">
      <c r="P156" s="4"/>
    </row>
    <row r="157" spans="11:16" x14ac:dyDescent="0.25">
      <c r="P157" s="4"/>
    </row>
    <row r="158" spans="11:16" x14ac:dyDescent="0.25">
      <c r="P158" s="4"/>
    </row>
    <row r="159" spans="11:16" x14ac:dyDescent="0.25">
      <c r="P159" s="4"/>
    </row>
    <row r="160" spans="11:16" x14ac:dyDescent="0.25">
      <c r="P160" s="4"/>
    </row>
    <row r="161" spans="16:16" x14ac:dyDescent="0.25">
      <c r="P161" s="4"/>
    </row>
    <row r="162" spans="16:16" x14ac:dyDescent="0.25">
      <c r="P162" s="4"/>
    </row>
    <row r="163" spans="16:16" x14ac:dyDescent="0.25">
      <c r="P163" s="4"/>
    </row>
    <row r="164" spans="16:16" x14ac:dyDescent="0.25">
      <c r="P164" s="4"/>
    </row>
    <row r="165" spans="16:16" x14ac:dyDescent="0.25">
      <c r="P165" s="4"/>
    </row>
    <row r="166" spans="16:16" x14ac:dyDescent="0.25">
      <c r="P166" s="4"/>
    </row>
    <row r="167" spans="16:16" x14ac:dyDescent="0.25">
      <c r="P167" s="4"/>
    </row>
    <row r="168" spans="16:16" x14ac:dyDescent="0.25">
      <c r="P168" s="4"/>
    </row>
    <row r="169" spans="16:16" x14ac:dyDescent="0.25">
      <c r="P169" s="4"/>
    </row>
    <row r="170" spans="16:16" x14ac:dyDescent="0.25">
      <c r="P170" s="4"/>
    </row>
    <row r="171" spans="16:16" x14ac:dyDescent="0.25">
      <c r="P171" s="4"/>
    </row>
    <row r="172" spans="16:16" x14ac:dyDescent="0.25">
      <c r="P172" s="4"/>
    </row>
    <row r="173" spans="16:16" x14ac:dyDescent="0.25">
      <c r="P173" s="4"/>
    </row>
    <row r="174" spans="16:16" x14ac:dyDescent="0.25">
      <c r="P174" s="4"/>
    </row>
    <row r="175" spans="16:16" x14ac:dyDescent="0.25">
      <c r="P175" s="4"/>
    </row>
    <row r="176" spans="16:16" x14ac:dyDescent="0.25">
      <c r="P176" s="4"/>
    </row>
    <row r="177" spans="16:16" x14ac:dyDescent="0.25">
      <c r="P177" s="4"/>
    </row>
    <row r="178" spans="16:16" x14ac:dyDescent="0.25">
      <c r="P178" s="4"/>
    </row>
    <row r="179" spans="16:16" x14ac:dyDescent="0.25">
      <c r="P179" s="4"/>
    </row>
    <row r="180" spans="16:16" x14ac:dyDescent="0.25">
      <c r="P180" s="4"/>
    </row>
    <row r="181" spans="16:16" x14ac:dyDescent="0.25">
      <c r="P181" s="4"/>
    </row>
    <row r="182" spans="16:16" x14ac:dyDescent="0.25">
      <c r="P182" s="4"/>
    </row>
    <row r="183" spans="16:16" x14ac:dyDescent="0.25">
      <c r="P183" s="4"/>
    </row>
    <row r="184" spans="16:16" x14ac:dyDescent="0.25">
      <c r="P184" s="4"/>
    </row>
    <row r="185" spans="16:16" x14ac:dyDescent="0.25">
      <c r="P185" s="4"/>
    </row>
    <row r="186" spans="16:16" x14ac:dyDescent="0.25">
      <c r="P186" s="4"/>
    </row>
    <row r="187" spans="16:16" x14ac:dyDescent="0.25">
      <c r="P187" s="4"/>
    </row>
    <row r="188" spans="16:16" x14ac:dyDescent="0.25">
      <c r="P188" s="4"/>
    </row>
    <row r="189" spans="16:16" x14ac:dyDescent="0.25">
      <c r="P189" s="4"/>
    </row>
    <row r="190" spans="16:16" x14ac:dyDescent="0.25">
      <c r="P190" s="4"/>
    </row>
    <row r="191" spans="16:16" x14ac:dyDescent="0.25">
      <c r="P191" s="4"/>
    </row>
    <row r="192" spans="16:16" x14ac:dyDescent="0.25">
      <c r="P192" s="4"/>
    </row>
    <row r="193" spans="16:16" x14ac:dyDescent="0.25">
      <c r="P193" s="4"/>
    </row>
    <row r="194" spans="16:16" x14ac:dyDescent="0.25">
      <c r="P194" s="4"/>
    </row>
    <row r="195" spans="16:16" x14ac:dyDescent="0.25">
      <c r="P195" s="4"/>
    </row>
    <row r="196" spans="16:16" x14ac:dyDescent="0.25">
      <c r="P196" s="4"/>
    </row>
    <row r="197" spans="16:16" x14ac:dyDescent="0.25">
      <c r="P197" s="4"/>
    </row>
    <row r="198" spans="16:16" x14ac:dyDescent="0.25">
      <c r="P198" s="4"/>
    </row>
    <row r="199" spans="16:16" x14ac:dyDescent="0.25">
      <c r="P199" s="4"/>
    </row>
    <row r="200" spans="16:16" x14ac:dyDescent="0.25">
      <c r="P200" s="4"/>
    </row>
    <row r="201" spans="16:16" x14ac:dyDescent="0.25">
      <c r="P201" s="4"/>
    </row>
    <row r="202" spans="16:16" x14ac:dyDescent="0.25">
      <c r="P202" s="4"/>
    </row>
    <row r="203" spans="16:16" x14ac:dyDescent="0.25">
      <c r="P203" s="4"/>
    </row>
    <row r="204" spans="16:16" x14ac:dyDescent="0.25">
      <c r="P204" s="4"/>
    </row>
    <row r="205" spans="16:16" x14ac:dyDescent="0.25">
      <c r="P205" s="4"/>
    </row>
    <row r="206" spans="16:16" x14ac:dyDescent="0.25">
      <c r="P206" s="4"/>
    </row>
    <row r="207" spans="16:16" x14ac:dyDescent="0.25">
      <c r="P207" s="4"/>
    </row>
    <row r="208" spans="16:16" x14ac:dyDescent="0.25">
      <c r="P208" s="4"/>
    </row>
    <row r="209" spans="16:16" x14ac:dyDescent="0.25">
      <c r="P209" s="4"/>
    </row>
    <row r="210" spans="16:16" x14ac:dyDescent="0.25">
      <c r="P210" s="4"/>
    </row>
    <row r="211" spans="16:16" x14ac:dyDescent="0.25">
      <c r="P211" s="4"/>
    </row>
    <row r="212" spans="16:16" x14ac:dyDescent="0.25">
      <c r="P212" s="4"/>
    </row>
    <row r="213" spans="16:16" x14ac:dyDescent="0.25">
      <c r="P213" s="4"/>
    </row>
    <row r="214" spans="16:16" x14ac:dyDescent="0.25">
      <c r="P214" s="4"/>
    </row>
    <row r="215" spans="16:16" x14ac:dyDescent="0.25">
      <c r="P215" s="4"/>
    </row>
    <row r="216" spans="16:16" x14ac:dyDescent="0.25">
      <c r="P216" s="4"/>
    </row>
    <row r="217" spans="16:16" x14ac:dyDescent="0.25">
      <c r="P217" s="4"/>
    </row>
    <row r="218" spans="16:16" x14ac:dyDescent="0.25">
      <c r="P218" s="4"/>
    </row>
    <row r="219" spans="16:16" x14ac:dyDescent="0.25">
      <c r="P219" s="4"/>
    </row>
    <row r="220" spans="16:16" x14ac:dyDescent="0.25">
      <c r="P220" s="4"/>
    </row>
    <row r="221" spans="16:16" x14ac:dyDescent="0.25">
      <c r="P221" s="4"/>
    </row>
    <row r="222" spans="16:16" x14ac:dyDescent="0.25">
      <c r="P222" s="4"/>
    </row>
    <row r="223" spans="16:16" x14ac:dyDescent="0.25">
      <c r="P223" s="4"/>
    </row>
    <row r="224" spans="16:16" x14ac:dyDescent="0.25">
      <c r="P224" s="4"/>
    </row>
    <row r="225" spans="16:16" x14ac:dyDescent="0.25">
      <c r="P225" s="4"/>
    </row>
    <row r="226" spans="16:16" x14ac:dyDescent="0.25">
      <c r="P226" s="4"/>
    </row>
    <row r="227" spans="16:16" x14ac:dyDescent="0.25">
      <c r="P227" s="4"/>
    </row>
    <row r="228" spans="16:16" x14ac:dyDescent="0.25">
      <c r="P228" s="4"/>
    </row>
    <row r="229" spans="16:16" x14ac:dyDescent="0.25">
      <c r="P229" s="4"/>
    </row>
    <row r="230" spans="16:16" x14ac:dyDescent="0.25">
      <c r="P230" s="4"/>
    </row>
    <row r="231" spans="16:16" x14ac:dyDescent="0.25">
      <c r="P231" s="4"/>
    </row>
    <row r="232" spans="16:16" x14ac:dyDescent="0.25">
      <c r="P232" s="4"/>
    </row>
    <row r="233" spans="16:16" x14ac:dyDescent="0.25">
      <c r="P233" s="4"/>
    </row>
    <row r="234" spans="16:16" x14ac:dyDescent="0.25">
      <c r="P234" s="4"/>
    </row>
    <row r="235" spans="16:16" x14ac:dyDescent="0.25">
      <c r="P235" s="4"/>
    </row>
    <row r="236" spans="16:16" x14ac:dyDescent="0.25">
      <c r="P236" s="4"/>
    </row>
    <row r="237" spans="16:16" x14ac:dyDescent="0.25">
      <c r="P237" s="4"/>
    </row>
    <row r="238" spans="16:16" x14ac:dyDescent="0.25">
      <c r="P238" s="4"/>
    </row>
    <row r="239" spans="16:16" x14ac:dyDescent="0.25">
      <c r="P239" s="4"/>
    </row>
    <row r="240" spans="16:16" x14ac:dyDescent="0.25">
      <c r="P240" s="4"/>
    </row>
    <row r="241" spans="16:16" x14ac:dyDescent="0.25">
      <c r="P241" s="4"/>
    </row>
    <row r="242" spans="16:16" x14ac:dyDescent="0.25">
      <c r="P242" s="4"/>
    </row>
    <row r="243" spans="16:16" x14ac:dyDescent="0.25">
      <c r="P243" s="4"/>
    </row>
    <row r="244" spans="16:16" x14ac:dyDescent="0.25">
      <c r="P244" s="4"/>
    </row>
    <row r="245" spans="16:16" x14ac:dyDescent="0.25">
      <c r="P245" s="4"/>
    </row>
    <row r="246" spans="16:16" x14ac:dyDescent="0.25">
      <c r="P246" s="4"/>
    </row>
    <row r="247" spans="16:16" x14ac:dyDescent="0.25">
      <c r="P247" s="4"/>
    </row>
    <row r="248" spans="16:16" x14ac:dyDescent="0.25">
      <c r="P248" s="4"/>
    </row>
    <row r="249" spans="16:16" x14ac:dyDescent="0.25">
      <c r="P249" s="4"/>
    </row>
    <row r="250" spans="16:16" x14ac:dyDescent="0.25">
      <c r="P250" s="4"/>
    </row>
    <row r="251" spans="16:16" x14ac:dyDescent="0.25">
      <c r="P251" s="4"/>
    </row>
    <row r="252" spans="16:16" x14ac:dyDescent="0.25">
      <c r="P252" s="4"/>
    </row>
    <row r="253" spans="16:16" x14ac:dyDescent="0.25">
      <c r="P253" s="4"/>
    </row>
    <row r="254" spans="16:16" x14ac:dyDescent="0.25">
      <c r="P254" s="4"/>
    </row>
    <row r="255" spans="16:16" x14ac:dyDescent="0.25">
      <c r="P255" s="4"/>
    </row>
    <row r="256" spans="16:16" x14ac:dyDescent="0.25">
      <c r="P256" s="4"/>
    </row>
    <row r="257" spans="16:16" x14ac:dyDescent="0.25">
      <c r="P257" s="4"/>
    </row>
    <row r="258" spans="16:16" x14ac:dyDescent="0.25">
      <c r="P258" s="4"/>
    </row>
    <row r="259" spans="16:16" x14ac:dyDescent="0.25">
      <c r="P259" s="4"/>
    </row>
    <row r="260" spans="16:16" x14ac:dyDescent="0.25">
      <c r="P260" s="4"/>
    </row>
    <row r="261" spans="16:16" x14ac:dyDescent="0.25">
      <c r="P261" s="4"/>
    </row>
    <row r="262" spans="16:16" x14ac:dyDescent="0.25">
      <c r="P262" s="4"/>
    </row>
    <row r="263" spans="16:16" x14ac:dyDescent="0.25">
      <c r="P263" s="4"/>
    </row>
    <row r="264" spans="16:16" x14ac:dyDescent="0.25">
      <c r="P264" s="4"/>
    </row>
    <row r="265" spans="16:16" x14ac:dyDescent="0.25">
      <c r="P265" s="4"/>
    </row>
    <row r="266" spans="16:16" x14ac:dyDescent="0.25">
      <c r="P266" s="4"/>
    </row>
    <row r="267" spans="16:16" x14ac:dyDescent="0.25">
      <c r="P267" s="4"/>
    </row>
    <row r="268" spans="16:16" x14ac:dyDescent="0.25">
      <c r="P268" s="4"/>
    </row>
    <row r="269" spans="16:16" x14ac:dyDescent="0.25">
      <c r="P269" s="4"/>
    </row>
    <row r="270" spans="16:16" x14ac:dyDescent="0.25">
      <c r="P270" s="4"/>
    </row>
    <row r="271" spans="16:16" x14ac:dyDescent="0.25">
      <c r="P271" s="4"/>
    </row>
    <row r="272" spans="16:16" x14ac:dyDescent="0.25">
      <c r="P272" s="4"/>
    </row>
    <row r="273" spans="16:16" x14ac:dyDescent="0.25">
      <c r="P273" s="4"/>
    </row>
    <row r="274" spans="16:16" x14ac:dyDescent="0.25">
      <c r="P274" s="4"/>
    </row>
    <row r="275" spans="16:16" x14ac:dyDescent="0.25">
      <c r="P275" s="4"/>
    </row>
    <row r="276" spans="16:16" x14ac:dyDescent="0.25">
      <c r="P276" s="4"/>
    </row>
    <row r="277" spans="16:16" x14ac:dyDescent="0.25">
      <c r="P277" s="4"/>
    </row>
    <row r="278" spans="16:16" x14ac:dyDescent="0.25">
      <c r="P278" s="4"/>
    </row>
    <row r="279" spans="16:16" x14ac:dyDescent="0.25">
      <c r="P279" s="4"/>
    </row>
    <row r="280" spans="16:16" x14ac:dyDescent="0.25">
      <c r="P280" s="4"/>
    </row>
    <row r="281" spans="16:16" x14ac:dyDescent="0.25">
      <c r="P281" s="4"/>
    </row>
    <row r="282" spans="16:16" x14ac:dyDescent="0.25">
      <c r="P282" s="4"/>
    </row>
    <row r="283" spans="16:16" x14ac:dyDescent="0.25">
      <c r="P283" s="4"/>
    </row>
    <row r="284" spans="16:16" x14ac:dyDescent="0.25">
      <c r="P284" s="4"/>
    </row>
    <row r="285" spans="16:16" x14ac:dyDescent="0.25">
      <c r="P285" s="4"/>
    </row>
    <row r="286" spans="16:16" x14ac:dyDescent="0.25">
      <c r="P286" s="4"/>
    </row>
    <row r="287" spans="16:16" x14ac:dyDescent="0.25">
      <c r="P287" s="4"/>
    </row>
    <row r="288" spans="16:16" x14ac:dyDescent="0.25">
      <c r="P288" s="4"/>
    </row>
    <row r="289" spans="16:16" x14ac:dyDescent="0.25">
      <c r="P289" s="4"/>
    </row>
    <row r="290" spans="16:16" x14ac:dyDescent="0.25">
      <c r="P290" s="4"/>
    </row>
    <row r="291" spans="16:16" x14ac:dyDescent="0.25">
      <c r="P291" s="4"/>
    </row>
    <row r="292" spans="16:16" x14ac:dyDescent="0.25">
      <c r="P292" s="4"/>
    </row>
    <row r="293" spans="16:16" x14ac:dyDescent="0.25">
      <c r="P293" s="4"/>
    </row>
    <row r="294" spans="16:16" x14ac:dyDescent="0.25">
      <c r="P294" s="4"/>
    </row>
    <row r="295" spans="16:16" x14ac:dyDescent="0.25">
      <c r="P295" s="4"/>
    </row>
    <row r="296" spans="16:16" x14ac:dyDescent="0.25">
      <c r="P296" s="4"/>
    </row>
    <row r="297" spans="16:16" x14ac:dyDescent="0.25">
      <c r="P297" s="4"/>
    </row>
    <row r="298" spans="16:16" x14ac:dyDescent="0.25">
      <c r="P298" s="4"/>
    </row>
    <row r="299" spans="16:16" x14ac:dyDescent="0.25">
      <c r="P299" s="4"/>
    </row>
    <row r="300" spans="16:16" x14ac:dyDescent="0.25">
      <c r="P300" s="4"/>
    </row>
    <row r="301" spans="16:16" x14ac:dyDescent="0.25">
      <c r="P301" s="4"/>
    </row>
    <row r="302" spans="16:16" x14ac:dyDescent="0.25">
      <c r="P302" s="4"/>
    </row>
    <row r="303" spans="16:16" x14ac:dyDescent="0.25">
      <c r="P303" s="4"/>
    </row>
    <row r="304" spans="16:16" x14ac:dyDescent="0.25">
      <c r="P304" s="4"/>
    </row>
    <row r="305" spans="16:16" x14ac:dyDescent="0.25">
      <c r="P305" s="4"/>
    </row>
    <row r="306" spans="16:16" x14ac:dyDescent="0.25">
      <c r="P306" s="4"/>
    </row>
    <row r="307" spans="16:16" x14ac:dyDescent="0.25">
      <c r="P307" s="4"/>
    </row>
    <row r="308" spans="16:16" x14ac:dyDescent="0.25">
      <c r="P308" s="4"/>
    </row>
    <row r="309" spans="16:16" x14ac:dyDescent="0.25">
      <c r="P309" s="4"/>
    </row>
    <row r="310" spans="16:16" x14ac:dyDescent="0.25">
      <c r="P310" s="4"/>
    </row>
    <row r="311" spans="16:16" x14ac:dyDescent="0.25">
      <c r="P311" s="4"/>
    </row>
    <row r="312" spans="16:16" x14ac:dyDescent="0.25">
      <c r="P312" s="4"/>
    </row>
    <row r="313" spans="16:16" x14ac:dyDescent="0.25">
      <c r="P313" s="4"/>
    </row>
    <row r="314" spans="16:16" x14ac:dyDescent="0.25">
      <c r="P314" s="4"/>
    </row>
    <row r="315" spans="16:16" x14ac:dyDescent="0.25">
      <c r="P315" s="4"/>
    </row>
    <row r="316" spans="16:16" x14ac:dyDescent="0.25">
      <c r="P316" s="4"/>
    </row>
    <row r="317" spans="16:16" x14ac:dyDescent="0.25">
      <c r="P317" s="4"/>
    </row>
    <row r="318" spans="16:16" x14ac:dyDescent="0.25">
      <c r="P318" s="4"/>
    </row>
    <row r="319" spans="16:16" x14ac:dyDescent="0.25">
      <c r="P319" s="4"/>
    </row>
    <row r="320" spans="16:16" x14ac:dyDescent="0.25">
      <c r="P320" s="4"/>
    </row>
    <row r="321" spans="16:16" x14ac:dyDescent="0.25">
      <c r="P321" s="4"/>
    </row>
    <row r="322" spans="16:16" x14ac:dyDescent="0.25">
      <c r="P322" s="4"/>
    </row>
    <row r="323" spans="16:16" x14ac:dyDescent="0.25">
      <c r="P323" s="4"/>
    </row>
    <row r="324" spans="16:16" x14ac:dyDescent="0.25">
      <c r="P324" s="4"/>
    </row>
    <row r="325" spans="16:16" x14ac:dyDescent="0.25">
      <c r="P325" s="4"/>
    </row>
    <row r="326" spans="16:16" x14ac:dyDescent="0.25">
      <c r="P326" s="4"/>
    </row>
    <row r="327" spans="16:16" x14ac:dyDescent="0.25">
      <c r="P327" s="4"/>
    </row>
    <row r="328" spans="16:16" x14ac:dyDescent="0.25">
      <c r="P328" s="4"/>
    </row>
    <row r="329" spans="16:16" x14ac:dyDescent="0.25">
      <c r="P329" s="4"/>
    </row>
    <row r="330" spans="16:16" x14ac:dyDescent="0.25">
      <c r="P330" s="4"/>
    </row>
    <row r="331" spans="16:16" x14ac:dyDescent="0.25">
      <c r="P331" s="4"/>
    </row>
    <row r="332" spans="16:16" x14ac:dyDescent="0.25">
      <c r="P332" s="4"/>
    </row>
    <row r="333" spans="16:16" x14ac:dyDescent="0.25">
      <c r="P333" s="4"/>
    </row>
    <row r="334" spans="16:16" x14ac:dyDescent="0.25">
      <c r="P334" s="4"/>
    </row>
    <row r="335" spans="16:16" x14ac:dyDescent="0.25">
      <c r="P335" s="4"/>
    </row>
    <row r="336" spans="16:16" x14ac:dyDescent="0.25">
      <c r="P336" s="4"/>
    </row>
    <row r="337" spans="16:16" x14ac:dyDescent="0.25">
      <c r="P337" s="4"/>
    </row>
    <row r="338" spans="16:16" x14ac:dyDescent="0.25">
      <c r="P338" s="4"/>
    </row>
    <row r="339" spans="16:16" x14ac:dyDescent="0.25">
      <c r="P339" s="4"/>
    </row>
    <row r="340" spans="16:16" x14ac:dyDescent="0.25">
      <c r="P340" s="4"/>
    </row>
    <row r="341" spans="16:16" x14ac:dyDescent="0.25">
      <c r="P341" s="4"/>
    </row>
    <row r="342" spans="16:16" x14ac:dyDescent="0.25">
      <c r="P342" s="4"/>
    </row>
    <row r="343" spans="16:16" x14ac:dyDescent="0.25">
      <c r="P343" s="4"/>
    </row>
    <row r="344" spans="16:16" x14ac:dyDescent="0.25">
      <c r="P344" s="4"/>
    </row>
    <row r="345" spans="16:16" x14ac:dyDescent="0.25">
      <c r="P345" s="4"/>
    </row>
    <row r="346" spans="16:16" x14ac:dyDescent="0.25">
      <c r="P346" s="4"/>
    </row>
    <row r="347" spans="16:16" x14ac:dyDescent="0.25">
      <c r="P347" s="4"/>
    </row>
    <row r="348" spans="16:16" x14ac:dyDescent="0.25">
      <c r="P348" s="4"/>
    </row>
    <row r="349" spans="16:16" x14ac:dyDescent="0.25">
      <c r="P349" s="4"/>
    </row>
    <row r="350" spans="16:16" x14ac:dyDescent="0.25">
      <c r="P350" s="4"/>
    </row>
    <row r="351" spans="16:16" x14ac:dyDescent="0.25">
      <c r="P351" s="4"/>
    </row>
    <row r="352" spans="16:16" x14ac:dyDescent="0.25">
      <c r="P352" s="4"/>
    </row>
    <row r="353" spans="16:16" x14ac:dyDescent="0.25">
      <c r="P353" s="4"/>
    </row>
    <row r="354" spans="16:16" x14ac:dyDescent="0.25">
      <c r="P354" s="4"/>
    </row>
    <row r="355" spans="16:16" x14ac:dyDescent="0.25">
      <c r="P355" s="4"/>
    </row>
    <row r="356" spans="16:16" x14ac:dyDescent="0.25">
      <c r="P356" s="4"/>
    </row>
    <row r="357" spans="16:16" x14ac:dyDescent="0.25">
      <c r="P357" s="4"/>
    </row>
    <row r="358" spans="16:16" x14ac:dyDescent="0.25">
      <c r="P358" s="4"/>
    </row>
    <row r="359" spans="16:16" x14ac:dyDescent="0.25">
      <c r="P359" s="4"/>
    </row>
    <row r="360" spans="16:16" x14ac:dyDescent="0.25">
      <c r="P360" s="4"/>
    </row>
    <row r="361" spans="16:16" x14ac:dyDescent="0.25">
      <c r="P361" s="4"/>
    </row>
    <row r="362" spans="16:16" x14ac:dyDescent="0.25">
      <c r="P362" s="4"/>
    </row>
    <row r="363" spans="16:16" x14ac:dyDescent="0.25">
      <c r="P363" s="4"/>
    </row>
    <row r="364" spans="16:16" x14ac:dyDescent="0.25">
      <c r="P364" s="4"/>
    </row>
    <row r="365" spans="16:16" x14ac:dyDescent="0.25">
      <c r="P365" s="4"/>
    </row>
    <row r="366" spans="16:16" x14ac:dyDescent="0.25">
      <c r="P366" s="4"/>
    </row>
    <row r="367" spans="16:16" x14ac:dyDescent="0.25">
      <c r="P367" s="4"/>
    </row>
    <row r="368" spans="16:16" x14ac:dyDescent="0.25">
      <c r="P368" s="4"/>
    </row>
    <row r="369" spans="16:16" x14ac:dyDescent="0.25">
      <c r="P369" s="4"/>
    </row>
    <row r="370" spans="16:16" x14ac:dyDescent="0.25">
      <c r="P370" s="4"/>
    </row>
    <row r="371" spans="16:16" x14ac:dyDescent="0.25">
      <c r="P371" s="4"/>
    </row>
    <row r="372" spans="16:16" x14ac:dyDescent="0.25">
      <c r="P372" s="4"/>
    </row>
    <row r="373" spans="16:16" x14ac:dyDescent="0.25">
      <c r="P373" s="4"/>
    </row>
    <row r="374" spans="16:16" x14ac:dyDescent="0.25">
      <c r="P374" s="4"/>
    </row>
    <row r="375" spans="16:16" x14ac:dyDescent="0.25">
      <c r="P375" s="4"/>
    </row>
    <row r="376" spans="16:16" x14ac:dyDescent="0.25">
      <c r="P376" s="4"/>
    </row>
    <row r="377" spans="16:16" x14ac:dyDescent="0.25">
      <c r="P377" s="4"/>
    </row>
    <row r="378" spans="16:16" x14ac:dyDescent="0.25">
      <c r="P378" s="4"/>
    </row>
    <row r="379" spans="16:16" x14ac:dyDescent="0.25">
      <c r="P379" s="4"/>
    </row>
    <row r="380" spans="16:16" x14ac:dyDescent="0.25">
      <c r="P380" s="4"/>
    </row>
    <row r="381" spans="16:16" x14ac:dyDescent="0.25">
      <c r="P381" s="4"/>
    </row>
    <row r="382" spans="16:16" x14ac:dyDescent="0.25">
      <c r="P382" s="4"/>
    </row>
    <row r="383" spans="16:16" x14ac:dyDescent="0.25">
      <c r="P383" s="4"/>
    </row>
    <row r="384" spans="16:16" x14ac:dyDescent="0.25">
      <c r="P384" s="4"/>
    </row>
    <row r="385" spans="16:16" x14ac:dyDescent="0.25">
      <c r="P385" s="4"/>
    </row>
    <row r="386" spans="16:16" x14ac:dyDescent="0.25">
      <c r="P386" s="4"/>
    </row>
    <row r="387" spans="16:16" x14ac:dyDescent="0.25">
      <c r="P387" s="4"/>
    </row>
    <row r="388" spans="16:16" x14ac:dyDescent="0.25">
      <c r="P388" s="4"/>
    </row>
    <row r="389" spans="16:16" x14ac:dyDescent="0.25">
      <c r="P389" s="4"/>
    </row>
    <row r="390" spans="16:16" x14ac:dyDescent="0.25">
      <c r="P390" s="4"/>
    </row>
    <row r="391" spans="16:16" x14ac:dyDescent="0.25">
      <c r="P391" s="4"/>
    </row>
    <row r="392" spans="16:16" x14ac:dyDescent="0.25">
      <c r="P392" s="4"/>
    </row>
    <row r="393" spans="16:16" x14ac:dyDescent="0.25">
      <c r="P393" s="4"/>
    </row>
    <row r="394" spans="16:16" x14ac:dyDescent="0.25">
      <c r="P394" s="4"/>
    </row>
    <row r="395" spans="16:16" x14ac:dyDescent="0.25">
      <c r="P395" s="4"/>
    </row>
    <row r="396" spans="16:16" x14ac:dyDescent="0.25">
      <c r="P396" s="4"/>
    </row>
    <row r="397" spans="16:16" x14ac:dyDescent="0.25">
      <c r="P397" s="4"/>
    </row>
    <row r="398" spans="16:16" x14ac:dyDescent="0.25">
      <c r="P398" s="4"/>
    </row>
    <row r="399" spans="16:16" x14ac:dyDescent="0.25">
      <c r="P399" s="4"/>
    </row>
    <row r="400" spans="16:16" x14ac:dyDescent="0.25">
      <c r="P400" s="4"/>
    </row>
    <row r="401" spans="16:16" x14ac:dyDescent="0.25">
      <c r="P401" s="4"/>
    </row>
    <row r="402" spans="16:16" x14ac:dyDescent="0.25">
      <c r="P402" s="4"/>
    </row>
    <row r="403" spans="16:16" x14ac:dyDescent="0.25">
      <c r="P403" s="4"/>
    </row>
    <row r="404" spans="16:16" x14ac:dyDescent="0.25">
      <c r="P404" s="4"/>
    </row>
    <row r="405" spans="16:16" x14ac:dyDescent="0.25">
      <c r="P405" s="4"/>
    </row>
    <row r="406" spans="16:16" x14ac:dyDescent="0.25">
      <c r="P406" s="4"/>
    </row>
    <row r="407" spans="16:16" x14ac:dyDescent="0.25">
      <c r="P407" s="4"/>
    </row>
    <row r="408" spans="16:16" x14ac:dyDescent="0.25">
      <c r="P408" s="4"/>
    </row>
    <row r="409" spans="16:16" x14ac:dyDescent="0.25">
      <c r="P409" s="4"/>
    </row>
    <row r="410" spans="16:16" x14ac:dyDescent="0.25">
      <c r="P410" s="4"/>
    </row>
    <row r="411" spans="16:16" x14ac:dyDescent="0.25">
      <c r="P411" s="4"/>
    </row>
    <row r="412" spans="16:16" x14ac:dyDescent="0.25">
      <c r="P412" s="4"/>
    </row>
    <row r="413" spans="16:16" x14ac:dyDescent="0.25">
      <c r="P413" s="4"/>
    </row>
    <row r="414" spans="16:16" x14ac:dyDescent="0.25">
      <c r="P414" s="4"/>
    </row>
    <row r="415" spans="16:16" x14ac:dyDescent="0.25">
      <c r="P415" s="4"/>
    </row>
    <row r="416" spans="16:16" x14ac:dyDescent="0.25">
      <c r="P416" s="4"/>
    </row>
    <row r="417" spans="16:16" x14ac:dyDescent="0.25">
      <c r="P417" s="4"/>
    </row>
    <row r="418" spans="16:16" x14ac:dyDescent="0.25">
      <c r="P418" s="4"/>
    </row>
    <row r="419" spans="16:16" x14ac:dyDescent="0.25">
      <c r="P419" s="4"/>
    </row>
    <row r="420" spans="16:16" x14ac:dyDescent="0.25">
      <c r="P420" s="4"/>
    </row>
    <row r="421" spans="16:16" x14ac:dyDescent="0.25">
      <c r="P421" s="4"/>
    </row>
    <row r="422" spans="16:16" x14ac:dyDescent="0.25">
      <c r="P422" s="4"/>
    </row>
    <row r="423" spans="16:16" x14ac:dyDescent="0.25">
      <c r="P423" s="4"/>
    </row>
    <row r="424" spans="16:16" x14ac:dyDescent="0.25">
      <c r="P424" s="4"/>
    </row>
    <row r="425" spans="16:16" x14ac:dyDescent="0.25">
      <c r="P425" s="4"/>
    </row>
    <row r="426" spans="16:16" x14ac:dyDescent="0.25">
      <c r="P426" s="4"/>
    </row>
    <row r="427" spans="16:16" x14ac:dyDescent="0.25">
      <c r="P427" s="4"/>
    </row>
    <row r="428" spans="16:16" x14ac:dyDescent="0.25">
      <c r="P428" s="4"/>
    </row>
    <row r="429" spans="16:16" x14ac:dyDescent="0.25">
      <c r="P429" s="4"/>
    </row>
    <row r="430" spans="16:16" x14ac:dyDescent="0.25">
      <c r="P430" s="4"/>
    </row>
    <row r="431" spans="16:16" x14ac:dyDescent="0.25">
      <c r="P431" s="4"/>
    </row>
    <row r="432" spans="16:16" x14ac:dyDescent="0.25">
      <c r="P432" s="4"/>
    </row>
    <row r="433" spans="16:16" x14ac:dyDescent="0.25">
      <c r="P433" s="4"/>
    </row>
    <row r="434" spans="16:16" x14ac:dyDescent="0.25">
      <c r="P434" s="4"/>
    </row>
    <row r="435" spans="16:16" x14ac:dyDescent="0.25">
      <c r="P435" s="4"/>
    </row>
    <row r="436" spans="16:16" x14ac:dyDescent="0.25">
      <c r="P436" s="4"/>
    </row>
    <row r="437" spans="16:16" x14ac:dyDescent="0.25">
      <c r="P437" s="4"/>
    </row>
    <row r="438" spans="16:16" x14ac:dyDescent="0.25">
      <c r="P438" s="4"/>
    </row>
    <row r="439" spans="16:16" x14ac:dyDescent="0.25">
      <c r="P439" s="4"/>
    </row>
    <row r="440" spans="16:16" x14ac:dyDescent="0.25">
      <c r="P440" s="4"/>
    </row>
    <row r="441" spans="16:16" x14ac:dyDescent="0.25">
      <c r="P441" s="4"/>
    </row>
    <row r="442" spans="16:16" x14ac:dyDescent="0.25">
      <c r="P442" s="4"/>
    </row>
    <row r="443" spans="16:16" x14ac:dyDescent="0.25">
      <c r="P443" s="4"/>
    </row>
    <row r="444" spans="16:16" x14ac:dyDescent="0.25">
      <c r="P444" s="4"/>
    </row>
    <row r="445" spans="16:16" x14ac:dyDescent="0.25">
      <c r="P445" s="4"/>
    </row>
    <row r="446" spans="16:16" x14ac:dyDescent="0.25">
      <c r="P446" s="4"/>
    </row>
    <row r="447" spans="16:16" x14ac:dyDescent="0.25">
      <c r="P447" s="4"/>
    </row>
    <row r="448" spans="16:16" x14ac:dyDescent="0.25">
      <c r="P448" s="4"/>
    </row>
    <row r="449" spans="16:16" x14ac:dyDescent="0.25">
      <c r="P449" s="4"/>
    </row>
    <row r="450" spans="16:16" x14ac:dyDescent="0.25">
      <c r="P450" s="4"/>
    </row>
    <row r="451" spans="16:16" x14ac:dyDescent="0.25">
      <c r="P451" s="4"/>
    </row>
    <row r="452" spans="16:16" x14ac:dyDescent="0.25">
      <c r="P452" s="4"/>
    </row>
    <row r="453" spans="16:16" x14ac:dyDescent="0.25">
      <c r="P453" s="4"/>
    </row>
    <row r="454" spans="16:16" x14ac:dyDescent="0.25">
      <c r="P454" s="4"/>
    </row>
    <row r="455" spans="16:16" x14ac:dyDescent="0.25">
      <c r="P455" s="4"/>
    </row>
    <row r="456" spans="16:16" x14ac:dyDescent="0.25">
      <c r="P456" s="4"/>
    </row>
    <row r="457" spans="16:16" x14ac:dyDescent="0.25">
      <c r="P457" s="4"/>
    </row>
    <row r="458" spans="16:16" x14ac:dyDescent="0.25">
      <c r="P458" s="4"/>
    </row>
    <row r="459" spans="16:16" x14ac:dyDescent="0.25">
      <c r="P459" s="4"/>
    </row>
    <row r="460" spans="16:16" x14ac:dyDescent="0.25">
      <c r="P460" s="4"/>
    </row>
    <row r="461" spans="16:16" x14ac:dyDescent="0.25">
      <c r="P461" s="4"/>
    </row>
    <row r="462" spans="16:16" x14ac:dyDescent="0.25">
      <c r="P462" s="4"/>
    </row>
    <row r="463" spans="16:16" x14ac:dyDescent="0.25">
      <c r="P463" s="4"/>
    </row>
    <row r="464" spans="16:16" x14ac:dyDescent="0.25">
      <c r="P464" s="4"/>
    </row>
    <row r="465" spans="16:16" x14ac:dyDescent="0.25">
      <c r="P465" s="4"/>
    </row>
    <row r="466" spans="16:16" x14ac:dyDescent="0.25">
      <c r="P466" s="4"/>
    </row>
    <row r="467" spans="16:16" x14ac:dyDescent="0.25">
      <c r="P467" s="4"/>
    </row>
    <row r="468" spans="16:16" x14ac:dyDescent="0.25">
      <c r="P468" s="4"/>
    </row>
    <row r="469" spans="16:16" x14ac:dyDescent="0.25">
      <c r="P469" s="4"/>
    </row>
    <row r="470" spans="16:16" x14ac:dyDescent="0.25">
      <c r="P470" s="4"/>
    </row>
    <row r="471" spans="16:16" x14ac:dyDescent="0.25">
      <c r="P471" s="4"/>
    </row>
    <row r="472" spans="16:16" x14ac:dyDescent="0.25">
      <c r="P472" s="4"/>
    </row>
    <row r="473" spans="16:16" x14ac:dyDescent="0.25">
      <c r="P473" s="4"/>
    </row>
    <row r="474" spans="16:16" x14ac:dyDescent="0.25">
      <c r="P474" s="4"/>
    </row>
    <row r="475" spans="16:16" x14ac:dyDescent="0.25">
      <c r="P475" s="4"/>
    </row>
    <row r="476" spans="16:16" x14ac:dyDescent="0.25">
      <c r="P476" s="4"/>
    </row>
    <row r="477" spans="16:16" x14ac:dyDescent="0.25">
      <c r="P477" s="4"/>
    </row>
    <row r="478" spans="16:16" x14ac:dyDescent="0.25">
      <c r="P478" s="4"/>
    </row>
    <row r="479" spans="16:16" x14ac:dyDescent="0.25">
      <c r="P479" s="4"/>
    </row>
    <row r="480" spans="16:16" x14ac:dyDescent="0.25">
      <c r="P480" s="4"/>
    </row>
    <row r="481" spans="16:16" x14ac:dyDescent="0.25">
      <c r="P481" s="4"/>
    </row>
    <row r="482" spans="16:16" x14ac:dyDescent="0.25">
      <c r="P482" s="4"/>
    </row>
    <row r="483" spans="16:16" x14ac:dyDescent="0.25">
      <c r="P483" s="4"/>
    </row>
    <row r="484" spans="16:16" x14ac:dyDescent="0.25">
      <c r="P484" s="4"/>
    </row>
    <row r="485" spans="16:16" x14ac:dyDescent="0.25">
      <c r="P485" s="4"/>
    </row>
    <row r="486" spans="16:16" x14ac:dyDescent="0.25">
      <c r="P486" s="4"/>
    </row>
    <row r="487" spans="16:16" x14ac:dyDescent="0.25">
      <c r="P487" s="4"/>
    </row>
    <row r="488" spans="16:16" x14ac:dyDescent="0.25">
      <c r="P488" s="4"/>
    </row>
    <row r="489" spans="16:16" x14ac:dyDescent="0.25">
      <c r="P489" s="4"/>
    </row>
    <row r="490" spans="16:16" x14ac:dyDescent="0.25">
      <c r="P490" s="4"/>
    </row>
    <row r="491" spans="16:16" x14ac:dyDescent="0.25">
      <c r="P491" s="4"/>
    </row>
    <row r="492" spans="16:16" x14ac:dyDescent="0.25">
      <c r="P492" s="4"/>
    </row>
    <row r="493" spans="16:16" x14ac:dyDescent="0.25">
      <c r="P493" s="4"/>
    </row>
    <row r="494" spans="16:16" x14ac:dyDescent="0.25">
      <c r="P494" s="4"/>
    </row>
    <row r="495" spans="16:16" x14ac:dyDescent="0.25">
      <c r="P495" s="4"/>
    </row>
    <row r="496" spans="16:16" x14ac:dyDescent="0.25">
      <c r="P496" s="4"/>
    </row>
    <row r="497" spans="16:16" x14ac:dyDescent="0.25">
      <c r="P497" s="4"/>
    </row>
    <row r="498" spans="16:16" x14ac:dyDescent="0.25">
      <c r="P498" s="4"/>
    </row>
    <row r="499" spans="16:16" x14ac:dyDescent="0.25">
      <c r="P499" s="4"/>
    </row>
    <row r="500" spans="16:16" x14ac:dyDescent="0.25">
      <c r="P500" s="4"/>
    </row>
    <row r="501" spans="16:16" x14ac:dyDescent="0.25">
      <c r="P501" s="4"/>
    </row>
    <row r="502" spans="16:16" x14ac:dyDescent="0.25">
      <c r="P502" s="4"/>
    </row>
    <row r="503" spans="16:16" x14ac:dyDescent="0.25">
      <c r="P503" s="4"/>
    </row>
    <row r="504" spans="16:16" x14ac:dyDescent="0.25">
      <c r="P504" s="4"/>
    </row>
    <row r="505" spans="16:16" x14ac:dyDescent="0.25">
      <c r="P505" s="4"/>
    </row>
    <row r="506" spans="16:16" x14ac:dyDescent="0.25">
      <c r="P506" s="4"/>
    </row>
    <row r="507" spans="16:16" x14ac:dyDescent="0.25">
      <c r="P507" s="4"/>
    </row>
    <row r="508" spans="16:16" x14ac:dyDescent="0.25">
      <c r="P508" s="4"/>
    </row>
    <row r="509" spans="16:16" x14ac:dyDescent="0.25">
      <c r="P509" s="4"/>
    </row>
    <row r="510" spans="16:16" x14ac:dyDescent="0.25">
      <c r="P510" s="4"/>
    </row>
    <row r="511" spans="16:16" x14ac:dyDescent="0.25">
      <c r="P511" s="4"/>
    </row>
    <row r="512" spans="16:16" x14ac:dyDescent="0.25">
      <c r="P512" s="4"/>
    </row>
    <row r="513" spans="16:16" x14ac:dyDescent="0.25">
      <c r="P513" s="4"/>
    </row>
    <row r="514" spans="16:16" x14ac:dyDescent="0.25">
      <c r="P514" s="4"/>
    </row>
    <row r="515" spans="16:16" x14ac:dyDescent="0.25">
      <c r="P515" s="4"/>
    </row>
    <row r="516" spans="16:16" x14ac:dyDescent="0.25">
      <c r="P516" s="4"/>
    </row>
    <row r="517" spans="16:16" x14ac:dyDescent="0.25">
      <c r="P517" s="4"/>
    </row>
    <row r="518" spans="16:16" x14ac:dyDescent="0.25">
      <c r="P518" s="4"/>
    </row>
    <row r="519" spans="16:16" x14ac:dyDescent="0.25">
      <c r="P519" s="4"/>
    </row>
    <row r="520" spans="16:16" x14ac:dyDescent="0.25">
      <c r="P520" s="4"/>
    </row>
    <row r="521" spans="16:16" x14ac:dyDescent="0.25">
      <c r="P521" s="4"/>
    </row>
    <row r="522" spans="16:16" x14ac:dyDescent="0.25">
      <c r="P522" s="4"/>
    </row>
    <row r="523" spans="16:16" x14ac:dyDescent="0.25">
      <c r="P523" s="4"/>
    </row>
    <row r="524" spans="16:16" x14ac:dyDescent="0.25">
      <c r="P524" s="4"/>
    </row>
    <row r="525" spans="16:16" x14ac:dyDescent="0.25">
      <c r="P525" s="4"/>
    </row>
    <row r="526" spans="16:16" x14ac:dyDescent="0.25">
      <c r="P526" s="4"/>
    </row>
    <row r="527" spans="16:16" x14ac:dyDescent="0.25">
      <c r="P527" s="4"/>
    </row>
    <row r="528" spans="16:16" x14ac:dyDescent="0.25">
      <c r="P528" s="4"/>
    </row>
    <row r="529" spans="16:16" x14ac:dyDescent="0.25">
      <c r="P529" s="4"/>
    </row>
    <row r="530" spans="16:16" x14ac:dyDescent="0.25">
      <c r="P530" s="4"/>
    </row>
    <row r="531" spans="16:16" x14ac:dyDescent="0.25">
      <c r="P531" s="4"/>
    </row>
    <row r="532" spans="16:16" x14ac:dyDescent="0.25">
      <c r="P532" s="4"/>
    </row>
    <row r="533" spans="16:16" x14ac:dyDescent="0.25">
      <c r="P533" s="4"/>
    </row>
    <row r="534" spans="16:16" x14ac:dyDescent="0.25">
      <c r="P534" s="4"/>
    </row>
    <row r="535" spans="16:16" x14ac:dyDescent="0.25">
      <c r="P535" s="4"/>
    </row>
    <row r="536" spans="16:16" x14ac:dyDescent="0.25">
      <c r="P536" s="4"/>
    </row>
    <row r="537" spans="16:16" x14ac:dyDescent="0.25">
      <c r="P537" s="4"/>
    </row>
    <row r="538" spans="16:16" x14ac:dyDescent="0.25">
      <c r="P538" s="4"/>
    </row>
    <row r="539" spans="16:16" x14ac:dyDescent="0.25">
      <c r="P539" s="4"/>
    </row>
    <row r="540" spans="16:16" x14ac:dyDescent="0.25">
      <c r="P540" s="4"/>
    </row>
    <row r="541" spans="16:16" x14ac:dyDescent="0.25">
      <c r="P541" s="4"/>
    </row>
    <row r="542" spans="16:16" x14ac:dyDescent="0.25">
      <c r="P542" s="4"/>
    </row>
    <row r="543" spans="16:16" x14ac:dyDescent="0.25">
      <c r="P543" s="4"/>
    </row>
    <row r="544" spans="16:16" x14ac:dyDescent="0.25">
      <c r="P544" s="4"/>
    </row>
    <row r="545" spans="16:16" x14ac:dyDescent="0.25">
      <c r="P545" s="4"/>
    </row>
    <row r="546" spans="16:16" x14ac:dyDescent="0.25">
      <c r="P546" s="4"/>
    </row>
    <row r="547" spans="16:16" x14ac:dyDescent="0.25">
      <c r="P547" s="4"/>
    </row>
    <row r="548" spans="16:16" x14ac:dyDescent="0.25">
      <c r="P548" s="4"/>
    </row>
    <row r="549" spans="16:16" x14ac:dyDescent="0.25">
      <c r="P549" s="4"/>
    </row>
    <row r="550" spans="16:16" x14ac:dyDescent="0.25">
      <c r="P550" s="4"/>
    </row>
    <row r="551" spans="16:16" x14ac:dyDescent="0.25">
      <c r="P551" s="4"/>
    </row>
    <row r="552" spans="16:16" x14ac:dyDescent="0.25">
      <c r="P552" s="4"/>
    </row>
    <row r="553" spans="16:16" x14ac:dyDescent="0.25">
      <c r="P553" s="4"/>
    </row>
    <row r="554" spans="16:16" x14ac:dyDescent="0.25">
      <c r="P554" s="4"/>
    </row>
    <row r="555" spans="16:16" x14ac:dyDescent="0.25">
      <c r="P555" s="4"/>
    </row>
    <row r="556" spans="16:16" x14ac:dyDescent="0.25">
      <c r="P556" s="4"/>
    </row>
    <row r="557" spans="16:16" x14ac:dyDescent="0.25">
      <c r="P557" s="4"/>
    </row>
    <row r="558" spans="16:16" x14ac:dyDescent="0.25">
      <c r="P558" s="4"/>
    </row>
    <row r="559" spans="16:16" x14ac:dyDescent="0.25">
      <c r="P559" s="4"/>
    </row>
    <row r="560" spans="16:16" x14ac:dyDescent="0.25">
      <c r="P560" s="4"/>
    </row>
    <row r="561" spans="16:16" x14ac:dyDescent="0.25">
      <c r="P561" s="4"/>
    </row>
    <row r="562" spans="16:16" x14ac:dyDescent="0.25">
      <c r="P562" s="4"/>
    </row>
    <row r="563" spans="16:16" x14ac:dyDescent="0.25">
      <c r="P563" s="4"/>
    </row>
    <row r="564" spans="16:16" x14ac:dyDescent="0.25">
      <c r="P564" s="4"/>
    </row>
    <row r="565" spans="16:16" x14ac:dyDescent="0.25">
      <c r="P565" s="4"/>
    </row>
    <row r="566" spans="16:16" x14ac:dyDescent="0.25">
      <c r="P566" s="4"/>
    </row>
    <row r="567" spans="16:16" x14ac:dyDescent="0.25">
      <c r="P567" s="4"/>
    </row>
    <row r="568" spans="16:16" x14ac:dyDescent="0.25">
      <c r="P568" s="4"/>
    </row>
    <row r="569" spans="16:16" x14ac:dyDescent="0.25">
      <c r="P569" s="4"/>
    </row>
    <row r="570" spans="16:16" x14ac:dyDescent="0.25">
      <c r="P570" s="4"/>
    </row>
    <row r="571" spans="16:16" x14ac:dyDescent="0.25">
      <c r="P571" s="4"/>
    </row>
    <row r="572" spans="16:16" x14ac:dyDescent="0.25">
      <c r="P572" s="4"/>
    </row>
    <row r="573" spans="16:16" x14ac:dyDescent="0.25">
      <c r="P573" s="4"/>
    </row>
    <row r="574" spans="16:16" x14ac:dyDescent="0.25">
      <c r="P574" s="4"/>
    </row>
    <row r="575" spans="16:16" x14ac:dyDescent="0.25">
      <c r="P575" s="4"/>
    </row>
    <row r="576" spans="16:16" x14ac:dyDescent="0.25">
      <c r="P576" s="4"/>
    </row>
    <row r="577" spans="16:16" x14ac:dyDescent="0.25">
      <c r="P577" s="4"/>
    </row>
    <row r="578" spans="16:16" x14ac:dyDescent="0.25">
      <c r="P578" s="4"/>
    </row>
    <row r="579" spans="16:16" x14ac:dyDescent="0.25">
      <c r="P579" s="4"/>
    </row>
    <row r="580" spans="16:16" x14ac:dyDescent="0.25">
      <c r="P580" s="4"/>
    </row>
    <row r="581" spans="16:16" x14ac:dyDescent="0.25">
      <c r="P581" s="4"/>
    </row>
    <row r="582" spans="16:16" x14ac:dyDescent="0.25">
      <c r="P582" s="4"/>
    </row>
    <row r="583" spans="16:16" x14ac:dyDescent="0.25">
      <c r="P583" s="4"/>
    </row>
    <row r="584" spans="16:16" x14ac:dyDescent="0.25">
      <c r="P584" s="4"/>
    </row>
    <row r="585" spans="16:16" x14ac:dyDescent="0.25">
      <c r="P585" s="4"/>
    </row>
    <row r="586" spans="16:16" x14ac:dyDescent="0.25">
      <c r="P586" s="4"/>
    </row>
    <row r="587" spans="16:16" x14ac:dyDescent="0.25">
      <c r="P587" s="4"/>
    </row>
    <row r="588" spans="16:16" x14ac:dyDescent="0.25">
      <c r="P588" s="4"/>
    </row>
    <row r="589" spans="16:16" x14ac:dyDescent="0.25">
      <c r="P589" s="4"/>
    </row>
    <row r="590" spans="16:16" x14ac:dyDescent="0.25">
      <c r="P590" s="4"/>
    </row>
    <row r="591" spans="16:16" x14ac:dyDescent="0.25">
      <c r="P591" s="4"/>
    </row>
    <row r="592" spans="16:16" x14ac:dyDescent="0.25">
      <c r="P592" s="4"/>
    </row>
    <row r="593" spans="16:16" x14ac:dyDescent="0.25">
      <c r="P593" s="4"/>
    </row>
    <row r="594" spans="16:16" x14ac:dyDescent="0.25">
      <c r="P594" s="4"/>
    </row>
    <row r="595" spans="16:16" x14ac:dyDescent="0.25">
      <c r="P595" s="4"/>
    </row>
    <row r="596" spans="16:16" x14ac:dyDescent="0.25">
      <c r="P596" s="4"/>
    </row>
    <row r="597" spans="16:16" x14ac:dyDescent="0.25">
      <c r="P597" s="4"/>
    </row>
    <row r="598" spans="16:16" x14ac:dyDescent="0.25">
      <c r="P598" s="4"/>
    </row>
    <row r="599" spans="16:16" x14ac:dyDescent="0.25">
      <c r="P599" s="4"/>
    </row>
    <row r="600" spans="16:16" x14ac:dyDescent="0.25">
      <c r="P600" s="4"/>
    </row>
    <row r="601" spans="16:16" x14ac:dyDescent="0.25">
      <c r="P601" s="4"/>
    </row>
    <row r="602" spans="16:16" x14ac:dyDescent="0.25">
      <c r="P602" s="4"/>
    </row>
    <row r="603" spans="16:16" x14ac:dyDescent="0.25">
      <c r="P603" s="4"/>
    </row>
    <row r="604" spans="16:16" x14ac:dyDescent="0.25">
      <c r="P604" s="4"/>
    </row>
    <row r="605" spans="16:16" x14ac:dyDescent="0.25">
      <c r="P605" s="4"/>
    </row>
    <row r="606" spans="16:16" x14ac:dyDescent="0.25">
      <c r="P606" s="4"/>
    </row>
    <row r="607" spans="16:16" x14ac:dyDescent="0.25">
      <c r="P607" s="4"/>
    </row>
    <row r="608" spans="16:16" x14ac:dyDescent="0.25">
      <c r="P608" s="4"/>
    </row>
    <row r="609" spans="16:16" x14ac:dyDescent="0.25">
      <c r="P609" s="4"/>
    </row>
    <row r="610" spans="16:16" x14ac:dyDescent="0.25">
      <c r="P610" s="4"/>
    </row>
    <row r="611" spans="16:16" x14ac:dyDescent="0.25">
      <c r="P611" s="4"/>
    </row>
    <row r="612" spans="16:16" x14ac:dyDescent="0.25">
      <c r="P612" s="4"/>
    </row>
    <row r="613" spans="16:16" x14ac:dyDescent="0.25">
      <c r="P613" s="4"/>
    </row>
    <row r="614" spans="16:16" x14ac:dyDescent="0.25">
      <c r="P614" s="4"/>
    </row>
    <row r="615" spans="16:16" x14ac:dyDescent="0.25">
      <c r="P615" s="4"/>
    </row>
    <row r="616" spans="16:16" x14ac:dyDescent="0.25">
      <c r="P616" s="4"/>
    </row>
    <row r="617" spans="16:16" x14ac:dyDescent="0.25">
      <c r="P617" s="4"/>
    </row>
    <row r="618" spans="16:16" x14ac:dyDescent="0.25">
      <c r="P618" s="4"/>
    </row>
    <row r="619" spans="16:16" x14ac:dyDescent="0.25">
      <c r="P619" s="4"/>
    </row>
    <row r="620" spans="16:16" x14ac:dyDescent="0.25">
      <c r="P620" s="4"/>
    </row>
    <row r="621" spans="16:16" x14ac:dyDescent="0.25">
      <c r="P621" s="4"/>
    </row>
    <row r="622" spans="16:16" x14ac:dyDescent="0.25">
      <c r="P622" s="4"/>
    </row>
    <row r="623" spans="16:16" x14ac:dyDescent="0.25">
      <c r="P623" s="4"/>
    </row>
    <row r="624" spans="16:16" x14ac:dyDescent="0.25">
      <c r="P624" s="4"/>
    </row>
    <row r="625" spans="16:16" x14ac:dyDescent="0.25">
      <c r="P625" s="4"/>
    </row>
    <row r="626" spans="16:16" x14ac:dyDescent="0.25">
      <c r="P626" s="4"/>
    </row>
    <row r="627" spans="16:16" x14ac:dyDescent="0.25">
      <c r="P627" s="4"/>
    </row>
    <row r="628" spans="16:16" x14ac:dyDescent="0.25">
      <c r="P628" s="4"/>
    </row>
    <row r="629" spans="16:16" x14ac:dyDescent="0.25">
      <c r="P629" s="4"/>
    </row>
    <row r="630" spans="16:16" x14ac:dyDescent="0.25">
      <c r="P630" s="4"/>
    </row>
    <row r="631" spans="16:16" x14ac:dyDescent="0.25">
      <c r="P631" s="4"/>
    </row>
    <row r="632" spans="16:16" x14ac:dyDescent="0.25">
      <c r="P632" s="4"/>
    </row>
    <row r="633" spans="16:16" x14ac:dyDescent="0.25">
      <c r="P633" s="4"/>
    </row>
    <row r="634" spans="16:16" x14ac:dyDescent="0.25">
      <c r="P634" s="4"/>
    </row>
    <row r="635" spans="16:16" x14ac:dyDescent="0.25">
      <c r="P635" s="4"/>
    </row>
    <row r="636" spans="16:16" x14ac:dyDescent="0.25">
      <c r="P636" s="4"/>
    </row>
    <row r="637" spans="16:16" x14ac:dyDescent="0.25">
      <c r="P637" s="4"/>
    </row>
    <row r="638" spans="16:16" x14ac:dyDescent="0.25">
      <c r="P638" s="4"/>
    </row>
    <row r="639" spans="16:16" x14ac:dyDescent="0.25">
      <c r="P639" s="4"/>
    </row>
    <row r="640" spans="16:16" x14ac:dyDescent="0.25">
      <c r="P640" s="4"/>
    </row>
    <row r="641" spans="16:16" x14ac:dyDescent="0.25">
      <c r="P641" s="4"/>
    </row>
    <row r="642" spans="16:16" x14ac:dyDescent="0.25">
      <c r="P642" s="4"/>
    </row>
    <row r="643" spans="16:16" x14ac:dyDescent="0.25">
      <c r="P643" s="4"/>
    </row>
    <row r="644" spans="16:16" x14ac:dyDescent="0.25">
      <c r="P644" s="4"/>
    </row>
    <row r="645" spans="16:16" x14ac:dyDescent="0.25">
      <c r="P645" s="4"/>
    </row>
    <row r="646" spans="16:16" x14ac:dyDescent="0.25">
      <c r="P646" s="4"/>
    </row>
    <row r="647" spans="16:16" x14ac:dyDescent="0.25">
      <c r="P647" s="4"/>
    </row>
    <row r="648" spans="16:16" x14ac:dyDescent="0.25">
      <c r="P648" s="4"/>
    </row>
    <row r="649" spans="16:16" x14ac:dyDescent="0.25">
      <c r="P649" s="4"/>
    </row>
    <row r="650" spans="16:16" x14ac:dyDescent="0.25">
      <c r="P650" s="4"/>
    </row>
    <row r="651" spans="16:16" x14ac:dyDescent="0.25">
      <c r="P651" s="4"/>
    </row>
    <row r="652" spans="16:16" x14ac:dyDescent="0.25">
      <c r="P652" s="4"/>
    </row>
    <row r="653" spans="16:16" x14ac:dyDescent="0.25">
      <c r="P653" s="4"/>
    </row>
    <row r="654" spans="16:16" x14ac:dyDescent="0.25">
      <c r="P654" s="4"/>
    </row>
    <row r="655" spans="16:16" x14ac:dyDescent="0.25">
      <c r="P655" s="4"/>
    </row>
    <row r="656" spans="16:16" x14ac:dyDescent="0.25">
      <c r="P656" s="4"/>
    </row>
    <row r="657" spans="16:16" x14ac:dyDescent="0.25">
      <c r="P657" s="4"/>
    </row>
    <row r="658" spans="16:16" x14ac:dyDescent="0.25">
      <c r="P658" s="4"/>
    </row>
    <row r="659" spans="16:16" x14ac:dyDescent="0.25">
      <c r="P659" s="4"/>
    </row>
    <row r="660" spans="16:16" x14ac:dyDescent="0.25">
      <c r="P660" s="4"/>
    </row>
    <row r="661" spans="16:16" x14ac:dyDescent="0.25">
      <c r="P661" s="4"/>
    </row>
    <row r="662" spans="16:16" x14ac:dyDescent="0.25">
      <c r="P662" s="4"/>
    </row>
    <row r="663" spans="16:16" x14ac:dyDescent="0.25">
      <c r="P663" s="4"/>
    </row>
    <row r="664" spans="16:16" x14ac:dyDescent="0.25">
      <c r="P664" s="4"/>
    </row>
    <row r="665" spans="16:16" x14ac:dyDescent="0.25">
      <c r="P665" s="4"/>
    </row>
    <row r="666" spans="16:16" x14ac:dyDescent="0.25">
      <c r="P666" s="4"/>
    </row>
    <row r="667" spans="16:16" x14ac:dyDescent="0.25">
      <c r="P667" s="4"/>
    </row>
    <row r="668" spans="16:16" x14ac:dyDescent="0.25">
      <c r="P668" s="4"/>
    </row>
    <row r="669" spans="16:16" x14ac:dyDescent="0.25">
      <c r="P669" s="4"/>
    </row>
    <row r="670" spans="16:16" x14ac:dyDescent="0.25">
      <c r="P670" s="4"/>
    </row>
    <row r="671" spans="16:16" x14ac:dyDescent="0.25">
      <c r="P671" s="4"/>
    </row>
    <row r="672" spans="16:16" x14ac:dyDescent="0.25">
      <c r="P672" s="4"/>
    </row>
    <row r="673" spans="16:16" x14ac:dyDescent="0.25">
      <c r="P673" s="4"/>
    </row>
    <row r="674" spans="16:16" x14ac:dyDescent="0.25">
      <c r="P674" s="4"/>
    </row>
    <row r="675" spans="16:16" x14ac:dyDescent="0.25">
      <c r="P675" s="4"/>
    </row>
    <row r="676" spans="16:16" x14ac:dyDescent="0.25">
      <c r="P676" s="4"/>
    </row>
    <row r="677" spans="16:16" x14ac:dyDescent="0.25">
      <c r="P677" s="4"/>
    </row>
    <row r="678" spans="16:16" x14ac:dyDescent="0.25">
      <c r="P678" s="4"/>
    </row>
    <row r="679" spans="16:16" x14ac:dyDescent="0.25">
      <c r="P679" s="4"/>
    </row>
    <row r="680" spans="16:16" x14ac:dyDescent="0.25">
      <c r="P680" s="4"/>
    </row>
    <row r="681" spans="16:16" x14ac:dyDescent="0.25">
      <c r="P681" s="4"/>
    </row>
    <row r="682" spans="16:16" x14ac:dyDescent="0.25">
      <c r="P682" s="4"/>
    </row>
    <row r="683" spans="16:16" x14ac:dyDescent="0.25">
      <c r="P683" s="4"/>
    </row>
    <row r="684" spans="16:16" x14ac:dyDescent="0.25">
      <c r="P684" s="4"/>
    </row>
    <row r="685" spans="16:16" x14ac:dyDescent="0.25">
      <c r="P685" s="4"/>
    </row>
    <row r="686" spans="16:16" x14ac:dyDescent="0.25">
      <c r="P686" s="4"/>
    </row>
    <row r="687" spans="16:16" x14ac:dyDescent="0.25">
      <c r="P687" s="4"/>
    </row>
    <row r="688" spans="16:16" x14ac:dyDescent="0.25">
      <c r="P688" s="4"/>
    </row>
    <row r="689" spans="16:16" x14ac:dyDescent="0.25">
      <c r="P689" s="4"/>
    </row>
    <row r="690" spans="16:16" x14ac:dyDescent="0.25">
      <c r="P690" s="4"/>
    </row>
    <row r="691" spans="16:16" x14ac:dyDescent="0.25">
      <c r="P691" s="4"/>
    </row>
    <row r="692" spans="16:16" x14ac:dyDescent="0.25">
      <c r="P692" s="4"/>
    </row>
    <row r="693" spans="16:16" x14ac:dyDescent="0.25">
      <c r="P693" s="4"/>
    </row>
    <row r="694" spans="16:16" x14ac:dyDescent="0.25">
      <c r="P694" s="4"/>
    </row>
    <row r="695" spans="16:16" x14ac:dyDescent="0.25">
      <c r="P695" s="4"/>
    </row>
    <row r="696" spans="16:16" x14ac:dyDescent="0.25">
      <c r="P696" s="4"/>
    </row>
    <row r="697" spans="16:16" x14ac:dyDescent="0.25">
      <c r="P697" s="4"/>
    </row>
    <row r="698" spans="16:16" x14ac:dyDescent="0.25">
      <c r="P698" s="4"/>
    </row>
    <row r="699" spans="16:16" x14ac:dyDescent="0.25">
      <c r="P699" s="4"/>
    </row>
    <row r="700" spans="16:16" x14ac:dyDescent="0.25">
      <c r="P700" s="4"/>
    </row>
    <row r="701" spans="16:16" x14ac:dyDescent="0.25">
      <c r="P701" s="4"/>
    </row>
    <row r="702" spans="16:16" x14ac:dyDescent="0.25">
      <c r="P702" s="4"/>
    </row>
    <row r="703" spans="16:16" x14ac:dyDescent="0.25">
      <c r="P703" s="4"/>
    </row>
    <row r="704" spans="16:16" x14ac:dyDescent="0.25">
      <c r="P704" s="4"/>
    </row>
    <row r="705" spans="16:16" x14ac:dyDescent="0.25">
      <c r="P705" s="4"/>
    </row>
    <row r="706" spans="16:16" x14ac:dyDescent="0.25">
      <c r="P706" s="4"/>
    </row>
    <row r="707" spans="16:16" x14ac:dyDescent="0.25">
      <c r="P707" s="4"/>
    </row>
    <row r="708" spans="16:16" x14ac:dyDescent="0.25">
      <c r="P708" s="4"/>
    </row>
    <row r="709" spans="16:16" x14ac:dyDescent="0.25">
      <c r="P709" s="4"/>
    </row>
    <row r="710" spans="16:16" x14ac:dyDescent="0.25">
      <c r="P710" s="4"/>
    </row>
    <row r="711" spans="16:16" x14ac:dyDescent="0.25">
      <c r="P711" s="4"/>
    </row>
    <row r="712" spans="16:16" x14ac:dyDescent="0.25">
      <c r="P712" s="4"/>
    </row>
    <row r="713" spans="16:16" x14ac:dyDescent="0.25">
      <c r="P713" s="4"/>
    </row>
    <row r="714" spans="16:16" x14ac:dyDescent="0.25">
      <c r="P714" s="4"/>
    </row>
    <row r="715" spans="16:16" x14ac:dyDescent="0.25">
      <c r="P715" s="4"/>
    </row>
    <row r="716" spans="16:16" x14ac:dyDescent="0.25">
      <c r="P716" s="4"/>
    </row>
    <row r="717" spans="16:16" x14ac:dyDescent="0.25">
      <c r="P717" s="4"/>
    </row>
    <row r="718" spans="16:16" x14ac:dyDescent="0.25">
      <c r="P718" s="4"/>
    </row>
    <row r="719" spans="16:16" x14ac:dyDescent="0.25">
      <c r="P719" s="4"/>
    </row>
    <row r="720" spans="16:16" x14ac:dyDescent="0.25">
      <c r="P720" s="4"/>
    </row>
    <row r="721" spans="16:16" x14ac:dyDescent="0.25">
      <c r="P721" s="4"/>
    </row>
    <row r="722" spans="16:16" x14ac:dyDescent="0.25">
      <c r="P722" s="4"/>
    </row>
    <row r="723" spans="16:16" x14ac:dyDescent="0.25">
      <c r="P723" s="4"/>
    </row>
    <row r="724" spans="16:16" x14ac:dyDescent="0.25">
      <c r="P724" s="4"/>
    </row>
    <row r="725" spans="16:16" x14ac:dyDescent="0.25">
      <c r="P725" s="4"/>
    </row>
    <row r="726" spans="16:16" x14ac:dyDescent="0.25">
      <c r="P726" s="4"/>
    </row>
    <row r="727" spans="16:16" x14ac:dyDescent="0.25">
      <c r="P727" s="4"/>
    </row>
    <row r="728" spans="16:16" x14ac:dyDescent="0.25">
      <c r="P728" s="4"/>
    </row>
    <row r="729" spans="16:16" x14ac:dyDescent="0.25">
      <c r="P729" s="4"/>
    </row>
    <row r="730" spans="16:16" x14ac:dyDescent="0.25">
      <c r="P730" s="4"/>
    </row>
    <row r="731" spans="16:16" x14ac:dyDescent="0.25">
      <c r="P731" s="4"/>
    </row>
    <row r="732" spans="16:16" x14ac:dyDescent="0.25">
      <c r="P732" s="4"/>
    </row>
    <row r="733" spans="16:16" x14ac:dyDescent="0.25">
      <c r="P733" s="4"/>
    </row>
    <row r="734" spans="16:16" x14ac:dyDescent="0.25">
      <c r="P734" s="4"/>
    </row>
    <row r="735" spans="16:16" x14ac:dyDescent="0.25">
      <c r="P735" s="4"/>
    </row>
    <row r="736" spans="16:16" x14ac:dyDescent="0.25">
      <c r="P736" s="4"/>
    </row>
    <row r="737" spans="16:16" x14ac:dyDescent="0.25">
      <c r="P737" s="4"/>
    </row>
    <row r="738" spans="16:16" x14ac:dyDescent="0.25">
      <c r="P738" s="4"/>
    </row>
    <row r="739" spans="16:16" x14ac:dyDescent="0.25">
      <c r="P739" s="4"/>
    </row>
    <row r="740" spans="16:16" x14ac:dyDescent="0.25">
      <c r="P740" s="4"/>
    </row>
    <row r="741" spans="16:16" x14ac:dyDescent="0.25">
      <c r="P741" s="4"/>
    </row>
    <row r="742" spans="16:16" x14ac:dyDescent="0.25">
      <c r="P742" s="4"/>
    </row>
    <row r="743" spans="16:16" x14ac:dyDescent="0.25">
      <c r="P743" s="4"/>
    </row>
    <row r="744" spans="16:16" x14ac:dyDescent="0.25">
      <c r="P744" s="4"/>
    </row>
    <row r="745" spans="16:16" x14ac:dyDescent="0.25">
      <c r="P745" s="4"/>
    </row>
    <row r="746" spans="16:16" x14ac:dyDescent="0.25">
      <c r="P746" s="4"/>
    </row>
    <row r="747" spans="16:16" x14ac:dyDescent="0.25">
      <c r="P747" s="4"/>
    </row>
    <row r="748" spans="16:16" x14ac:dyDescent="0.25">
      <c r="P748" s="4"/>
    </row>
    <row r="749" spans="16:16" x14ac:dyDescent="0.25">
      <c r="P749" s="4"/>
    </row>
    <row r="750" spans="16:16" x14ac:dyDescent="0.25">
      <c r="P750" s="4"/>
    </row>
    <row r="751" spans="16:16" x14ac:dyDescent="0.25">
      <c r="P751" s="4"/>
    </row>
    <row r="752" spans="16:16" x14ac:dyDescent="0.25">
      <c r="P752" s="4"/>
    </row>
    <row r="753" spans="16:16" x14ac:dyDescent="0.25">
      <c r="P753" s="4"/>
    </row>
    <row r="754" spans="16:16" x14ac:dyDescent="0.25">
      <c r="P754" s="4"/>
    </row>
    <row r="755" spans="16:16" x14ac:dyDescent="0.25">
      <c r="P755" s="4"/>
    </row>
    <row r="756" spans="16:16" x14ac:dyDescent="0.25">
      <c r="P756" s="4"/>
    </row>
    <row r="757" spans="16:16" x14ac:dyDescent="0.25">
      <c r="P757" s="4"/>
    </row>
    <row r="758" spans="16:16" x14ac:dyDescent="0.25">
      <c r="P758" s="4"/>
    </row>
    <row r="759" spans="16:16" x14ac:dyDescent="0.25">
      <c r="P759" s="4"/>
    </row>
    <row r="760" spans="16:16" x14ac:dyDescent="0.25">
      <c r="P760" s="4"/>
    </row>
    <row r="761" spans="16:16" x14ac:dyDescent="0.25">
      <c r="P761" s="4"/>
    </row>
    <row r="762" spans="16:16" x14ac:dyDescent="0.25">
      <c r="P762" s="4"/>
    </row>
    <row r="763" spans="16:16" x14ac:dyDescent="0.25">
      <c r="P763" s="4"/>
    </row>
    <row r="764" spans="16:16" x14ac:dyDescent="0.25">
      <c r="P764" s="4"/>
    </row>
    <row r="765" spans="16:16" x14ac:dyDescent="0.25">
      <c r="P765" s="4"/>
    </row>
    <row r="766" spans="16:16" x14ac:dyDescent="0.25">
      <c r="P766" s="4"/>
    </row>
    <row r="767" spans="16:16" x14ac:dyDescent="0.25">
      <c r="P767" s="4"/>
    </row>
    <row r="768" spans="16:16" x14ac:dyDescent="0.25">
      <c r="P768" s="4"/>
    </row>
    <row r="769" spans="16:16" x14ac:dyDescent="0.25">
      <c r="P769" s="4"/>
    </row>
    <row r="770" spans="16:16" x14ac:dyDescent="0.25">
      <c r="P770" s="4"/>
    </row>
    <row r="771" spans="16:16" x14ac:dyDescent="0.25">
      <c r="P771" s="4"/>
    </row>
    <row r="772" spans="16:16" x14ac:dyDescent="0.25">
      <c r="P772" s="4"/>
    </row>
    <row r="773" spans="16:16" x14ac:dyDescent="0.25">
      <c r="P773" s="4"/>
    </row>
    <row r="774" spans="16:16" x14ac:dyDescent="0.25">
      <c r="P774" s="4"/>
    </row>
    <row r="775" spans="16:16" x14ac:dyDescent="0.25">
      <c r="P775" s="4"/>
    </row>
    <row r="776" spans="16:16" x14ac:dyDescent="0.25">
      <c r="P776" s="4"/>
    </row>
    <row r="777" spans="16:16" x14ac:dyDescent="0.25">
      <c r="P777" s="4"/>
    </row>
    <row r="778" spans="16:16" x14ac:dyDescent="0.25">
      <c r="P778" s="4"/>
    </row>
    <row r="779" spans="16:16" x14ac:dyDescent="0.25">
      <c r="P779" s="4"/>
    </row>
    <row r="780" spans="16:16" x14ac:dyDescent="0.25">
      <c r="P780" s="4"/>
    </row>
    <row r="781" spans="16:16" x14ac:dyDescent="0.25">
      <c r="P781" s="4"/>
    </row>
    <row r="782" spans="16:16" x14ac:dyDescent="0.25">
      <c r="P782" s="4"/>
    </row>
    <row r="783" spans="16:16" x14ac:dyDescent="0.25">
      <c r="P783" s="4"/>
    </row>
    <row r="784" spans="16:16" x14ac:dyDescent="0.25">
      <c r="P784" s="4"/>
    </row>
    <row r="785" spans="16:16" x14ac:dyDescent="0.25">
      <c r="P785" s="4"/>
    </row>
    <row r="786" spans="16:16" x14ac:dyDescent="0.25">
      <c r="P786" s="4"/>
    </row>
    <row r="787" spans="16:16" x14ac:dyDescent="0.25">
      <c r="P787" s="4"/>
    </row>
    <row r="788" spans="16:16" x14ac:dyDescent="0.25">
      <c r="P788" s="4"/>
    </row>
    <row r="789" spans="16:16" x14ac:dyDescent="0.25">
      <c r="P789" s="4"/>
    </row>
    <row r="790" spans="16:16" x14ac:dyDescent="0.25">
      <c r="P790" s="4"/>
    </row>
    <row r="791" spans="16:16" x14ac:dyDescent="0.25">
      <c r="P791" s="4"/>
    </row>
    <row r="792" spans="16:16" x14ac:dyDescent="0.25">
      <c r="P792" s="4"/>
    </row>
    <row r="793" spans="16:16" x14ac:dyDescent="0.25">
      <c r="P793" s="4"/>
    </row>
    <row r="794" spans="16:16" x14ac:dyDescent="0.25">
      <c r="P794" s="4"/>
    </row>
    <row r="795" spans="16:16" x14ac:dyDescent="0.25">
      <c r="P795" s="4"/>
    </row>
    <row r="796" spans="16:16" x14ac:dyDescent="0.25">
      <c r="P796" s="4"/>
    </row>
    <row r="797" spans="16:16" x14ac:dyDescent="0.25">
      <c r="P797" s="4"/>
    </row>
    <row r="798" spans="16:16" x14ac:dyDescent="0.25">
      <c r="P798" s="4"/>
    </row>
    <row r="799" spans="16:16" x14ac:dyDescent="0.25">
      <c r="P799" s="4"/>
    </row>
    <row r="800" spans="16:16" x14ac:dyDescent="0.25">
      <c r="P800" s="4"/>
    </row>
    <row r="801" spans="16:16" x14ac:dyDescent="0.25">
      <c r="P801" s="4"/>
    </row>
    <row r="802" spans="16:16" x14ac:dyDescent="0.25">
      <c r="P802" s="4"/>
    </row>
    <row r="803" spans="16:16" x14ac:dyDescent="0.25">
      <c r="P803" s="4"/>
    </row>
    <row r="804" spans="16:16" x14ac:dyDescent="0.25">
      <c r="P804" s="4"/>
    </row>
    <row r="805" spans="16:16" x14ac:dyDescent="0.25">
      <c r="P805" s="4"/>
    </row>
    <row r="806" spans="16:16" x14ac:dyDescent="0.25">
      <c r="P806" s="4"/>
    </row>
    <row r="807" spans="16:16" x14ac:dyDescent="0.25">
      <c r="P807" s="4"/>
    </row>
    <row r="808" spans="16:16" x14ac:dyDescent="0.25">
      <c r="P808" s="4"/>
    </row>
    <row r="809" spans="16:16" x14ac:dyDescent="0.25">
      <c r="P809" s="4"/>
    </row>
    <row r="810" spans="16:16" x14ac:dyDescent="0.25">
      <c r="P810" s="4"/>
    </row>
    <row r="811" spans="16:16" x14ac:dyDescent="0.25">
      <c r="P811" s="4"/>
    </row>
    <row r="812" spans="16:16" x14ac:dyDescent="0.25">
      <c r="P812" s="4"/>
    </row>
    <row r="813" spans="16:16" x14ac:dyDescent="0.25">
      <c r="P813" s="4"/>
    </row>
    <row r="814" spans="16:16" x14ac:dyDescent="0.25">
      <c r="P814" s="4"/>
    </row>
    <row r="815" spans="16:16" x14ac:dyDescent="0.25">
      <c r="P815" s="4"/>
    </row>
    <row r="816" spans="16:16" x14ac:dyDescent="0.25">
      <c r="P816" s="4"/>
    </row>
    <row r="817" spans="16:16" x14ac:dyDescent="0.25">
      <c r="P817" s="4"/>
    </row>
    <row r="818" spans="16:16" x14ac:dyDescent="0.25">
      <c r="P818" s="4"/>
    </row>
    <row r="819" spans="16:16" x14ac:dyDescent="0.25">
      <c r="P819" s="4"/>
    </row>
    <row r="820" spans="16:16" x14ac:dyDescent="0.25">
      <c r="P820" s="4"/>
    </row>
    <row r="821" spans="16:16" x14ac:dyDescent="0.25">
      <c r="P821" s="4"/>
    </row>
    <row r="822" spans="16:16" x14ac:dyDescent="0.25">
      <c r="P822" s="4"/>
    </row>
    <row r="823" spans="16:16" x14ac:dyDescent="0.25">
      <c r="P823" s="4"/>
    </row>
    <row r="824" spans="16:16" x14ac:dyDescent="0.25">
      <c r="P824" s="4"/>
    </row>
    <row r="825" spans="16:16" x14ac:dyDescent="0.25">
      <c r="P825" s="4"/>
    </row>
    <row r="826" spans="16:16" x14ac:dyDescent="0.25">
      <c r="P826" s="4"/>
    </row>
    <row r="827" spans="16:16" x14ac:dyDescent="0.25">
      <c r="P827" s="4"/>
    </row>
    <row r="828" spans="16:16" x14ac:dyDescent="0.25">
      <c r="P828" s="4"/>
    </row>
    <row r="829" spans="16:16" x14ac:dyDescent="0.25">
      <c r="P829" s="4"/>
    </row>
    <row r="830" spans="16:16" x14ac:dyDescent="0.25">
      <c r="P830" s="4"/>
    </row>
    <row r="831" spans="16:16" x14ac:dyDescent="0.25">
      <c r="P831" s="4"/>
    </row>
    <row r="832" spans="16:16" x14ac:dyDescent="0.25">
      <c r="P832" s="4"/>
    </row>
    <row r="833" spans="16:16" x14ac:dyDescent="0.25">
      <c r="P833" s="4"/>
    </row>
    <row r="834" spans="16:16" x14ac:dyDescent="0.25">
      <c r="P834" s="4"/>
    </row>
    <row r="835" spans="16:16" x14ac:dyDescent="0.25">
      <c r="P835" s="4"/>
    </row>
    <row r="836" spans="16:16" x14ac:dyDescent="0.25">
      <c r="P836" s="4"/>
    </row>
    <row r="837" spans="16:16" x14ac:dyDescent="0.25">
      <c r="P837" s="4"/>
    </row>
    <row r="838" spans="16:16" x14ac:dyDescent="0.25">
      <c r="P838" s="4"/>
    </row>
    <row r="839" spans="16:16" x14ac:dyDescent="0.25">
      <c r="P839" s="4"/>
    </row>
    <row r="840" spans="16:16" x14ac:dyDescent="0.25">
      <c r="P840" s="4"/>
    </row>
    <row r="841" spans="16:16" x14ac:dyDescent="0.25">
      <c r="P841" s="4"/>
    </row>
    <row r="842" spans="16:16" x14ac:dyDescent="0.25">
      <c r="P842" s="4"/>
    </row>
    <row r="843" spans="16:16" x14ac:dyDescent="0.25">
      <c r="P843" s="4"/>
    </row>
    <row r="844" spans="16:16" x14ac:dyDescent="0.25">
      <c r="P844" s="4"/>
    </row>
    <row r="845" spans="16:16" x14ac:dyDescent="0.25">
      <c r="P845" s="4"/>
    </row>
    <row r="846" spans="16:16" x14ac:dyDescent="0.25">
      <c r="P846" s="4"/>
    </row>
    <row r="847" spans="16:16" x14ac:dyDescent="0.25">
      <c r="P847" s="4"/>
    </row>
    <row r="848" spans="16:16" x14ac:dyDescent="0.25">
      <c r="P848" s="4"/>
    </row>
    <row r="849" spans="16:16" x14ac:dyDescent="0.25">
      <c r="P849" s="4"/>
    </row>
    <row r="850" spans="16:16" x14ac:dyDescent="0.25">
      <c r="P850" s="4"/>
    </row>
    <row r="851" spans="16:16" x14ac:dyDescent="0.25">
      <c r="P851" s="4"/>
    </row>
    <row r="852" spans="16:16" x14ac:dyDescent="0.25">
      <c r="P852" s="4"/>
    </row>
    <row r="853" spans="16:16" x14ac:dyDescent="0.25">
      <c r="P853" s="4"/>
    </row>
    <row r="854" spans="16:16" x14ac:dyDescent="0.25">
      <c r="P854" s="4"/>
    </row>
    <row r="855" spans="16:16" x14ac:dyDescent="0.25">
      <c r="P855" s="4"/>
    </row>
    <row r="856" spans="16:16" x14ac:dyDescent="0.25">
      <c r="P856" s="4"/>
    </row>
    <row r="857" spans="16:16" x14ac:dyDescent="0.25">
      <c r="P857" s="4"/>
    </row>
    <row r="858" spans="16:16" x14ac:dyDescent="0.25">
      <c r="P858" s="4"/>
    </row>
    <row r="859" spans="16:16" x14ac:dyDescent="0.25">
      <c r="P859" s="4"/>
    </row>
    <row r="860" spans="16:16" x14ac:dyDescent="0.25">
      <c r="P860" s="4"/>
    </row>
    <row r="861" spans="16:16" x14ac:dyDescent="0.25">
      <c r="P861" s="4"/>
    </row>
    <row r="862" spans="16:16" x14ac:dyDescent="0.25">
      <c r="P862" s="4"/>
    </row>
    <row r="863" spans="16:16" x14ac:dyDescent="0.25">
      <c r="P863" s="4"/>
    </row>
    <row r="864" spans="16:16" x14ac:dyDescent="0.25">
      <c r="P864" s="4"/>
    </row>
    <row r="865" spans="16:16" x14ac:dyDescent="0.25">
      <c r="P865" s="4"/>
    </row>
    <row r="866" spans="16:16" x14ac:dyDescent="0.25">
      <c r="P866" s="4"/>
    </row>
    <row r="867" spans="16:16" x14ac:dyDescent="0.25">
      <c r="P867" s="4"/>
    </row>
    <row r="868" spans="16:16" x14ac:dyDescent="0.25">
      <c r="P868" s="4"/>
    </row>
    <row r="869" spans="16:16" x14ac:dyDescent="0.25">
      <c r="P869" s="4"/>
    </row>
    <row r="870" spans="16:16" x14ac:dyDescent="0.25">
      <c r="P870" s="4"/>
    </row>
    <row r="871" spans="16:16" x14ac:dyDescent="0.25">
      <c r="P871" s="4"/>
    </row>
    <row r="872" spans="16:16" x14ac:dyDescent="0.25">
      <c r="P872" s="4"/>
    </row>
    <row r="873" spans="16:16" x14ac:dyDescent="0.25">
      <c r="P873" s="4"/>
    </row>
    <row r="874" spans="16:16" x14ac:dyDescent="0.25">
      <c r="P874" s="4"/>
    </row>
    <row r="875" spans="16:16" x14ac:dyDescent="0.25">
      <c r="P875" s="4"/>
    </row>
    <row r="876" spans="16:16" x14ac:dyDescent="0.25">
      <c r="P876" s="4"/>
    </row>
    <row r="877" spans="16:16" x14ac:dyDescent="0.25">
      <c r="P877" s="4"/>
    </row>
    <row r="878" spans="16:16" x14ac:dyDescent="0.25">
      <c r="P878" s="4"/>
    </row>
    <row r="879" spans="16:16" x14ac:dyDescent="0.25">
      <c r="P879" s="4"/>
    </row>
    <row r="880" spans="16:16" x14ac:dyDescent="0.25">
      <c r="P880" s="4"/>
    </row>
    <row r="881" spans="16:16" x14ac:dyDescent="0.25">
      <c r="P881" s="4"/>
    </row>
    <row r="882" spans="16:16" x14ac:dyDescent="0.25">
      <c r="P882" s="4"/>
    </row>
    <row r="883" spans="16:16" x14ac:dyDescent="0.25">
      <c r="P883" s="4"/>
    </row>
    <row r="884" spans="16:16" x14ac:dyDescent="0.25">
      <c r="P884" s="4"/>
    </row>
    <row r="885" spans="16:16" x14ac:dyDescent="0.25">
      <c r="P885" s="4"/>
    </row>
    <row r="886" spans="16:16" x14ac:dyDescent="0.25">
      <c r="P886" s="4"/>
    </row>
    <row r="887" spans="16:16" x14ac:dyDescent="0.25">
      <c r="P887" s="4"/>
    </row>
    <row r="888" spans="16:16" x14ac:dyDescent="0.25">
      <c r="P888" s="4"/>
    </row>
    <row r="889" spans="16:16" x14ac:dyDescent="0.25">
      <c r="P889" s="4"/>
    </row>
    <row r="890" spans="16:16" x14ac:dyDescent="0.25">
      <c r="P890" s="4"/>
    </row>
    <row r="891" spans="16:16" x14ac:dyDescent="0.25">
      <c r="P891" s="4"/>
    </row>
    <row r="892" spans="16:16" x14ac:dyDescent="0.25">
      <c r="P892" s="4"/>
    </row>
    <row r="893" spans="16:16" x14ac:dyDescent="0.25">
      <c r="P893" s="4"/>
    </row>
    <row r="894" spans="16:16" x14ac:dyDescent="0.25">
      <c r="P894" s="4"/>
    </row>
    <row r="895" spans="16:16" x14ac:dyDescent="0.25">
      <c r="P895" s="4"/>
    </row>
    <row r="896" spans="16:16" x14ac:dyDescent="0.25">
      <c r="P896" s="4"/>
    </row>
    <row r="897" spans="16:16" x14ac:dyDescent="0.25">
      <c r="P897" s="4"/>
    </row>
    <row r="898" spans="16:16" x14ac:dyDescent="0.25">
      <c r="P898" s="4"/>
    </row>
    <row r="899" spans="16:16" x14ac:dyDescent="0.25">
      <c r="P899" s="4"/>
    </row>
    <row r="900" spans="16:16" x14ac:dyDescent="0.25">
      <c r="P900" s="4"/>
    </row>
    <row r="901" spans="16:16" x14ac:dyDescent="0.25">
      <c r="P901" s="4"/>
    </row>
    <row r="902" spans="16:16" x14ac:dyDescent="0.25">
      <c r="P902" s="4"/>
    </row>
    <row r="903" spans="16:16" x14ac:dyDescent="0.25">
      <c r="P903" s="4"/>
    </row>
    <row r="904" spans="16:16" x14ac:dyDescent="0.25">
      <c r="P904" s="4"/>
    </row>
    <row r="905" spans="16:16" x14ac:dyDescent="0.25">
      <c r="P905" s="4"/>
    </row>
    <row r="906" spans="16:16" x14ac:dyDescent="0.25">
      <c r="P906" s="4"/>
    </row>
    <row r="907" spans="16:16" x14ac:dyDescent="0.25">
      <c r="P907" s="4"/>
    </row>
    <row r="908" spans="16:16" x14ac:dyDescent="0.25">
      <c r="P908" s="4"/>
    </row>
    <row r="909" spans="16:16" x14ac:dyDescent="0.25">
      <c r="P909" s="4"/>
    </row>
    <row r="910" spans="16:16" x14ac:dyDescent="0.25">
      <c r="P910" s="4"/>
    </row>
    <row r="911" spans="16:16" x14ac:dyDescent="0.25">
      <c r="P911" s="4"/>
    </row>
    <row r="912" spans="16:16" x14ac:dyDescent="0.25">
      <c r="P912" s="4"/>
    </row>
    <row r="913" spans="16:16" x14ac:dyDescent="0.25">
      <c r="P913" s="4"/>
    </row>
    <row r="914" spans="16:16" x14ac:dyDescent="0.25">
      <c r="P914" s="4"/>
    </row>
    <row r="915" spans="16:16" x14ac:dyDescent="0.25">
      <c r="P915" s="4"/>
    </row>
    <row r="916" spans="16:16" x14ac:dyDescent="0.25">
      <c r="P916" s="4"/>
    </row>
    <row r="917" spans="16:16" x14ac:dyDescent="0.25">
      <c r="P917" s="4"/>
    </row>
    <row r="918" spans="16:16" x14ac:dyDescent="0.25">
      <c r="P918" s="4"/>
    </row>
    <row r="919" spans="16:16" x14ac:dyDescent="0.25">
      <c r="P919" s="4"/>
    </row>
    <row r="920" spans="16:16" x14ac:dyDescent="0.25">
      <c r="P920" s="4"/>
    </row>
    <row r="921" spans="16:16" x14ac:dyDescent="0.25">
      <c r="P921" s="4"/>
    </row>
    <row r="922" spans="16:16" x14ac:dyDescent="0.25">
      <c r="P922" s="4"/>
    </row>
    <row r="923" spans="16:16" x14ac:dyDescent="0.25">
      <c r="P923" s="4"/>
    </row>
    <row r="924" spans="16:16" x14ac:dyDescent="0.25">
      <c r="P924" s="4"/>
    </row>
    <row r="925" spans="16:16" x14ac:dyDescent="0.25">
      <c r="P925" s="4"/>
    </row>
    <row r="926" spans="16:16" x14ac:dyDescent="0.25">
      <c r="P926" s="4"/>
    </row>
    <row r="927" spans="16:16" x14ac:dyDescent="0.25">
      <c r="P927" s="4"/>
    </row>
    <row r="928" spans="16:16" x14ac:dyDescent="0.25">
      <c r="P928" s="4"/>
    </row>
    <row r="929" spans="16:16" x14ac:dyDescent="0.25">
      <c r="P929" s="4"/>
    </row>
    <row r="930" spans="16:16" x14ac:dyDescent="0.25">
      <c r="P930" s="4"/>
    </row>
    <row r="931" spans="16:16" x14ac:dyDescent="0.25">
      <c r="P931" s="4"/>
    </row>
    <row r="932" spans="16:16" x14ac:dyDescent="0.25">
      <c r="P932" s="4"/>
    </row>
    <row r="933" spans="16:16" x14ac:dyDescent="0.25">
      <c r="P933" s="4"/>
    </row>
    <row r="934" spans="16:16" x14ac:dyDescent="0.25">
      <c r="P934" s="4"/>
    </row>
    <row r="935" spans="16:16" x14ac:dyDescent="0.25">
      <c r="P935" s="4"/>
    </row>
    <row r="936" spans="16:16" x14ac:dyDescent="0.25">
      <c r="P936" s="4"/>
    </row>
    <row r="937" spans="16:16" x14ac:dyDescent="0.25">
      <c r="P937" s="4"/>
    </row>
    <row r="938" spans="16:16" x14ac:dyDescent="0.25">
      <c r="P938" s="4"/>
    </row>
    <row r="939" spans="16:16" x14ac:dyDescent="0.25">
      <c r="P939" s="4"/>
    </row>
    <row r="940" spans="16:16" x14ac:dyDescent="0.25">
      <c r="P940" s="4"/>
    </row>
    <row r="941" spans="16:16" x14ac:dyDescent="0.25">
      <c r="P941" s="4"/>
    </row>
    <row r="942" spans="16:16" x14ac:dyDescent="0.25">
      <c r="P942" s="4"/>
    </row>
    <row r="943" spans="16:16" x14ac:dyDescent="0.25">
      <c r="P943" s="4"/>
    </row>
    <row r="944" spans="16:16" x14ac:dyDescent="0.25">
      <c r="P944" s="4"/>
    </row>
    <row r="945" spans="16:16" x14ac:dyDescent="0.25">
      <c r="P945" s="4"/>
    </row>
    <row r="946" spans="16:16" x14ac:dyDescent="0.25">
      <c r="P946" s="4"/>
    </row>
    <row r="947" spans="16:16" x14ac:dyDescent="0.25">
      <c r="P947" s="4"/>
    </row>
    <row r="948" spans="16:16" x14ac:dyDescent="0.25">
      <c r="P948" s="4"/>
    </row>
    <row r="949" spans="16:16" x14ac:dyDescent="0.25">
      <c r="P949" s="4"/>
    </row>
    <row r="950" spans="16:16" x14ac:dyDescent="0.25">
      <c r="P950" s="4"/>
    </row>
    <row r="951" spans="16:16" x14ac:dyDescent="0.25">
      <c r="P951" s="4"/>
    </row>
    <row r="952" spans="16:16" x14ac:dyDescent="0.25">
      <c r="P952" s="4"/>
    </row>
    <row r="953" spans="16:16" x14ac:dyDescent="0.25">
      <c r="P953" s="4"/>
    </row>
    <row r="954" spans="16:16" x14ac:dyDescent="0.25">
      <c r="P954" s="4"/>
    </row>
    <row r="955" spans="16:16" x14ac:dyDescent="0.25">
      <c r="P955" s="4"/>
    </row>
    <row r="956" spans="16:16" x14ac:dyDescent="0.25">
      <c r="P956" s="4"/>
    </row>
    <row r="957" spans="16:16" x14ac:dyDescent="0.25">
      <c r="P957" s="4"/>
    </row>
    <row r="958" spans="16:16" x14ac:dyDescent="0.25">
      <c r="P958" s="4"/>
    </row>
    <row r="959" spans="16:16" x14ac:dyDescent="0.25">
      <c r="P959" s="4"/>
    </row>
    <row r="960" spans="16:16" x14ac:dyDescent="0.25">
      <c r="P960" s="4"/>
    </row>
    <row r="961" spans="16:16" x14ac:dyDescent="0.25">
      <c r="P961" s="4"/>
    </row>
    <row r="962" spans="16:16" x14ac:dyDescent="0.25">
      <c r="P962" s="4"/>
    </row>
    <row r="963" spans="16:16" x14ac:dyDescent="0.25">
      <c r="P963" s="4"/>
    </row>
    <row r="964" spans="16:16" x14ac:dyDescent="0.25">
      <c r="P964" s="4"/>
    </row>
    <row r="965" spans="16:16" x14ac:dyDescent="0.25">
      <c r="P965" s="4"/>
    </row>
    <row r="966" spans="16:16" x14ac:dyDescent="0.25">
      <c r="P966" s="4"/>
    </row>
    <row r="967" spans="16:16" x14ac:dyDescent="0.25">
      <c r="P967" s="4"/>
    </row>
    <row r="968" spans="16:16" x14ac:dyDescent="0.25">
      <c r="P968" s="4"/>
    </row>
    <row r="969" spans="16:16" x14ac:dyDescent="0.25">
      <c r="P969" s="4"/>
    </row>
    <row r="970" spans="16:16" x14ac:dyDescent="0.25">
      <c r="P970" s="4"/>
    </row>
    <row r="971" spans="16:16" x14ac:dyDescent="0.25">
      <c r="P971" s="4"/>
    </row>
    <row r="972" spans="16:16" x14ac:dyDescent="0.25">
      <c r="P972" s="4"/>
    </row>
    <row r="973" spans="16:16" x14ac:dyDescent="0.25">
      <c r="P973" s="4"/>
    </row>
    <row r="974" spans="16:16" x14ac:dyDescent="0.25">
      <c r="P974" s="4"/>
    </row>
    <row r="975" spans="16:16" x14ac:dyDescent="0.25">
      <c r="P975" s="4"/>
    </row>
    <row r="976" spans="16:16" x14ac:dyDescent="0.25">
      <c r="P976" s="4"/>
    </row>
    <row r="977" spans="16:16" x14ac:dyDescent="0.25">
      <c r="P977" s="4"/>
    </row>
    <row r="978" spans="16:16" x14ac:dyDescent="0.25">
      <c r="P978" s="4"/>
    </row>
    <row r="979" spans="16:16" x14ac:dyDescent="0.25">
      <c r="P979" s="4"/>
    </row>
    <row r="980" spans="16:16" x14ac:dyDescent="0.25">
      <c r="P980" s="4"/>
    </row>
    <row r="981" spans="16:16" x14ac:dyDescent="0.25">
      <c r="P981" s="4"/>
    </row>
    <row r="982" spans="16:16" x14ac:dyDescent="0.25">
      <c r="P982" s="4"/>
    </row>
    <row r="983" spans="16:16" x14ac:dyDescent="0.25">
      <c r="P983" s="4"/>
    </row>
    <row r="984" spans="16:16" x14ac:dyDescent="0.25">
      <c r="P984" s="4"/>
    </row>
    <row r="985" spans="16:16" x14ac:dyDescent="0.25">
      <c r="P985" s="4"/>
    </row>
    <row r="986" spans="16:16" x14ac:dyDescent="0.25">
      <c r="P986" s="4"/>
    </row>
    <row r="987" spans="16:16" x14ac:dyDescent="0.25">
      <c r="P987" s="4"/>
    </row>
    <row r="988" spans="16:16" x14ac:dyDescent="0.25">
      <c r="P988" s="4"/>
    </row>
    <row r="989" spans="16:16" x14ac:dyDescent="0.25">
      <c r="P989" s="4"/>
    </row>
    <row r="990" spans="16:16" x14ac:dyDescent="0.25">
      <c r="P990" s="4"/>
    </row>
    <row r="991" spans="16:16" x14ac:dyDescent="0.25">
      <c r="P991" s="4"/>
    </row>
    <row r="992" spans="16:16" x14ac:dyDescent="0.25">
      <c r="P992" s="4"/>
    </row>
    <row r="993" spans="16:16" x14ac:dyDescent="0.25">
      <c r="P993" s="4"/>
    </row>
    <row r="994" spans="16:16" x14ac:dyDescent="0.25">
      <c r="P994" s="4"/>
    </row>
    <row r="995" spans="16:16" x14ac:dyDescent="0.25">
      <c r="P995" s="4"/>
    </row>
    <row r="996" spans="16:16" x14ac:dyDescent="0.25">
      <c r="P996" s="4"/>
    </row>
    <row r="997" spans="16:16" x14ac:dyDescent="0.25">
      <c r="P997" s="4"/>
    </row>
    <row r="998" spans="16:16" x14ac:dyDescent="0.25">
      <c r="P998" s="4"/>
    </row>
    <row r="999" spans="16:16" x14ac:dyDescent="0.25">
      <c r="P999" s="4"/>
    </row>
    <row r="1000" spans="16:16" x14ac:dyDescent="0.25">
      <c r="P1000" s="4"/>
    </row>
    <row r="1001" spans="16:16" x14ac:dyDescent="0.25">
      <c r="P1001" s="4"/>
    </row>
    <row r="1002" spans="16:16" x14ac:dyDescent="0.25">
      <c r="P1002" s="4"/>
    </row>
    <row r="1003" spans="16:16" x14ac:dyDescent="0.25">
      <c r="P1003" s="4"/>
    </row>
    <row r="1004" spans="16:16" x14ac:dyDescent="0.25">
      <c r="P1004" s="4"/>
    </row>
    <row r="1005" spans="16:16" x14ac:dyDescent="0.25">
      <c r="P1005" s="4"/>
    </row>
    <row r="1006" spans="16:16" x14ac:dyDescent="0.25">
      <c r="P1006" s="4"/>
    </row>
    <row r="1007" spans="16:16" x14ac:dyDescent="0.25">
      <c r="P1007" s="4"/>
    </row>
    <row r="1008" spans="16:16" x14ac:dyDescent="0.25">
      <c r="P1008" s="4"/>
    </row>
    <row r="1009" spans="16:16" x14ac:dyDescent="0.25">
      <c r="P1009" s="4"/>
    </row>
    <row r="1010" spans="16:16" x14ac:dyDescent="0.25">
      <c r="P1010" s="4"/>
    </row>
    <row r="1011" spans="16:16" x14ac:dyDescent="0.25">
      <c r="P1011" s="4"/>
    </row>
    <row r="1012" spans="16:16" x14ac:dyDescent="0.25">
      <c r="P1012" s="4"/>
    </row>
    <row r="1013" spans="16:16" x14ac:dyDescent="0.25">
      <c r="P1013" s="4"/>
    </row>
    <row r="1014" spans="16:16" x14ac:dyDescent="0.25">
      <c r="P1014" s="4"/>
    </row>
    <row r="1015" spans="16:16" x14ac:dyDescent="0.25">
      <c r="P1015" s="4"/>
    </row>
    <row r="1016" spans="16:16" x14ac:dyDescent="0.25">
      <c r="P1016" s="4"/>
    </row>
    <row r="1017" spans="16:16" x14ac:dyDescent="0.25">
      <c r="P1017" s="4"/>
    </row>
    <row r="1018" spans="16:16" x14ac:dyDescent="0.25">
      <c r="P1018" s="4"/>
    </row>
    <row r="1019" spans="16:16" x14ac:dyDescent="0.25">
      <c r="P1019" s="4"/>
    </row>
    <row r="1020" spans="16:16" x14ac:dyDescent="0.25">
      <c r="P1020" s="4"/>
    </row>
    <row r="1021" spans="16:16" x14ac:dyDescent="0.25">
      <c r="P1021" s="4"/>
    </row>
    <row r="1022" spans="16:16" x14ac:dyDescent="0.25">
      <c r="P1022" s="4"/>
    </row>
    <row r="1023" spans="16:16" x14ac:dyDescent="0.25">
      <c r="P1023" s="4"/>
    </row>
    <row r="1024" spans="16:16" x14ac:dyDescent="0.25">
      <c r="P1024" s="4"/>
    </row>
    <row r="1025" spans="16:16" x14ac:dyDescent="0.25">
      <c r="P1025" s="4"/>
    </row>
    <row r="1026" spans="16:16" x14ac:dyDescent="0.25">
      <c r="P1026" s="4"/>
    </row>
    <row r="1027" spans="16:16" x14ac:dyDescent="0.25">
      <c r="P1027" s="4"/>
    </row>
    <row r="1028" spans="16:16" x14ac:dyDescent="0.25">
      <c r="P1028" s="4"/>
    </row>
    <row r="1029" spans="16:16" x14ac:dyDescent="0.25">
      <c r="P1029" s="4"/>
    </row>
    <row r="1030" spans="16:16" x14ac:dyDescent="0.25">
      <c r="P1030" s="4"/>
    </row>
    <row r="1031" spans="16:16" x14ac:dyDescent="0.25">
      <c r="P1031" s="4"/>
    </row>
    <row r="1032" spans="16:16" x14ac:dyDescent="0.25">
      <c r="P1032" s="4"/>
    </row>
    <row r="1033" spans="16:16" x14ac:dyDescent="0.25">
      <c r="P1033" s="4"/>
    </row>
    <row r="1034" spans="16:16" x14ac:dyDescent="0.25">
      <c r="P1034" s="4"/>
    </row>
    <row r="1035" spans="16:16" x14ac:dyDescent="0.25">
      <c r="P1035" s="4"/>
    </row>
    <row r="1036" spans="16:16" x14ac:dyDescent="0.25">
      <c r="P1036" s="4"/>
    </row>
    <row r="1037" spans="16:16" x14ac:dyDescent="0.25">
      <c r="P1037" s="4"/>
    </row>
    <row r="1038" spans="16:16" x14ac:dyDescent="0.25">
      <c r="P1038" s="4"/>
    </row>
    <row r="1039" spans="16:16" x14ac:dyDescent="0.25">
      <c r="P1039" s="4"/>
    </row>
    <row r="1040" spans="16:16" x14ac:dyDescent="0.25">
      <c r="P1040" s="4"/>
    </row>
    <row r="1041" spans="16:16" x14ac:dyDescent="0.25">
      <c r="P1041" s="4"/>
    </row>
    <row r="1042" spans="16:16" x14ac:dyDescent="0.25">
      <c r="P1042" s="4"/>
    </row>
    <row r="1043" spans="16:16" x14ac:dyDescent="0.25">
      <c r="P1043" s="4"/>
    </row>
    <row r="1044" spans="16:16" x14ac:dyDescent="0.25">
      <c r="P1044" s="4"/>
    </row>
    <row r="1045" spans="16:16" x14ac:dyDescent="0.25">
      <c r="P1045" s="4"/>
    </row>
    <row r="1046" spans="16:16" x14ac:dyDescent="0.25">
      <c r="P1046" s="4"/>
    </row>
    <row r="1047" spans="16:16" x14ac:dyDescent="0.25">
      <c r="P1047" s="4"/>
    </row>
    <row r="1048" spans="16:16" x14ac:dyDescent="0.25">
      <c r="P1048" s="4"/>
    </row>
    <row r="1049" spans="16:16" x14ac:dyDescent="0.25">
      <c r="P1049" s="4"/>
    </row>
    <row r="1050" spans="16:16" x14ac:dyDescent="0.25">
      <c r="P1050" s="4"/>
    </row>
    <row r="1051" spans="16:16" x14ac:dyDescent="0.25">
      <c r="P1051" s="4"/>
    </row>
    <row r="1052" spans="16:16" x14ac:dyDescent="0.25">
      <c r="P1052" s="4"/>
    </row>
    <row r="1053" spans="16:16" x14ac:dyDescent="0.25">
      <c r="P1053" s="4"/>
    </row>
    <row r="1054" spans="16:16" x14ac:dyDescent="0.25">
      <c r="P1054" s="4"/>
    </row>
    <row r="1055" spans="16:16" x14ac:dyDescent="0.25">
      <c r="P1055" s="4"/>
    </row>
    <row r="1056" spans="16:16" x14ac:dyDescent="0.25">
      <c r="P1056" s="4"/>
    </row>
    <row r="1057" spans="16:16" x14ac:dyDescent="0.25">
      <c r="P1057" s="4"/>
    </row>
    <row r="1058" spans="16:16" x14ac:dyDescent="0.25">
      <c r="P1058" s="4"/>
    </row>
    <row r="1059" spans="16:16" x14ac:dyDescent="0.25">
      <c r="P1059" s="4"/>
    </row>
    <row r="1060" spans="16:16" x14ac:dyDescent="0.25">
      <c r="P1060" s="4"/>
    </row>
    <row r="1061" spans="16:16" x14ac:dyDescent="0.25">
      <c r="P1061" s="4"/>
    </row>
    <row r="1062" spans="16:16" x14ac:dyDescent="0.25">
      <c r="P1062" s="4"/>
    </row>
    <row r="1063" spans="16:16" x14ac:dyDescent="0.25">
      <c r="P1063" s="4"/>
    </row>
    <row r="1064" spans="16:16" x14ac:dyDescent="0.25">
      <c r="P1064" s="4"/>
    </row>
    <row r="1065" spans="16:16" x14ac:dyDescent="0.25">
      <c r="P1065" s="4"/>
    </row>
    <row r="1066" spans="16:16" x14ac:dyDescent="0.25">
      <c r="P1066" s="4"/>
    </row>
    <row r="1067" spans="16:16" x14ac:dyDescent="0.25">
      <c r="P1067" s="4"/>
    </row>
    <row r="1068" spans="16:16" x14ac:dyDescent="0.25">
      <c r="P1068" s="4"/>
    </row>
    <row r="1069" spans="16:16" x14ac:dyDescent="0.25">
      <c r="P1069" s="4"/>
    </row>
    <row r="1070" spans="16:16" x14ac:dyDescent="0.25">
      <c r="P1070" s="4"/>
    </row>
    <row r="1071" spans="16:16" x14ac:dyDescent="0.25">
      <c r="P1071" s="4"/>
    </row>
    <row r="1072" spans="16:16" x14ac:dyDescent="0.25">
      <c r="P1072" s="4"/>
    </row>
    <row r="1073" spans="16:16" x14ac:dyDescent="0.25">
      <c r="P1073" s="4"/>
    </row>
    <row r="1074" spans="16:16" x14ac:dyDescent="0.25">
      <c r="P1074" s="4"/>
    </row>
    <row r="1075" spans="16:16" x14ac:dyDescent="0.25">
      <c r="P1075" s="4"/>
    </row>
    <row r="1076" spans="16:16" x14ac:dyDescent="0.25">
      <c r="P1076" s="4"/>
    </row>
    <row r="1077" spans="16:16" x14ac:dyDescent="0.25">
      <c r="P1077" s="4"/>
    </row>
    <row r="1078" spans="16:16" x14ac:dyDescent="0.25">
      <c r="P1078" s="4"/>
    </row>
    <row r="1079" spans="16:16" x14ac:dyDescent="0.25">
      <c r="P1079" s="4"/>
    </row>
    <row r="1080" spans="16:16" x14ac:dyDescent="0.25">
      <c r="P1080" s="4"/>
    </row>
    <row r="1081" spans="16:16" x14ac:dyDescent="0.25">
      <c r="P1081" s="4"/>
    </row>
    <row r="1082" spans="16:16" x14ac:dyDescent="0.25">
      <c r="P1082" s="4"/>
    </row>
    <row r="1083" spans="16:16" x14ac:dyDescent="0.25">
      <c r="P1083" s="4"/>
    </row>
    <row r="1084" spans="16:16" x14ac:dyDescent="0.25">
      <c r="P1084" s="4"/>
    </row>
    <row r="1085" spans="16:16" x14ac:dyDescent="0.25">
      <c r="P1085" s="4"/>
    </row>
    <row r="1086" spans="16:16" x14ac:dyDescent="0.25">
      <c r="P1086" s="4"/>
    </row>
    <row r="1087" spans="16:16" x14ac:dyDescent="0.25">
      <c r="P1087" s="4"/>
    </row>
    <row r="1088" spans="16:16" x14ac:dyDescent="0.25">
      <c r="P1088" s="4"/>
    </row>
    <row r="1089" spans="16:16" x14ac:dyDescent="0.25">
      <c r="P1089" s="4"/>
    </row>
    <row r="1090" spans="16:16" x14ac:dyDescent="0.25">
      <c r="P1090" s="4"/>
    </row>
    <row r="1091" spans="16:16" x14ac:dyDescent="0.25">
      <c r="P1091" s="4"/>
    </row>
    <row r="1092" spans="16:16" x14ac:dyDescent="0.25">
      <c r="P1092" s="4"/>
    </row>
    <row r="1093" spans="16:16" x14ac:dyDescent="0.25">
      <c r="P1093" s="4"/>
    </row>
    <row r="1094" spans="16:16" x14ac:dyDescent="0.25">
      <c r="P1094" s="4"/>
    </row>
    <row r="1095" spans="16:16" x14ac:dyDescent="0.25">
      <c r="P1095" s="4"/>
    </row>
    <row r="1096" spans="16:16" x14ac:dyDescent="0.25">
      <c r="P1096" s="4"/>
    </row>
    <row r="1097" spans="16:16" x14ac:dyDescent="0.25">
      <c r="P1097" s="4"/>
    </row>
    <row r="1098" spans="16:16" x14ac:dyDescent="0.25">
      <c r="P1098" s="4"/>
    </row>
    <row r="1099" spans="16:16" x14ac:dyDescent="0.25">
      <c r="P1099" s="4"/>
    </row>
    <row r="1100" spans="16:16" x14ac:dyDescent="0.25">
      <c r="P1100" s="4"/>
    </row>
    <row r="1101" spans="16:16" x14ac:dyDescent="0.25">
      <c r="P1101" s="4"/>
    </row>
    <row r="1102" spans="16:16" x14ac:dyDescent="0.25">
      <c r="P1102" s="4"/>
    </row>
    <row r="1103" spans="16:16" x14ac:dyDescent="0.25">
      <c r="P1103" s="4"/>
    </row>
    <row r="1104" spans="16:16" x14ac:dyDescent="0.25">
      <c r="P1104" s="4"/>
    </row>
    <row r="1105" spans="16:16" x14ac:dyDescent="0.25">
      <c r="P1105" s="4"/>
    </row>
    <row r="1106" spans="16:16" x14ac:dyDescent="0.25">
      <c r="P1106" s="4"/>
    </row>
    <row r="1107" spans="16:16" x14ac:dyDescent="0.25">
      <c r="P1107" s="4"/>
    </row>
    <row r="1108" spans="16:16" x14ac:dyDescent="0.25">
      <c r="P1108" s="4"/>
    </row>
    <row r="1109" spans="16:16" x14ac:dyDescent="0.25">
      <c r="P1109" s="4"/>
    </row>
    <row r="1110" spans="16:16" x14ac:dyDescent="0.25">
      <c r="P1110" s="4"/>
    </row>
    <row r="1111" spans="16:16" x14ac:dyDescent="0.25">
      <c r="P1111" s="4"/>
    </row>
    <row r="1112" spans="16:16" x14ac:dyDescent="0.25">
      <c r="P1112" s="4"/>
    </row>
    <row r="1113" spans="16:16" x14ac:dyDescent="0.25">
      <c r="P1113" s="4"/>
    </row>
    <row r="1114" spans="16:16" x14ac:dyDescent="0.25">
      <c r="P1114" s="4"/>
    </row>
    <row r="1115" spans="16:16" x14ac:dyDescent="0.25">
      <c r="P1115" s="4"/>
    </row>
    <row r="1116" spans="16:16" x14ac:dyDescent="0.25">
      <c r="P1116" s="4"/>
    </row>
    <row r="1117" spans="16:16" x14ac:dyDescent="0.25">
      <c r="P1117" s="4"/>
    </row>
    <row r="1118" spans="16:16" x14ac:dyDescent="0.25">
      <c r="P1118" s="4"/>
    </row>
    <row r="1119" spans="16:16" x14ac:dyDescent="0.25">
      <c r="P1119" s="4"/>
    </row>
    <row r="1120" spans="16:16" x14ac:dyDescent="0.25">
      <c r="P1120" s="4"/>
    </row>
    <row r="1121" spans="16:16" x14ac:dyDescent="0.25">
      <c r="P1121" s="4"/>
    </row>
    <row r="1122" spans="16:16" x14ac:dyDescent="0.25">
      <c r="P1122" s="4"/>
    </row>
    <row r="1123" spans="16:16" x14ac:dyDescent="0.25">
      <c r="P1123" s="4"/>
    </row>
    <row r="1124" spans="16:16" x14ac:dyDescent="0.25">
      <c r="P1124" s="4"/>
    </row>
    <row r="1125" spans="16:16" x14ac:dyDescent="0.25">
      <c r="P1125" s="4"/>
    </row>
    <row r="1126" spans="16:16" x14ac:dyDescent="0.25">
      <c r="P1126" s="4"/>
    </row>
    <row r="1127" spans="16:16" x14ac:dyDescent="0.25">
      <c r="P1127" s="4"/>
    </row>
    <row r="1128" spans="16:16" x14ac:dyDescent="0.25">
      <c r="P1128" s="4"/>
    </row>
    <row r="1129" spans="16:16" x14ac:dyDescent="0.25">
      <c r="P1129" s="4"/>
    </row>
    <row r="1130" spans="16:16" x14ac:dyDescent="0.25">
      <c r="P1130" s="4"/>
    </row>
    <row r="1131" spans="16:16" x14ac:dyDescent="0.25">
      <c r="P1131" s="4"/>
    </row>
    <row r="1132" spans="16:16" x14ac:dyDescent="0.25">
      <c r="P1132" s="4"/>
    </row>
    <row r="1133" spans="16:16" x14ac:dyDescent="0.25">
      <c r="P1133" s="4"/>
    </row>
    <row r="1134" spans="16:16" x14ac:dyDescent="0.25">
      <c r="P1134" s="4"/>
    </row>
    <row r="1135" spans="16:16" x14ac:dyDescent="0.25">
      <c r="P1135" s="4"/>
    </row>
    <row r="1136" spans="16:16" x14ac:dyDescent="0.25">
      <c r="P1136" s="4"/>
    </row>
    <row r="1137" spans="16:16" x14ac:dyDescent="0.25">
      <c r="P1137" s="4"/>
    </row>
    <row r="1138" spans="16:16" x14ac:dyDescent="0.25">
      <c r="P1138" s="4"/>
    </row>
    <row r="1139" spans="16:16" x14ac:dyDescent="0.25">
      <c r="P1139" s="4"/>
    </row>
    <row r="1140" spans="16:16" x14ac:dyDescent="0.25">
      <c r="P1140" s="4"/>
    </row>
    <row r="1141" spans="16:16" x14ac:dyDescent="0.25">
      <c r="P1141" s="4"/>
    </row>
    <row r="1142" spans="16:16" x14ac:dyDescent="0.25">
      <c r="P1142" s="4"/>
    </row>
    <row r="1143" spans="16:16" x14ac:dyDescent="0.25">
      <c r="P1143" s="4"/>
    </row>
    <row r="1144" spans="16:16" x14ac:dyDescent="0.25">
      <c r="P1144" s="4"/>
    </row>
    <row r="1145" spans="16:16" x14ac:dyDescent="0.25">
      <c r="P1145" s="4"/>
    </row>
    <row r="1146" spans="16:16" x14ac:dyDescent="0.25">
      <c r="P1146" s="4"/>
    </row>
    <row r="1147" spans="16:16" x14ac:dyDescent="0.25">
      <c r="P1147" s="4"/>
    </row>
    <row r="1148" spans="16:16" x14ac:dyDescent="0.25">
      <c r="P1148" s="4"/>
    </row>
    <row r="1149" spans="16:16" x14ac:dyDescent="0.25">
      <c r="P1149" s="4"/>
    </row>
    <row r="1150" spans="16:16" x14ac:dyDescent="0.25">
      <c r="P1150" s="4"/>
    </row>
    <row r="1151" spans="16:16" x14ac:dyDescent="0.25">
      <c r="P1151" s="4"/>
    </row>
    <row r="1152" spans="16:16" x14ac:dyDescent="0.25">
      <c r="P1152" s="4"/>
    </row>
    <row r="1153" spans="16:16" x14ac:dyDescent="0.25">
      <c r="P1153" s="4"/>
    </row>
    <row r="1154" spans="16:16" x14ac:dyDescent="0.25">
      <c r="P1154" s="4"/>
    </row>
    <row r="1155" spans="16:16" x14ac:dyDescent="0.25">
      <c r="P1155" s="4"/>
    </row>
    <row r="1156" spans="16:16" x14ac:dyDescent="0.25">
      <c r="P1156" s="4"/>
    </row>
    <row r="1157" spans="16:16" x14ac:dyDescent="0.25">
      <c r="P1157" s="4"/>
    </row>
    <row r="1158" spans="16:16" x14ac:dyDescent="0.25">
      <c r="P1158" s="4"/>
    </row>
    <row r="1159" spans="16:16" x14ac:dyDescent="0.25">
      <c r="P1159" s="4"/>
    </row>
    <row r="1160" spans="16:16" x14ac:dyDescent="0.25">
      <c r="P1160" s="4"/>
    </row>
    <row r="1161" spans="16:16" x14ac:dyDescent="0.25">
      <c r="P1161" s="4"/>
    </row>
    <row r="1162" spans="16:16" x14ac:dyDescent="0.25">
      <c r="P1162" s="4"/>
    </row>
    <row r="1163" spans="16:16" x14ac:dyDescent="0.25">
      <c r="P1163" s="4"/>
    </row>
    <row r="1164" spans="16:16" x14ac:dyDescent="0.25">
      <c r="P1164" s="4"/>
    </row>
    <row r="1165" spans="16:16" x14ac:dyDescent="0.25">
      <c r="P1165" s="4"/>
    </row>
    <row r="1166" spans="16:16" x14ac:dyDescent="0.25">
      <c r="P1166" s="4"/>
    </row>
    <row r="1167" spans="16:16" x14ac:dyDescent="0.25">
      <c r="P1167" s="4"/>
    </row>
    <row r="1168" spans="16:16" x14ac:dyDescent="0.25">
      <c r="P1168" s="4"/>
    </row>
    <row r="1169" spans="16:16" x14ac:dyDescent="0.25">
      <c r="P1169" s="4"/>
    </row>
    <row r="1170" spans="16:16" x14ac:dyDescent="0.25">
      <c r="P1170" s="4"/>
    </row>
    <row r="1171" spans="16:16" x14ac:dyDescent="0.25">
      <c r="P1171" s="4"/>
    </row>
    <row r="1172" spans="16:16" x14ac:dyDescent="0.25">
      <c r="P1172" s="4"/>
    </row>
    <row r="1173" spans="16:16" x14ac:dyDescent="0.25">
      <c r="P1173" s="4"/>
    </row>
    <row r="1174" spans="16:16" x14ac:dyDescent="0.25">
      <c r="P1174" s="4"/>
    </row>
    <row r="1175" spans="16:16" x14ac:dyDescent="0.25">
      <c r="P1175" s="4"/>
    </row>
    <row r="1176" spans="16:16" x14ac:dyDescent="0.25">
      <c r="P1176" s="4"/>
    </row>
    <row r="1177" spans="16:16" x14ac:dyDescent="0.25">
      <c r="P1177" s="4"/>
    </row>
    <row r="1178" spans="16:16" x14ac:dyDescent="0.25">
      <c r="P1178" s="4"/>
    </row>
    <row r="1179" spans="16:16" x14ac:dyDescent="0.25">
      <c r="P1179" s="4"/>
    </row>
    <row r="1180" spans="16:16" x14ac:dyDescent="0.25">
      <c r="P1180" s="4"/>
    </row>
    <row r="1181" spans="16:16" x14ac:dyDescent="0.25">
      <c r="P1181" s="4"/>
    </row>
    <row r="1182" spans="16:16" x14ac:dyDescent="0.25">
      <c r="P1182" s="4"/>
    </row>
    <row r="1183" spans="16:16" x14ac:dyDescent="0.25">
      <c r="P1183" s="4"/>
    </row>
    <row r="1184" spans="16:16" x14ac:dyDescent="0.25">
      <c r="P1184" s="4"/>
    </row>
    <row r="1185" spans="16:16" x14ac:dyDescent="0.25">
      <c r="P1185" s="4"/>
    </row>
    <row r="1186" spans="16:16" x14ac:dyDescent="0.25">
      <c r="P1186" s="4"/>
    </row>
    <row r="1187" spans="16:16" x14ac:dyDescent="0.25">
      <c r="P1187" s="4"/>
    </row>
    <row r="1188" spans="16:16" x14ac:dyDescent="0.25">
      <c r="P1188" s="4"/>
    </row>
    <row r="1189" spans="16:16" x14ac:dyDescent="0.25">
      <c r="P1189" s="4"/>
    </row>
    <row r="1190" spans="16:16" x14ac:dyDescent="0.25">
      <c r="P1190" s="4"/>
    </row>
    <row r="1191" spans="16:16" x14ac:dyDescent="0.25">
      <c r="P1191" s="4"/>
    </row>
    <row r="1192" spans="16:16" x14ac:dyDescent="0.25">
      <c r="P1192" s="4"/>
    </row>
    <row r="1193" spans="16:16" x14ac:dyDescent="0.25">
      <c r="P1193" s="4"/>
    </row>
    <row r="1194" spans="16:16" x14ac:dyDescent="0.25">
      <c r="P1194" s="4"/>
    </row>
    <row r="1195" spans="16:16" x14ac:dyDescent="0.25">
      <c r="P1195" s="4"/>
    </row>
    <row r="1196" spans="16:16" x14ac:dyDescent="0.25">
      <c r="P1196" s="4"/>
    </row>
    <row r="1197" spans="16:16" x14ac:dyDescent="0.25">
      <c r="P1197" s="4"/>
    </row>
    <row r="1198" spans="16:16" x14ac:dyDescent="0.25">
      <c r="P1198" s="4"/>
    </row>
    <row r="1199" spans="16:16" x14ac:dyDescent="0.25">
      <c r="P1199" s="4"/>
    </row>
    <row r="1200" spans="16:16" x14ac:dyDescent="0.25">
      <c r="P1200" s="4"/>
    </row>
    <row r="1201" spans="16:16" x14ac:dyDescent="0.25">
      <c r="P1201" s="4"/>
    </row>
    <row r="1202" spans="16:16" x14ac:dyDescent="0.25">
      <c r="P1202" s="4"/>
    </row>
    <row r="1203" spans="16:16" x14ac:dyDescent="0.25">
      <c r="P1203" s="4"/>
    </row>
    <row r="1204" spans="16:16" x14ac:dyDescent="0.25">
      <c r="P1204" s="4"/>
    </row>
    <row r="1205" spans="16:16" x14ac:dyDescent="0.25">
      <c r="P1205" s="4"/>
    </row>
    <row r="1206" spans="16:16" x14ac:dyDescent="0.25">
      <c r="P1206" s="4"/>
    </row>
    <row r="1207" spans="16:16" x14ac:dyDescent="0.25">
      <c r="P1207" s="4"/>
    </row>
    <row r="1208" spans="16:16" x14ac:dyDescent="0.25">
      <c r="P1208" s="4"/>
    </row>
    <row r="1209" spans="16:16" x14ac:dyDescent="0.25">
      <c r="P1209" s="4"/>
    </row>
    <row r="1210" spans="16:16" x14ac:dyDescent="0.25">
      <c r="P1210" s="4"/>
    </row>
    <row r="1211" spans="16:16" x14ac:dyDescent="0.25">
      <c r="P1211" s="4"/>
    </row>
    <row r="1212" spans="16:16" x14ac:dyDescent="0.25">
      <c r="P1212" s="4"/>
    </row>
    <row r="1213" spans="16:16" x14ac:dyDescent="0.25">
      <c r="P1213" s="4"/>
    </row>
    <row r="1214" spans="16:16" x14ac:dyDescent="0.25">
      <c r="P1214" s="4"/>
    </row>
    <row r="1215" spans="16:16" x14ac:dyDescent="0.25">
      <c r="P1215" s="4"/>
    </row>
    <row r="1216" spans="16:16" x14ac:dyDescent="0.25">
      <c r="P1216" s="4"/>
    </row>
    <row r="1217" spans="16:16" x14ac:dyDescent="0.25">
      <c r="P1217" s="4"/>
    </row>
    <row r="1218" spans="16:16" x14ac:dyDescent="0.25">
      <c r="P1218" s="4"/>
    </row>
    <row r="1219" spans="16:16" x14ac:dyDescent="0.25">
      <c r="P1219" s="4"/>
    </row>
    <row r="1220" spans="16:16" x14ac:dyDescent="0.25">
      <c r="P1220" s="4"/>
    </row>
    <row r="1221" spans="16:16" x14ac:dyDescent="0.25">
      <c r="P1221" s="4"/>
    </row>
    <row r="1222" spans="16:16" x14ac:dyDescent="0.25">
      <c r="P1222" s="4"/>
    </row>
    <row r="1223" spans="16:16" x14ac:dyDescent="0.25">
      <c r="P1223" s="4"/>
    </row>
    <row r="1224" spans="16:16" x14ac:dyDescent="0.25">
      <c r="P1224" s="4"/>
    </row>
    <row r="1225" spans="16:16" x14ac:dyDescent="0.25">
      <c r="P1225" s="4"/>
    </row>
    <row r="1226" spans="16:16" x14ac:dyDescent="0.25">
      <c r="P1226" s="4"/>
    </row>
    <row r="1227" spans="16:16" x14ac:dyDescent="0.25">
      <c r="P1227" s="4"/>
    </row>
    <row r="1228" spans="16:16" x14ac:dyDescent="0.25">
      <c r="P1228" s="4"/>
    </row>
    <row r="1229" spans="16:16" x14ac:dyDescent="0.25">
      <c r="P1229" s="4"/>
    </row>
    <row r="1230" spans="16:16" x14ac:dyDescent="0.25">
      <c r="P1230" s="4"/>
    </row>
    <row r="1231" spans="16:16" x14ac:dyDescent="0.25">
      <c r="P1231" s="4"/>
    </row>
    <row r="1232" spans="16:16" x14ac:dyDescent="0.25">
      <c r="P1232" s="4"/>
    </row>
    <row r="1233" spans="16:16" x14ac:dyDescent="0.25">
      <c r="P1233" s="4"/>
    </row>
    <row r="1234" spans="16:16" x14ac:dyDescent="0.25">
      <c r="P1234" s="4"/>
    </row>
    <row r="1235" spans="16:16" x14ac:dyDescent="0.25">
      <c r="P1235" s="4"/>
    </row>
    <row r="1236" spans="16:16" x14ac:dyDescent="0.25">
      <c r="P1236" s="4"/>
    </row>
    <row r="1237" spans="16:16" x14ac:dyDescent="0.25">
      <c r="P1237" s="4"/>
    </row>
    <row r="1238" spans="16:16" x14ac:dyDescent="0.25">
      <c r="P1238" s="4"/>
    </row>
    <row r="1239" spans="16:16" x14ac:dyDescent="0.25">
      <c r="P1239" s="4"/>
    </row>
    <row r="1240" spans="16:16" x14ac:dyDescent="0.25">
      <c r="P1240" s="4"/>
    </row>
    <row r="1241" spans="16:16" x14ac:dyDescent="0.25">
      <c r="P1241" s="4"/>
    </row>
    <row r="1242" spans="16:16" x14ac:dyDescent="0.25">
      <c r="P1242" s="4"/>
    </row>
    <row r="1243" spans="16:16" x14ac:dyDescent="0.25">
      <c r="P1243" s="4"/>
    </row>
    <row r="1244" spans="16:16" x14ac:dyDescent="0.25">
      <c r="P1244" s="4"/>
    </row>
    <row r="1245" spans="16:16" x14ac:dyDescent="0.25">
      <c r="P1245" s="4"/>
    </row>
    <row r="1246" spans="16:16" x14ac:dyDescent="0.25">
      <c r="P1246" s="4"/>
    </row>
    <row r="1247" spans="16:16" x14ac:dyDescent="0.25">
      <c r="P1247" s="4"/>
    </row>
    <row r="1248" spans="16:16" x14ac:dyDescent="0.25">
      <c r="P1248" s="4"/>
    </row>
    <row r="1249" spans="16:16" x14ac:dyDescent="0.25">
      <c r="P1249" s="4"/>
    </row>
    <row r="1250" spans="16:16" x14ac:dyDescent="0.25">
      <c r="P1250" s="4"/>
    </row>
    <row r="1251" spans="16:16" x14ac:dyDescent="0.25">
      <c r="P1251" s="4"/>
    </row>
    <row r="1252" spans="16:16" x14ac:dyDescent="0.25">
      <c r="P1252" s="4"/>
    </row>
    <row r="1253" spans="16:16" x14ac:dyDescent="0.25">
      <c r="P1253" s="4"/>
    </row>
    <row r="1254" spans="16:16" x14ac:dyDescent="0.25">
      <c r="P1254" s="4"/>
    </row>
    <row r="1255" spans="16:16" x14ac:dyDescent="0.25">
      <c r="P1255" s="4"/>
    </row>
    <row r="1256" spans="16:16" x14ac:dyDescent="0.25">
      <c r="P1256" s="4"/>
    </row>
    <row r="1257" spans="16:16" x14ac:dyDescent="0.25">
      <c r="P1257" s="4"/>
    </row>
    <row r="1258" spans="16:16" x14ac:dyDescent="0.25">
      <c r="P1258" s="4"/>
    </row>
    <row r="1259" spans="16:16" x14ac:dyDescent="0.25">
      <c r="P1259" s="4"/>
    </row>
    <row r="1260" spans="16:16" x14ac:dyDescent="0.25">
      <c r="P1260" s="4"/>
    </row>
    <row r="1261" spans="16:16" x14ac:dyDescent="0.25">
      <c r="P1261" s="4"/>
    </row>
    <row r="1262" spans="16:16" x14ac:dyDescent="0.25">
      <c r="P1262" s="4"/>
    </row>
    <row r="1263" spans="16:16" x14ac:dyDescent="0.25">
      <c r="P1263" s="4"/>
    </row>
    <row r="1264" spans="16:16" x14ac:dyDescent="0.25">
      <c r="P1264" s="4"/>
    </row>
    <row r="1265" spans="16:16" x14ac:dyDescent="0.25">
      <c r="P1265" s="4"/>
    </row>
    <row r="1266" spans="16:16" x14ac:dyDescent="0.25">
      <c r="P1266" s="4"/>
    </row>
    <row r="1267" spans="16:16" x14ac:dyDescent="0.25">
      <c r="P1267" s="4"/>
    </row>
    <row r="1268" spans="16:16" x14ac:dyDescent="0.25">
      <c r="P1268" s="4"/>
    </row>
    <row r="1269" spans="16:16" x14ac:dyDescent="0.25">
      <c r="P1269" s="4"/>
    </row>
    <row r="1270" spans="16:16" x14ac:dyDescent="0.25">
      <c r="P1270" s="4"/>
    </row>
    <row r="1271" spans="16:16" x14ac:dyDescent="0.25">
      <c r="P1271" s="4"/>
    </row>
    <row r="1272" spans="16:16" x14ac:dyDescent="0.25">
      <c r="P1272" s="4"/>
    </row>
    <row r="1273" spans="16:16" x14ac:dyDescent="0.25">
      <c r="P1273" s="4"/>
    </row>
    <row r="1274" spans="16:16" x14ac:dyDescent="0.25">
      <c r="P1274" s="4"/>
    </row>
    <row r="1275" spans="16:16" x14ac:dyDescent="0.25">
      <c r="P1275" s="4"/>
    </row>
    <row r="1276" spans="16:16" x14ac:dyDescent="0.25">
      <c r="P1276" s="4"/>
    </row>
    <row r="1277" spans="16:16" x14ac:dyDescent="0.25">
      <c r="P1277" s="4"/>
    </row>
    <row r="1278" spans="16:16" x14ac:dyDescent="0.25">
      <c r="P1278" s="4"/>
    </row>
    <row r="1279" spans="16:16" x14ac:dyDescent="0.25">
      <c r="P1279" s="4"/>
    </row>
    <row r="1280" spans="16:16" x14ac:dyDescent="0.25">
      <c r="P1280" s="4"/>
    </row>
    <row r="1281" spans="16:16" x14ac:dyDescent="0.25">
      <c r="P1281" s="4"/>
    </row>
    <row r="1282" spans="16:16" x14ac:dyDescent="0.25">
      <c r="P1282" s="4"/>
    </row>
    <row r="1283" spans="16:16" x14ac:dyDescent="0.25">
      <c r="P1283" s="4"/>
    </row>
    <row r="1284" spans="16:16" x14ac:dyDescent="0.25">
      <c r="P1284" s="4"/>
    </row>
    <row r="1285" spans="16:16" x14ac:dyDescent="0.25">
      <c r="P1285" s="4"/>
    </row>
    <row r="1286" spans="16:16" x14ac:dyDescent="0.25">
      <c r="P1286" s="4"/>
    </row>
    <row r="1287" spans="16:16" x14ac:dyDescent="0.25">
      <c r="P1287" s="4"/>
    </row>
    <row r="1288" spans="16:16" x14ac:dyDescent="0.25">
      <c r="P1288" s="4"/>
    </row>
    <row r="1289" spans="16:16" x14ac:dyDescent="0.25">
      <c r="P1289" s="4"/>
    </row>
    <row r="1290" spans="16:16" x14ac:dyDescent="0.25">
      <c r="P1290" s="4"/>
    </row>
    <row r="1291" spans="16:16" x14ac:dyDescent="0.25">
      <c r="P1291" s="4"/>
    </row>
    <row r="1292" spans="16:16" x14ac:dyDescent="0.25">
      <c r="P1292" s="4"/>
    </row>
    <row r="1293" spans="16:16" x14ac:dyDescent="0.25">
      <c r="P1293" s="4"/>
    </row>
    <row r="1294" spans="16:16" x14ac:dyDescent="0.25">
      <c r="P1294" s="4"/>
    </row>
    <row r="1295" spans="16:16" x14ac:dyDescent="0.25">
      <c r="P1295" s="4"/>
    </row>
    <row r="1296" spans="16:16" x14ac:dyDescent="0.25">
      <c r="P1296" s="4"/>
    </row>
    <row r="1297" spans="16:16" x14ac:dyDescent="0.25">
      <c r="P1297" s="4"/>
    </row>
    <row r="1298" spans="16:16" x14ac:dyDescent="0.25">
      <c r="P1298" s="4"/>
    </row>
    <row r="1299" spans="16:16" x14ac:dyDescent="0.25">
      <c r="P1299" s="4"/>
    </row>
    <row r="1300" spans="16:16" x14ac:dyDescent="0.25">
      <c r="P1300" s="4"/>
    </row>
    <row r="1301" spans="16:16" x14ac:dyDescent="0.25">
      <c r="P1301" s="4"/>
    </row>
    <row r="1302" spans="16:16" x14ac:dyDescent="0.25">
      <c r="P1302" s="4"/>
    </row>
    <row r="1303" spans="16:16" x14ac:dyDescent="0.25">
      <c r="P1303" s="4"/>
    </row>
    <row r="1304" spans="16:16" x14ac:dyDescent="0.25">
      <c r="P1304" s="4"/>
    </row>
    <row r="1305" spans="16:16" x14ac:dyDescent="0.25">
      <c r="P1305" s="4"/>
    </row>
    <row r="1306" spans="16:16" x14ac:dyDescent="0.25">
      <c r="P1306" s="4"/>
    </row>
    <row r="1307" spans="16:16" x14ac:dyDescent="0.25">
      <c r="P1307" s="4"/>
    </row>
    <row r="1308" spans="16:16" x14ac:dyDescent="0.25">
      <c r="P1308" s="4"/>
    </row>
    <row r="1309" spans="16:16" x14ac:dyDescent="0.25">
      <c r="P1309" s="4"/>
    </row>
    <row r="1310" spans="16:16" x14ac:dyDescent="0.25">
      <c r="P1310" s="4"/>
    </row>
    <row r="1311" spans="16:16" x14ac:dyDescent="0.25">
      <c r="P1311" s="4"/>
    </row>
    <row r="1312" spans="16:16" x14ac:dyDescent="0.25">
      <c r="P1312" s="4"/>
    </row>
    <row r="1313" spans="16:16" x14ac:dyDescent="0.25">
      <c r="P1313" s="4"/>
    </row>
    <row r="1314" spans="16:16" x14ac:dyDescent="0.25">
      <c r="P1314" s="4"/>
    </row>
    <row r="1315" spans="16:16" x14ac:dyDescent="0.25">
      <c r="P1315" s="4"/>
    </row>
    <row r="1316" spans="16:16" x14ac:dyDescent="0.25">
      <c r="P1316" s="4"/>
    </row>
    <row r="1317" spans="16:16" x14ac:dyDescent="0.25">
      <c r="P1317" s="4"/>
    </row>
    <row r="1318" spans="16:16" x14ac:dyDescent="0.25">
      <c r="P1318" s="4"/>
    </row>
    <row r="1319" spans="16:16" x14ac:dyDescent="0.25">
      <c r="P1319" s="4"/>
    </row>
    <row r="1320" spans="16:16" x14ac:dyDescent="0.25">
      <c r="P1320" s="4"/>
    </row>
    <row r="1321" spans="16:16" x14ac:dyDescent="0.25">
      <c r="P1321" s="4"/>
    </row>
    <row r="1322" spans="16:16" x14ac:dyDescent="0.25">
      <c r="P1322" s="4"/>
    </row>
    <row r="1323" spans="16:16" x14ac:dyDescent="0.25">
      <c r="P1323" s="4"/>
    </row>
    <row r="1324" spans="16:16" x14ac:dyDescent="0.25">
      <c r="P1324" s="4"/>
    </row>
    <row r="1325" spans="16:16" x14ac:dyDescent="0.25">
      <c r="P1325" s="4"/>
    </row>
    <row r="1326" spans="16:16" x14ac:dyDescent="0.25">
      <c r="P1326" s="4"/>
    </row>
    <row r="1327" spans="16:16" x14ac:dyDescent="0.25">
      <c r="P1327" s="4"/>
    </row>
    <row r="1328" spans="16:16" x14ac:dyDescent="0.25">
      <c r="P1328" s="4"/>
    </row>
    <row r="1329" spans="16:16" x14ac:dyDescent="0.25">
      <c r="P1329" s="4"/>
    </row>
    <row r="1330" spans="16:16" x14ac:dyDescent="0.25">
      <c r="P1330" s="4"/>
    </row>
    <row r="1331" spans="16:16" x14ac:dyDescent="0.25">
      <c r="P1331" s="4"/>
    </row>
    <row r="1332" spans="16:16" x14ac:dyDescent="0.25">
      <c r="P1332" s="4"/>
    </row>
    <row r="1333" spans="16:16" x14ac:dyDescent="0.25">
      <c r="P1333" s="4"/>
    </row>
    <row r="1334" spans="16:16" x14ac:dyDescent="0.25">
      <c r="P1334" s="4"/>
    </row>
    <row r="1335" spans="16:16" x14ac:dyDescent="0.25">
      <c r="P1335" s="4"/>
    </row>
    <row r="1336" spans="16:16" x14ac:dyDescent="0.25">
      <c r="P1336" s="4"/>
    </row>
    <row r="1337" spans="16:16" x14ac:dyDescent="0.25">
      <c r="P1337" s="4"/>
    </row>
    <row r="1338" spans="16:16" x14ac:dyDescent="0.25">
      <c r="P1338" s="4"/>
    </row>
    <row r="1339" spans="16:16" x14ac:dyDescent="0.25">
      <c r="P1339" s="4"/>
    </row>
    <row r="1340" spans="16:16" x14ac:dyDescent="0.25">
      <c r="P1340" s="4"/>
    </row>
    <row r="1341" spans="16:16" x14ac:dyDescent="0.25">
      <c r="P1341" s="4"/>
    </row>
    <row r="1342" spans="16:16" x14ac:dyDescent="0.25">
      <c r="P1342" s="4"/>
    </row>
    <row r="1343" spans="16:16" x14ac:dyDescent="0.25">
      <c r="P1343" s="4"/>
    </row>
    <row r="1344" spans="16:16" x14ac:dyDescent="0.25">
      <c r="P1344" s="4"/>
    </row>
    <row r="1345" spans="16:16" x14ac:dyDescent="0.25">
      <c r="P1345" s="4"/>
    </row>
    <row r="1346" spans="16:16" x14ac:dyDescent="0.25">
      <c r="P1346" s="4"/>
    </row>
    <row r="1347" spans="16:16" x14ac:dyDescent="0.25">
      <c r="P1347" s="4"/>
    </row>
    <row r="1348" spans="16:16" x14ac:dyDescent="0.25">
      <c r="P1348" s="4"/>
    </row>
    <row r="1349" spans="16:16" x14ac:dyDescent="0.25">
      <c r="P1349" s="4"/>
    </row>
    <row r="1350" spans="16:16" x14ac:dyDescent="0.25">
      <c r="P1350" s="4"/>
    </row>
    <row r="1351" spans="16:16" x14ac:dyDescent="0.25">
      <c r="P1351" s="4"/>
    </row>
    <row r="1352" spans="16:16" x14ac:dyDescent="0.25">
      <c r="P1352" s="4"/>
    </row>
    <row r="1353" spans="16:16" x14ac:dyDescent="0.25">
      <c r="P1353" s="4"/>
    </row>
    <row r="1354" spans="16:16" x14ac:dyDescent="0.25">
      <c r="P1354" s="4"/>
    </row>
    <row r="1355" spans="16:16" x14ac:dyDescent="0.25">
      <c r="P1355" s="4"/>
    </row>
    <row r="1356" spans="16:16" x14ac:dyDescent="0.25">
      <c r="P1356" s="4"/>
    </row>
    <row r="1357" spans="16:16" x14ac:dyDescent="0.25">
      <c r="P1357" s="4"/>
    </row>
    <row r="1358" spans="16:16" x14ac:dyDescent="0.25">
      <c r="P1358" s="4"/>
    </row>
    <row r="1359" spans="16:16" x14ac:dyDescent="0.25">
      <c r="P1359" s="4"/>
    </row>
    <row r="1360" spans="16:16" x14ac:dyDescent="0.25">
      <c r="P1360" s="4"/>
    </row>
    <row r="1361" spans="16:16" x14ac:dyDescent="0.25">
      <c r="P1361" s="4"/>
    </row>
    <row r="1362" spans="16:16" x14ac:dyDescent="0.25">
      <c r="P1362" s="4"/>
    </row>
    <row r="1363" spans="16:16" x14ac:dyDescent="0.25">
      <c r="P1363" s="4"/>
    </row>
    <row r="1364" spans="16:16" x14ac:dyDescent="0.25">
      <c r="P1364" s="4"/>
    </row>
    <row r="1365" spans="16:16" x14ac:dyDescent="0.25">
      <c r="P1365" s="4"/>
    </row>
    <row r="1366" spans="16:16" x14ac:dyDescent="0.25">
      <c r="P1366" s="4"/>
    </row>
    <row r="1367" spans="16:16" x14ac:dyDescent="0.25">
      <c r="P1367" s="4"/>
    </row>
    <row r="1368" spans="16:16" x14ac:dyDescent="0.25">
      <c r="P1368" s="4"/>
    </row>
    <row r="1369" spans="16:16" x14ac:dyDescent="0.25">
      <c r="P1369" s="4"/>
    </row>
    <row r="1370" spans="16:16" x14ac:dyDescent="0.25">
      <c r="P1370" s="4"/>
    </row>
    <row r="1371" spans="16:16" x14ac:dyDescent="0.25">
      <c r="P1371" s="4"/>
    </row>
    <row r="1372" spans="16:16" x14ac:dyDescent="0.25">
      <c r="P1372" s="4"/>
    </row>
    <row r="1373" spans="16:16" x14ac:dyDescent="0.25">
      <c r="P1373" s="4"/>
    </row>
    <row r="1374" spans="16:16" x14ac:dyDescent="0.25">
      <c r="P1374" s="4"/>
    </row>
    <row r="1375" spans="16:16" x14ac:dyDescent="0.25">
      <c r="P1375" s="4"/>
    </row>
    <row r="1376" spans="16:16" x14ac:dyDescent="0.25">
      <c r="P1376" s="4"/>
    </row>
    <row r="1377" spans="16:16" x14ac:dyDescent="0.25">
      <c r="P1377" s="4"/>
    </row>
    <row r="1378" spans="16:16" x14ac:dyDescent="0.25">
      <c r="P1378" s="4"/>
    </row>
    <row r="1379" spans="16:16" x14ac:dyDescent="0.25">
      <c r="P1379" s="4"/>
    </row>
    <row r="1380" spans="16:16" x14ac:dyDescent="0.25">
      <c r="P1380" s="4"/>
    </row>
    <row r="1381" spans="16:16" x14ac:dyDescent="0.25">
      <c r="P1381" s="4"/>
    </row>
    <row r="1382" spans="16:16" x14ac:dyDescent="0.25">
      <c r="P1382" s="4"/>
    </row>
    <row r="1383" spans="16:16" x14ac:dyDescent="0.25">
      <c r="P1383" s="4"/>
    </row>
    <row r="1384" spans="16:16" x14ac:dyDescent="0.25">
      <c r="P1384" s="4"/>
    </row>
    <row r="1385" spans="16:16" x14ac:dyDescent="0.25">
      <c r="P1385" s="4"/>
    </row>
    <row r="1386" spans="16:16" x14ac:dyDescent="0.25">
      <c r="P1386" s="4"/>
    </row>
    <row r="1387" spans="16:16" x14ac:dyDescent="0.25">
      <c r="P1387" s="4"/>
    </row>
    <row r="1388" spans="16:16" x14ac:dyDescent="0.25">
      <c r="P1388" s="4"/>
    </row>
    <row r="1389" spans="16:16" x14ac:dyDescent="0.25">
      <c r="P1389" s="4"/>
    </row>
    <row r="1390" spans="16:16" x14ac:dyDescent="0.25">
      <c r="P1390" s="4"/>
    </row>
    <row r="1391" spans="16:16" x14ac:dyDescent="0.25">
      <c r="P1391" s="4"/>
    </row>
    <row r="1392" spans="16:16" x14ac:dyDescent="0.25">
      <c r="P1392" s="4"/>
    </row>
    <row r="1393" spans="16:16" x14ac:dyDescent="0.25">
      <c r="P1393" s="4"/>
    </row>
    <row r="1394" spans="16:16" x14ac:dyDescent="0.25">
      <c r="P1394" s="4"/>
    </row>
    <row r="1395" spans="16:16" x14ac:dyDescent="0.25">
      <c r="P1395" s="4"/>
    </row>
    <row r="1396" spans="16:16" x14ac:dyDescent="0.25">
      <c r="P1396" s="4"/>
    </row>
    <row r="1397" spans="16:16" x14ac:dyDescent="0.25">
      <c r="P1397" s="4"/>
    </row>
    <row r="1398" spans="16:16" x14ac:dyDescent="0.25">
      <c r="P1398" s="4"/>
    </row>
    <row r="1399" spans="16:16" x14ac:dyDescent="0.25">
      <c r="P1399" s="4"/>
    </row>
    <row r="1400" spans="16:16" x14ac:dyDescent="0.25">
      <c r="P1400" s="4"/>
    </row>
    <row r="1401" spans="16:16" x14ac:dyDescent="0.25">
      <c r="P1401" s="4"/>
    </row>
    <row r="1402" spans="16:16" x14ac:dyDescent="0.25">
      <c r="P1402" s="4"/>
    </row>
    <row r="1403" spans="16:16" x14ac:dyDescent="0.25">
      <c r="P1403" s="4"/>
    </row>
    <row r="1404" spans="16:16" x14ac:dyDescent="0.25">
      <c r="P1404" s="4"/>
    </row>
    <row r="1405" spans="16:16" x14ac:dyDescent="0.25">
      <c r="P1405" s="4"/>
    </row>
    <row r="1406" spans="16:16" x14ac:dyDescent="0.25">
      <c r="P1406" s="4"/>
    </row>
    <row r="1407" spans="16:16" x14ac:dyDescent="0.25">
      <c r="P1407" s="4"/>
    </row>
    <row r="1408" spans="16:16" x14ac:dyDescent="0.25">
      <c r="P1408" s="4"/>
    </row>
    <row r="1409" spans="16:16" x14ac:dyDescent="0.25">
      <c r="P1409" s="4"/>
    </row>
    <row r="1410" spans="16:16" x14ac:dyDescent="0.25">
      <c r="P1410" s="4"/>
    </row>
    <row r="1411" spans="16:16" x14ac:dyDescent="0.25">
      <c r="P1411" s="4"/>
    </row>
    <row r="1412" spans="16:16" x14ac:dyDescent="0.25">
      <c r="P1412" s="4"/>
    </row>
    <row r="1413" spans="16:16" x14ac:dyDescent="0.25">
      <c r="P1413" s="4"/>
    </row>
    <row r="1414" spans="16:16" x14ac:dyDescent="0.25">
      <c r="P1414" s="4"/>
    </row>
    <row r="1415" spans="16:16" x14ac:dyDescent="0.25">
      <c r="P1415" s="4"/>
    </row>
    <row r="1416" spans="16:16" x14ac:dyDescent="0.25">
      <c r="P1416" s="4"/>
    </row>
    <row r="1417" spans="16:16" x14ac:dyDescent="0.25">
      <c r="P1417" s="4"/>
    </row>
    <row r="1418" spans="16:16" x14ac:dyDescent="0.25">
      <c r="P1418" s="4"/>
    </row>
    <row r="1419" spans="16:16" x14ac:dyDescent="0.25">
      <c r="P1419" s="4"/>
    </row>
    <row r="1420" spans="16:16" x14ac:dyDescent="0.25">
      <c r="P1420" s="4"/>
    </row>
    <row r="1421" spans="16:16" x14ac:dyDescent="0.25">
      <c r="P1421" s="4"/>
    </row>
    <row r="1422" spans="16:16" x14ac:dyDescent="0.25">
      <c r="P1422" s="4"/>
    </row>
    <row r="1423" spans="16:16" x14ac:dyDescent="0.25">
      <c r="P1423" s="4"/>
    </row>
    <row r="1424" spans="16:16" x14ac:dyDescent="0.25">
      <c r="P1424" s="4"/>
    </row>
    <row r="1425" spans="16:16" x14ac:dyDescent="0.25">
      <c r="P1425" s="4"/>
    </row>
    <row r="1426" spans="16:16" x14ac:dyDescent="0.25">
      <c r="P1426" s="4"/>
    </row>
    <row r="1427" spans="16:16" x14ac:dyDescent="0.25">
      <c r="P1427" s="4"/>
    </row>
    <row r="1428" spans="16:16" x14ac:dyDescent="0.25">
      <c r="P1428" s="4"/>
    </row>
    <row r="1429" spans="16:16" x14ac:dyDescent="0.25">
      <c r="P1429" s="4"/>
    </row>
    <row r="1430" spans="16:16" x14ac:dyDescent="0.25">
      <c r="P1430" s="4"/>
    </row>
    <row r="1431" spans="16:16" x14ac:dyDescent="0.25">
      <c r="P1431" s="4"/>
    </row>
    <row r="1432" spans="16:16" x14ac:dyDescent="0.25">
      <c r="P1432" s="4"/>
    </row>
    <row r="1433" spans="16:16" x14ac:dyDescent="0.25">
      <c r="P1433" s="4"/>
    </row>
    <row r="1434" spans="16:16" x14ac:dyDescent="0.25">
      <c r="P1434" s="4"/>
    </row>
    <row r="1435" spans="16:16" x14ac:dyDescent="0.25">
      <c r="P1435" s="4"/>
    </row>
    <row r="1436" spans="16:16" x14ac:dyDescent="0.25">
      <c r="P1436" s="4"/>
    </row>
    <row r="1437" spans="16:16" x14ac:dyDescent="0.25">
      <c r="P1437" s="4"/>
    </row>
    <row r="1438" spans="16:16" x14ac:dyDescent="0.25">
      <c r="P1438" s="4"/>
    </row>
    <row r="1439" spans="16:16" x14ac:dyDescent="0.25">
      <c r="P1439" s="4"/>
    </row>
    <row r="1440" spans="16:16" x14ac:dyDescent="0.25">
      <c r="P1440" s="4"/>
    </row>
    <row r="1441" spans="16:16" x14ac:dyDescent="0.25">
      <c r="P1441" s="4"/>
    </row>
    <row r="1442" spans="16:16" x14ac:dyDescent="0.25">
      <c r="P1442" s="4"/>
    </row>
    <row r="1443" spans="16:16" x14ac:dyDescent="0.25">
      <c r="P1443" s="4"/>
    </row>
    <row r="1444" spans="16:16" x14ac:dyDescent="0.25">
      <c r="P1444" s="4"/>
    </row>
    <row r="1445" spans="16:16" x14ac:dyDescent="0.25">
      <c r="P1445" s="4"/>
    </row>
    <row r="1446" spans="16:16" x14ac:dyDescent="0.25">
      <c r="P1446" s="4"/>
    </row>
    <row r="1447" spans="16:16" x14ac:dyDescent="0.25">
      <c r="P1447" s="4"/>
    </row>
    <row r="1448" spans="16:16" x14ac:dyDescent="0.25">
      <c r="P1448" s="4"/>
    </row>
    <row r="1449" spans="16:16" x14ac:dyDescent="0.25">
      <c r="P1449" s="4"/>
    </row>
    <row r="1450" spans="16:16" x14ac:dyDescent="0.25">
      <c r="P1450" s="4"/>
    </row>
    <row r="1451" spans="16:16" x14ac:dyDescent="0.25">
      <c r="P1451" s="4"/>
    </row>
    <row r="1452" spans="16:16" x14ac:dyDescent="0.25">
      <c r="P1452" s="4"/>
    </row>
    <row r="1453" spans="16:16" x14ac:dyDescent="0.25">
      <c r="P1453" s="4"/>
    </row>
    <row r="1454" spans="16:16" x14ac:dyDescent="0.25">
      <c r="P1454" s="4"/>
    </row>
    <row r="1455" spans="16:16" x14ac:dyDescent="0.25">
      <c r="P1455" s="4"/>
    </row>
    <row r="1456" spans="16:16" x14ac:dyDescent="0.25">
      <c r="P1456" s="4"/>
    </row>
    <row r="1457" spans="16:16" x14ac:dyDescent="0.25">
      <c r="P1457" s="4"/>
    </row>
    <row r="1458" spans="16:16" x14ac:dyDescent="0.25">
      <c r="P1458" s="4"/>
    </row>
    <row r="1459" spans="16:16" x14ac:dyDescent="0.25">
      <c r="P1459" s="4"/>
    </row>
    <row r="1460" spans="16:16" x14ac:dyDescent="0.25">
      <c r="P1460" s="4"/>
    </row>
    <row r="1461" spans="16:16" x14ac:dyDescent="0.25">
      <c r="P1461" s="4"/>
    </row>
    <row r="1462" spans="16:16" x14ac:dyDescent="0.25">
      <c r="P1462" s="4"/>
    </row>
    <row r="1463" spans="16:16" x14ac:dyDescent="0.25">
      <c r="P1463" s="4"/>
    </row>
    <row r="1464" spans="16:16" x14ac:dyDescent="0.25">
      <c r="P1464" s="4"/>
    </row>
    <row r="1465" spans="16:16" x14ac:dyDescent="0.25">
      <c r="P1465" s="4"/>
    </row>
    <row r="1466" spans="16:16" x14ac:dyDescent="0.25">
      <c r="P1466" s="4"/>
    </row>
    <row r="1467" spans="16:16" x14ac:dyDescent="0.25">
      <c r="P1467" s="4"/>
    </row>
    <row r="1468" spans="16:16" x14ac:dyDescent="0.25">
      <c r="P1468" s="4"/>
    </row>
    <row r="1469" spans="16:16" x14ac:dyDescent="0.25">
      <c r="P1469" s="4"/>
    </row>
    <row r="1470" spans="16:16" x14ac:dyDescent="0.25">
      <c r="P1470" s="4"/>
    </row>
    <row r="1471" spans="16:16" x14ac:dyDescent="0.25">
      <c r="P1471" s="4"/>
    </row>
    <row r="1472" spans="16:16" x14ac:dyDescent="0.25">
      <c r="P1472" s="4"/>
    </row>
    <row r="1473" spans="16:16" x14ac:dyDescent="0.25">
      <c r="P1473" s="4"/>
    </row>
    <row r="1474" spans="16:16" x14ac:dyDescent="0.25">
      <c r="P1474" s="4"/>
    </row>
    <row r="1475" spans="16:16" x14ac:dyDescent="0.25">
      <c r="P1475" s="4"/>
    </row>
    <row r="1476" spans="16:16" x14ac:dyDescent="0.25">
      <c r="P1476" s="4"/>
    </row>
    <row r="1477" spans="16:16" x14ac:dyDescent="0.25">
      <c r="P1477" s="4"/>
    </row>
    <row r="1478" spans="16:16" x14ac:dyDescent="0.25">
      <c r="P1478" s="4"/>
    </row>
    <row r="1479" spans="16:16" x14ac:dyDescent="0.25">
      <c r="P1479" s="4"/>
    </row>
    <row r="1480" spans="16:16" x14ac:dyDescent="0.25">
      <c r="P1480" s="4"/>
    </row>
    <row r="1481" spans="16:16" x14ac:dyDescent="0.25">
      <c r="P1481" s="4"/>
    </row>
    <row r="1482" spans="16:16" x14ac:dyDescent="0.25">
      <c r="P1482" s="4"/>
    </row>
    <row r="1483" spans="16:16" x14ac:dyDescent="0.25">
      <c r="P1483" s="4"/>
    </row>
    <row r="1484" spans="16:16" x14ac:dyDescent="0.25">
      <c r="P1484" s="4"/>
    </row>
    <row r="1485" spans="16:16" x14ac:dyDescent="0.25">
      <c r="P1485" s="4"/>
    </row>
    <row r="1486" spans="16:16" x14ac:dyDescent="0.25">
      <c r="P1486" s="4"/>
    </row>
    <row r="1487" spans="16:16" x14ac:dyDescent="0.25">
      <c r="P1487" s="4"/>
    </row>
    <row r="1488" spans="16:16" x14ac:dyDescent="0.25">
      <c r="P1488" s="4"/>
    </row>
    <row r="1489" spans="16:16" x14ac:dyDescent="0.25">
      <c r="P1489" s="4"/>
    </row>
    <row r="1490" spans="16:16" x14ac:dyDescent="0.25">
      <c r="P1490" s="4"/>
    </row>
    <row r="1491" spans="16:16" x14ac:dyDescent="0.25">
      <c r="P1491" s="4"/>
    </row>
    <row r="1492" spans="16:16" x14ac:dyDescent="0.25">
      <c r="P1492" s="4"/>
    </row>
    <row r="1493" spans="16:16" x14ac:dyDescent="0.25">
      <c r="P1493" s="4"/>
    </row>
    <row r="1494" spans="16:16" x14ac:dyDescent="0.25">
      <c r="P1494" s="4"/>
    </row>
    <row r="1495" spans="16:16" x14ac:dyDescent="0.25">
      <c r="P1495" s="4"/>
    </row>
    <row r="1496" spans="16:16" x14ac:dyDescent="0.25">
      <c r="P1496" s="4"/>
    </row>
    <row r="1497" spans="16:16" x14ac:dyDescent="0.25">
      <c r="P1497" s="4"/>
    </row>
    <row r="1498" spans="16:16" x14ac:dyDescent="0.25">
      <c r="P1498" s="4"/>
    </row>
    <row r="1499" spans="16:16" x14ac:dyDescent="0.25">
      <c r="P1499" s="4"/>
    </row>
    <row r="1500" spans="16:16" x14ac:dyDescent="0.25">
      <c r="P1500" s="4"/>
    </row>
    <row r="1501" spans="16:16" x14ac:dyDescent="0.25">
      <c r="P1501" s="4"/>
    </row>
    <row r="1502" spans="16:16" x14ac:dyDescent="0.25">
      <c r="P1502" s="4"/>
    </row>
    <row r="1503" spans="16:16" x14ac:dyDescent="0.25">
      <c r="P1503" s="4"/>
    </row>
    <row r="1504" spans="16:16" x14ac:dyDescent="0.25">
      <c r="P1504" s="4"/>
    </row>
    <row r="1505" spans="16:16" x14ac:dyDescent="0.25">
      <c r="P1505" s="4"/>
    </row>
    <row r="1506" spans="16:16" x14ac:dyDescent="0.25">
      <c r="P1506" s="4"/>
    </row>
    <row r="1507" spans="16:16" x14ac:dyDescent="0.25">
      <c r="P1507" s="4"/>
    </row>
    <row r="1508" spans="16:16" x14ac:dyDescent="0.25">
      <c r="P1508" s="4"/>
    </row>
    <row r="1509" spans="16:16" x14ac:dyDescent="0.25">
      <c r="P1509" s="4"/>
    </row>
    <row r="1510" spans="16:16" x14ac:dyDescent="0.25">
      <c r="P1510" s="4"/>
    </row>
    <row r="1511" spans="16:16" x14ac:dyDescent="0.25">
      <c r="P1511" s="4"/>
    </row>
    <row r="1512" spans="16:16" x14ac:dyDescent="0.25">
      <c r="P1512" s="4"/>
    </row>
    <row r="1513" spans="16:16" x14ac:dyDescent="0.25">
      <c r="P1513" s="4"/>
    </row>
    <row r="1514" spans="16:16" x14ac:dyDescent="0.25">
      <c r="P1514" s="4"/>
    </row>
    <row r="1515" spans="16:16" x14ac:dyDescent="0.25">
      <c r="P1515" s="4"/>
    </row>
    <row r="1516" spans="16:16" x14ac:dyDescent="0.25">
      <c r="P1516" s="4"/>
    </row>
    <row r="1517" spans="16:16" x14ac:dyDescent="0.25">
      <c r="P1517" s="4"/>
    </row>
    <row r="1518" spans="16:16" x14ac:dyDescent="0.25">
      <c r="P1518" s="4"/>
    </row>
    <row r="1519" spans="16:16" x14ac:dyDescent="0.25">
      <c r="P1519" s="4"/>
    </row>
    <row r="1520" spans="16:16" x14ac:dyDescent="0.25">
      <c r="P1520" s="4"/>
    </row>
    <row r="1521" spans="16:16" x14ac:dyDescent="0.25">
      <c r="P1521" s="4"/>
    </row>
    <row r="1522" spans="16:16" x14ac:dyDescent="0.25">
      <c r="P1522" s="4"/>
    </row>
    <row r="1523" spans="16:16" x14ac:dyDescent="0.25">
      <c r="P1523" s="4"/>
    </row>
    <row r="1524" spans="16:16" x14ac:dyDescent="0.25">
      <c r="P1524" s="4"/>
    </row>
    <row r="1525" spans="16:16" x14ac:dyDescent="0.25">
      <c r="P1525" s="4"/>
    </row>
    <row r="1526" spans="16:16" x14ac:dyDescent="0.25">
      <c r="P1526" s="4"/>
    </row>
    <row r="1527" spans="16:16" x14ac:dyDescent="0.25">
      <c r="P1527" s="4"/>
    </row>
    <row r="1528" spans="16:16" x14ac:dyDescent="0.25">
      <c r="P1528" s="4"/>
    </row>
    <row r="1529" spans="16:16" x14ac:dyDescent="0.25">
      <c r="P1529" s="4"/>
    </row>
    <row r="1530" spans="16:16" x14ac:dyDescent="0.25">
      <c r="P1530" s="4"/>
    </row>
    <row r="1531" spans="16:16" x14ac:dyDescent="0.25">
      <c r="P1531" s="4"/>
    </row>
    <row r="1532" spans="16:16" x14ac:dyDescent="0.25">
      <c r="P1532" s="4"/>
    </row>
    <row r="1533" spans="16:16" x14ac:dyDescent="0.25">
      <c r="P1533" s="4"/>
    </row>
    <row r="1534" spans="16:16" x14ac:dyDescent="0.25">
      <c r="P1534" s="4"/>
    </row>
    <row r="1535" spans="16:16" x14ac:dyDescent="0.25">
      <c r="P1535" s="4"/>
    </row>
    <row r="1536" spans="16:16" x14ac:dyDescent="0.25">
      <c r="P1536" s="4"/>
    </row>
    <row r="1537" spans="16:16" x14ac:dyDescent="0.25">
      <c r="P1537" s="4"/>
    </row>
    <row r="1538" spans="16:16" x14ac:dyDescent="0.25">
      <c r="P1538" s="4"/>
    </row>
    <row r="1539" spans="16:16" x14ac:dyDescent="0.25">
      <c r="P1539" s="4"/>
    </row>
    <row r="1540" spans="16:16" x14ac:dyDescent="0.25">
      <c r="P1540" s="4"/>
    </row>
    <row r="1541" spans="16:16" x14ac:dyDescent="0.25">
      <c r="P1541" s="4"/>
    </row>
    <row r="1542" spans="16:16" x14ac:dyDescent="0.25">
      <c r="P1542" s="4"/>
    </row>
    <row r="1543" spans="16:16" x14ac:dyDescent="0.25">
      <c r="P1543" s="4"/>
    </row>
    <row r="1544" spans="16:16" x14ac:dyDescent="0.25">
      <c r="P1544" s="4"/>
    </row>
    <row r="1545" spans="16:16" x14ac:dyDescent="0.25">
      <c r="P1545" s="4"/>
    </row>
    <row r="1546" spans="16:16" x14ac:dyDescent="0.25">
      <c r="P1546" s="4"/>
    </row>
    <row r="1547" spans="16:16" x14ac:dyDescent="0.25">
      <c r="P1547" s="4"/>
    </row>
    <row r="1548" spans="16:16" x14ac:dyDescent="0.25">
      <c r="P1548" s="4"/>
    </row>
    <row r="1549" spans="16:16" x14ac:dyDescent="0.25">
      <c r="P1549" s="4"/>
    </row>
    <row r="1550" spans="16:16" x14ac:dyDescent="0.25">
      <c r="P1550" s="4"/>
    </row>
    <row r="1551" spans="16:16" x14ac:dyDescent="0.25">
      <c r="P1551" s="4"/>
    </row>
    <row r="1552" spans="16:16" x14ac:dyDescent="0.25">
      <c r="P1552" s="4"/>
    </row>
    <row r="1553" spans="16:16" x14ac:dyDescent="0.25">
      <c r="P1553" s="4"/>
    </row>
    <row r="1554" spans="16:16" x14ac:dyDescent="0.25">
      <c r="P1554" s="4"/>
    </row>
    <row r="1555" spans="16:16" x14ac:dyDescent="0.25">
      <c r="P1555" s="4"/>
    </row>
    <row r="1556" spans="16:16" x14ac:dyDescent="0.25">
      <c r="P1556" s="4"/>
    </row>
    <row r="1557" spans="16:16" x14ac:dyDescent="0.25">
      <c r="P1557" s="4"/>
    </row>
    <row r="1558" spans="16:16" x14ac:dyDescent="0.25">
      <c r="P1558" s="4"/>
    </row>
    <row r="1559" spans="16:16" x14ac:dyDescent="0.25">
      <c r="P1559" s="4"/>
    </row>
    <row r="1560" spans="16:16" x14ac:dyDescent="0.25">
      <c r="P1560" s="4"/>
    </row>
    <row r="1561" spans="16:16" x14ac:dyDescent="0.25">
      <c r="P1561" s="4"/>
    </row>
    <row r="1562" spans="16:16" x14ac:dyDescent="0.25">
      <c r="P1562" s="4"/>
    </row>
    <row r="1563" spans="16:16" x14ac:dyDescent="0.25">
      <c r="P1563" s="4"/>
    </row>
    <row r="1564" spans="16:16" x14ac:dyDescent="0.25">
      <c r="P1564" s="4"/>
    </row>
    <row r="1565" spans="16:16" x14ac:dyDescent="0.25">
      <c r="P1565" s="4"/>
    </row>
    <row r="1566" spans="16:16" x14ac:dyDescent="0.25">
      <c r="P1566" s="4"/>
    </row>
    <row r="1567" spans="16:16" x14ac:dyDescent="0.25">
      <c r="P1567" s="4"/>
    </row>
    <row r="1568" spans="16:16" x14ac:dyDescent="0.25">
      <c r="P1568" s="4"/>
    </row>
    <row r="1569" spans="16:16" x14ac:dyDescent="0.25">
      <c r="P1569" s="4"/>
    </row>
    <row r="1570" spans="16:16" x14ac:dyDescent="0.25">
      <c r="P1570" s="4"/>
    </row>
    <row r="1571" spans="16:16" x14ac:dyDescent="0.25">
      <c r="P1571" s="4"/>
    </row>
    <row r="1572" spans="16:16" x14ac:dyDescent="0.25">
      <c r="P1572" s="4"/>
    </row>
    <row r="1573" spans="16:16" x14ac:dyDescent="0.25">
      <c r="P1573" s="4"/>
    </row>
    <row r="1574" spans="16:16" x14ac:dyDescent="0.25">
      <c r="P1574" s="4"/>
    </row>
    <row r="1575" spans="16:16" x14ac:dyDescent="0.25">
      <c r="P1575" s="4"/>
    </row>
    <row r="1576" spans="16:16" x14ac:dyDescent="0.25">
      <c r="P1576" s="4"/>
    </row>
    <row r="1577" spans="16:16" x14ac:dyDescent="0.25">
      <c r="P1577" s="4"/>
    </row>
    <row r="1578" spans="16:16" x14ac:dyDescent="0.25">
      <c r="P1578" s="4"/>
    </row>
    <row r="1579" spans="16:16" x14ac:dyDescent="0.25">
      <c r="P1579" s="4"/>
    </row>
    <row r="1580" spans="16:16" x14ac:dyDescent="0.25">
      <c r="P1580" s="4"/>
    </row>
    <row r="1581" spans="16:16" x14ac:dyDescent="0.25">
      <c r="P1581" s="4"/>
    </row>
    <row r="1582" spans="16:16" x14ac:dyDescent="0.25">
      <c r="P1582" s="4"/>
    </row>
    <row r="1583" spans="16:16" x14ac:dyDescent="0.25">
      <c r="P1583" s="4"/>
    </row>
    <row r="1584" spans="16:16" x14ac:dyDescent="0.25">
      <c r="P1584" s="4"/>
    </row>
    <row r="1585" spans="16:16" x14ac:dyDescent="0.25">
      <c r="P1585" s="4"/>
    </row>
    <row r="1586" spans="16:16" x14ac:dyDescent="0.25">
      <c r="P1586" s="4"/>
    </row>
    <row r="1587" spans="16:16" x14ac:dyDescent="0.25">
      <c r="P1587" s="4"/>
    </row>
    <row r="1588" spans="16:16" x14ac:dyDescent="0.25">
      <c r="P1588" s="4"/>
    </row>
    <row r="1589" spans="16:16" x14ac:dyDescent="0.25">
      <c r="P1589" s="4"/>
    </row>
    <row r="1590" spans="16:16" x14ac:dyDescent="0.25">
      <c r="P1590" s="4"/>
    </row>
    <row r="1591" spans="16:16" x14ac:dyDescent="0.25">
      <c r="P1591" s="4"/>
    </row>
    <row r="1592" spans="16:16" x14ac:dyDescent="0.25">
      <c r="P1592" s="4"/>
    </row>
    <row r="1593" spans="16:16" x14ac:dyDescent="0.25">
      <c r="P1593" s="4"/>
    </row>
    <row r="1594" spans="16:16" x14ac:dyDescent="0.25">
      <c r="P1594" s="4"/>
    </row>
    <row r="1595" spans="16:16" x14ac:dyDescent="0.25">
      <c r="P1595" s="4"/>
    </row>
    <row r="1596" spans="16:16" x14ac:dyDescent="0.25">
      <c r="P1596" s="4"/>
    </row>
    <row r="1597" spans="16:16" x14ac:dyDescent="0.25">
      <c r="P1597" s="4"/>
    </row>
    <row r="1598" spans="16:16" x14ac:dyDescent="0.25">
      <c r="P1598" s="4"/>
    </row>
    <row r="1599" spans="16:16" x14ac:dyDescent="0.25">
      <c r="P1599" s="4"/>
    </row>
    <row r="1600" spans="16:16" x14ac:dyDescent="0.25">
      <c r="P1600" s="4"/>
    </row>
    <row r="1601" spans="16:16" x14ac:dyDescent="0.25">
      <c r="P1601" s="4"/>
    </row>
    <row r="1602" spans="16:16" x14ac:dyDescent="0.25">
      <c r="P1602" s="4"/>
    </row>
    <row r="1603" spans="16:16" x14ac:dyDescent="0.25">
      <c r="P1603" s="4"/>
    </row>
    <row r="1604" spans="16:16" x14ac:dyDescent="0.25">
      <c r="P1604" s="4"/>
    </row>
    <row r="1605" spans="16:16" x14ac:dyDescent="0.25">
      <c r="P1605" s="4"/>
    </row>
    <row r="1606" spans="16:16" x14ac:dyDescent="0.25">
      <c r="P1606" s="4"/>
    </row>
    <row r="1607" spans="16:16" x14ac:dyDescent="0.25">
      <c r="P1607" s="4"/>
    </row>
    <row r="1608" spans="16:16" x14ac:dyDescent="0.25">
      <c r="P1608" s="4"/>
    </row>
    <row r="1609" spans="16:16" x14ac:dyDescent="0.25">
      <c r="P1609" s="4"/>
    </row>
    <row r="1610" spans="16:16" x14ac:dyDescent="0.25">
      <c r="P1610" s="4"/>
    </row>
    <row r="1611" spans="16:16" x14ac:dyDescent="0.25">
      <c r="P1611" s="4"/>
    </row>
    <row r="1612" spans="16:16" x14ac:dyDescent="0.25">
      <c r="P1612" s="4"/>
    </row>
    <row r="1613" spans="16:16" x14ac:dyDescent="0.25">
      <c r="P1613" s="4"/>
    </row>
    <row r="1614" spans="16:16" x14ac:dyDescent="0.25">
      <c r="P1614" s="4"/>
    </row>
    <row r="1615" spans="16:16" x14ac:dyDescent="0.25">
      <c r="P1615" s="4"/>
    </row>
    <row r="1616" spans="16:16" x14ac:dyDescent="0.25">
      <c r="P1616" s="4"/>
    </row>
    <row r="1617" spans="16:16" x14ac:dyDescent="0.25">
      <c r="P1617" s="4"/>
    </row>
    <row r="1618" spans="16:16" x14ac:dyDescent="0.25">
      <c r="P1618" s="4"/>
    </row>
    <row r="1619" spans="16:16" x14ac:dyDescent="0.25">
      <c r="P1619" s="4"/>
    </row>
    <row r="1620" spans="16:16" x14ac:dyDescent="0.25">
      <c r="P1620" s="4"/>
    </row>
    <row r="1621" spans="16:16" x14ac:dyDescent="0.25">
      <c r="P1621" s="4"/>
    </row>
    <row r="1622" spans="16:16" x14ac:dyDescent="0.25">
      <c r="P1622" s="4"/>
    </row>
    <row r="1623" spans="16:16" x14ac:dyDescent="0.25">
      <c r="P1623" s="4"/>
    </row>
    <row r="1624" spans="16:16" x14ac:dyDescent="0.25">
      <c r="P1624" s="4"/>
    </row>
    <row r="1625" spans="16:16" x14ac:dyDescent="0.25">
      <c r="P1625" s="4"/>
    </row>
    <row r="1626" spans="16:16" x14ac:dyDescent="0.25">
      <c r="P1626" s="4"/>
    </row>
    <row r="1627" spans="16:16" x14ac:dyDescent="0.25">
      <c r="P1627" s="4"/>
    </row>
    <row r="1628" spans="16:16" x14ac:dyDescent="0.25">
      <c r="P1628" s="4"/>
    </row>
    <row r="1629" spans="16:16" x14ac:dyDescent="0.25">
      <c r="P1629" s="4"/>
    </row>
    <row r="1630" spans="16:16" x14ac:dyDescent="0.25">
      <c r="P1630" s="4"/>
    </row>
    <row r="1631" spans="16:16" x14ac:dyDescent="0.25">
      <c r="P1631" s="4"/>
    </row>
    <row r="1632" spans="16:16" x14ac:dyDescent="0.25">
      <c r="P1632" s="4"/>
    </row>
    <row r="1633" spans="16:16" x14ac:dyDescent="0.25">
      <c r="P1633" s="4"/>
    </row>
    <row r="1634" spans="16:16" x14ac:dyDescent="0.25">
      <c r="P1634" s="4"/>
    </row>
    <row r="1635" spans="16:16" x14ac:dyDescent="0.25">
      <c r="P1635" s="4"/>
    </row>
    <row r="1636" spans="16:16" x14ac:dyDescent="0.25">
      <c r="P1636" s="4"/>
    </row>
    <row r="1637" spans="16:16" x14ac:dyDescent="0.25">
      <c r="P1637" s="4"/>
    </row>
    <row r="1638" spans="16:16" x14ac:dyDescent="0.25">
      <c r="P1638" s="4"/>
    </row>
    <row r="1639" spans="16:16" x14ac:dyDescent="0.25">
      <c r="P1639" s="4"/>
    </row>
    <row r="1640" spans="16:16" x14ac:dyDescent="0.25">
      <c r="P1640" s="4"/>
    </row>
    <row r="1641" spans="16:16" x14ac:dyDescent="0.25">
      <c r="P1641" s="4"/>
    </row>
    <row r="1642" spans="16:16" x14ac:dyDescent="0.25">
      <c r="P1642" s="4"/>
    </row>
    <row r="1643" spans="16:16" x14ac:dyDescent="0.25">
      <c r="P1643" s="4"/>
    </row>
    <row r="1644" spans="16:16" x14ac:dyDescent="0.25">
      <c r="P1644" s="4"/>
    </row>
    <row r="1645" spans="16:16" x14ac:dyDescent="0.25">
      <c r="P1645" s="4"/>
    </row>
    <row r="1646" spans="16:16" x14ac:dyDescent="0.25">
      <c r="P1646" s="4"/>
    </row>
    <row r="1647" spans="16:16" x14ac:dyDescent="0.25">
      <c r="P1647" s="4"/>
    </row>
    <row r="1648" spans="16:16" x14ac:dyDescent="0.25">
      <c r="P1648" s="4"/>
    </row>
    <row r="1649" spans="16:16" x14ac:dyDescent="0.25">
      <c r="P1649" s="4"/>
    </row>
    <row r="1650" spans="16:16" x14ac:dyDescent="0.25">
      <c r="P1650" s="4"/>
    </row>
    <row r="1651" spans="16:16" x14ac:dyDescent="0.25">
      <c r="P1651" s="4"/>
    </row>
    <row r="1652" spans="16:16" x14ac:dyDescent="0.25">
      <c r="P1652" s="4"/>
    </row>
    <row r="1653" spans="16:16" x14ac:dyDescent="0.25">
      <c r="P1653" s="4"/>
    </row>
    <row r="1654" spans="16:16" x14ac:dyDescent="0.25">
      <c r="P1654" s="4"/>
    </row>
    <row r="1655" spans="16:16" x14ac:dyDescent="0.25">
      <c r="P1655" s="4"/>
    </row>
    <row r="1656" spans="16:16" x14ac:dyDescent="0.25">
      <c r="P1656" s="4"/>
    </row>
    <row r="1657" spans="16:16" x14ac:dyDescent="0.25">
      <c r="P1657" s="4"/>
    </row>
    <row r="1658" spans="16:16" x14ac:dyDescent="0.25">
      <c r="P1658" s="4"/>
    </row>
    <row r="1659" spans="16:16" x14ac:dyDescent="0.25">
      <c r="P1659" s="4"/>
    </row>
    <row r="1660" spans="16:16" x14ac:dyDescent="0.25">
      <c r="P1660" s="4"/>
    </row>
    <row r="1661" spans="16:16" x14ac:dyDescent="0.25">
      <c r="P1661" s="4"/>
    </row>
    <row r="1662" spans="16:16" x14ac:dyDescent="0.25">
      <c r="P1662" s="4"/>
    </row>
    <row r="1663" spans="16:16" x14ac:dyDescent="0.25">
      <c r="P1663" s="4"/>
    </row>
    <row r="1664" spans="16:16" x14ac:dyDescent="0.25">
      <c r="P1664" s="4"/>
    </row>
    <row r="1665" spans="16:16" x14ac:dyDescent="0.25">
      <c r="P1665" s="4"/>
    </row>
    <row r="1666" spans="16:16" x14ac:dyDescent="0.25">
      <c r="P1666" s="4"/>
    </row>
    <row r="1667" spans="16:16" x14ac:dyDescent="0.25">
      <c r="P1667" s="4"/>
    </row>
    <row r="1668" spans="16:16" x14ac:dyDescent="0.25">
      <c r="P1668" s="4"/>
    </row>
    <row r="1669" spans="16:16" x14ac:dyDescent="0.25">
      <c r="P1669" s="4"/>
    </row>
    <row r="1670" spans="16:16" x14ac:dyDescent="0.25">
      <c r="P1670" s="4"/>
    </row>
    <row r="1671" spans="16:16" x14ac:dyDescent="0.25">
      <c r="P1671" s="4"/>
    </row>
    <row r="1672" spans="16:16" x14ac:dyDescent="0.25">
      <c r="P1672" s="4"/>
    </row>
    <row r="1673" spans="16:16" x14ac:dyDescent="0.25">
      <c r="P1673" s="4"/>
    </row>
    <row r="1674" spans="16:16" x14ac:dyDescent="0.25">
      <c r="P1674" s="4"/>
    </row>
    <row r="1675" spans="16:16" x14ac:dyDescent="0.25">
      <c r="P1675" s="4"/>
    </row>
    <row r="1676" spans="16:16" x14ac:dyDescent="0.25">
      <c r="P1676" s="4"/>
    </row>
    <row r="1677" spans="16:16" x14ac:dyDescent="0.25">
      <c r="P1677" s="4"/>
    </row>
    <row r="1678" spans="16:16" x14ac:dyDescent="0.25">
      <c r="P1678" s="4"/>
    </row>
    <row r="1679" spans="16:16" x14ac:dyDescent="0.25">
      <c r="P1679" s="4"/>
    </row>
    <row r="1680" spans="16:16" x14ac:dyDescent="0.25">
      <c r="P1680" s="4"/>
    </row>
    <row r="1681" spans="16:16" x14ac:dyDescent="0.25">
      <c r="P1681" s="4"/>
    </row>
    <row r="1682" spans="16:16" x14ac:dyDescent="0.25">
      <c r="P1682" s="4"/>
    </row>
    <row r="1683" spans="16:16" x14ac:dyDescent="0.25">
      <c r="P1683" s="4"/>
    </row>
    <row r="1684" spans="16:16" x14ac:dyDescent="0.25">
      <c r="P1684" s="4"/>
    </row>
    <row r="1685" spans="16:16" x14ac:dyDescent="0.25">
      <c r="P1685" s="4"/>
    </row>
    <row r="1686" spans="16:16" x14ac:dyDescent="0.25">
      <c r="P1686" s="4"/>
    </row>
    <row r="1687" spans="16:16" x14ac:dyDescent="0.25">
      <c r="P1687" s="4"/>
    </row>
    <row r="1688" spans="16:16" x14ac:dyDescent="0.25">
      <c r="P1688" s="4"/>
    </row>
    <row r="1689" spans="16:16" x14ac:dyDescent="0.25">
      <c r="P1689" s="4"/>
    </row>
    <row r="1690" spans="16:16" x14ac:dyDescent="0.25">
      <c r="P1690" s="4"/>
    </row>
    <row r="1691" spans="16:16" x14ac:dyDescent="0.25">
      <c r="P1691" s="4"/>
    </row>
    <row r="1692" spans="16:16" x14ac:dyDescent="0.25">
      <c r="P1692" s="4"/>
    </row>
    <row r="1693" spans="16:16" x14ac:dyDescent="0.25">
      <c r="P1693" s="4"/>
    </row>
    <row r="1694" spans="16:16" x14ac:dyDescent="0.25">
      <c r="P1694" s="4"/>
    </row>
    <row r="1695" spans="16:16" x14ac:dyDescent="0.25">
      <c r="P1695" s="4"/>
    </row>
    <row r="1696" spans="16:16" x14ac:dyDescent="0.25">
      <c r="P1696" s="4"/>
    </row>
    <row r="1697" spans="16:16" x14ac:dyDescent="0.25">
      <c r="P1697" s="4"/>
    </row>
    <row r="1698" spans="16:16" x14ac:dyDescent="0.25">
      <c r="P1698" s="4"/>
    </row>
    <row r="1699" spans="16:16" x14ac:dyDescent="0.25">
      <c r="P1699" s="4"/>
    </row>
    <row r="1700" spans="16:16" x14ac:dyDescent="0.25">
      <c r="P1700" s="4"/>
    </row>
    <row r="1701" spans="16:16" x14ac:dyDescent="0.25">
      <c r="P1701" s="4"/>
    </row>
    <row r="1702" spans="16:16" x14ac:dyDescent="0.25">
      <c r="P1702" s="4"/>
    </row>
    <row r="1703" spans="16:16" x14ac:dyDescent="0.25">
      <c r="P1703" s="4"/>
    </row>
    <row r="1704" spans="16:16" x14ac:dyDescent="0.25">
      <c r="P1704" s="4"/>
    </row>
    <row r="1705" spans="16:16" x14ac:dyDescent="0.25">
      <c r="P1705" s="4"/>
    </row>
    <row r="1706" spans="16:16" x14ac:dyDescent="0.25">
      <c r="P1706" s="4"/>
    </row>
    <row r="1707" spans="16:16" x14ac:dyDescent="0.25">
      <c r="P1707" s="4"/>
    </row>
    <row r="1708" spans="16:16" x14ac:dyDescent="0.25">
      <c r="P1708" s="4"/>
    </row>
    <row r="1709" spans="16:16" x14ac:dyDescent="0.25">
      <c r="P1709" s="4"/>
    </row>
    <row r="1710" spans="16:16" x14ac:dyDescent="0.25">
      <c r="P1710" s="4"/>
    </row>
    <row r="1711" spans="16:16" x14ac:dyDescent="0.25">
      <c r="P1711" s="4"/>
    </row>
    <row r="1712" spans="16:16" x14ac:dyDescent="0.25">
      <c r="P1712" s="4"/>
    </row>
    <row r="1713" spans="16:16" x14ac:dyDescent="0.25">
      <c r="P1713" s="4"/>
    </row>
    <row r="1714" spans="16:16" x14ac:dyDescent="0.25">
      <c r="P1714" s="4"/>
    </row>
    <row r="1715" spans="16:16" x14ac:dyDescent="0.25">
      <c r="P1715" s="4"/>
    </row>
    <row r="1716" spans="16:16" x14ac:dyDescent="0.25">
      <c r="P1716" s="4"/>
    </row>
    <row r="1717" spans="16:16" x14ac:dyDescent="0.25">
      <c r="P1717" s="4"/>
    </row>
    <row r="1718" spans="16:16" x14ac:dyDescent="0.25">
      <c r="P1718" s="4"/>
    </row>
    <row r="1719" spans="16:16" x14ac:dyDescent="0.25">
      <c r="P1719" s="4"/>
    </row>
    <row r="1720" spans="16:16" x14ac:dyDescent="0.25">
      <c r="P1720" s="4"/>
    </row>
    <row r="1721" spans="16:16" x14ac:dyDescent="0.25">
      <c r="P1721" s="4"/>
    </row>
    <row r="1722" spans="16:16" x14ac:dyDescent="0.25">
      <c r="P1722" s="4"/>
    </row>
    <row r="1723" spans="16:16" x14ac:dyDescent="0.25">
      <c r="P1723" s="4"/>
    </row>
    <row r="1724" spans="16:16" x14ac:dyDescent="0.25">
      <c r="P1724" s="4"/>
    </row>
    <row r="1725" spans="16:16" x14ac:dyDescent="0.25">
      <c r="P1725" s="4"/>
    </row>
    <row r="1726" spans="16:16" x14ac:dyDescent="0.25">
      <c r="P1726" s="4"/>
    </row>
    <row r="1727" spans="16:16" x14ac:dyDescent="0.25">
      <c r="P1727" s="4"/>
    </row>
    <row r="1728" spans="16:16" x14ac:dyDescent="0.25">
      <c r="P1728" s="4"/>
    </row>
    <row r="1729" spans="16:16" x14ac:dyDescent="0.25">
      <c r="P1729" s="4"/>
    </row>
    <row r="1730" spans="16:16" x14ac:dyDescent="0.25">
      <c r="P1730" s="4"/>
    </row>
    <row r="1731" spans="16:16" x14ac:dyDescent="0.25">
      <c r="P1731" s="4"/>
    </row>
    <row r="1732" spans="16:16" x14ac:dyDescent="0.25">
      <c r="P1732" s="4"/>
    </row>
    <row r="1733" spans="16:16" x14ac:dyDescent="0.25">
      <c r="P1733" s="4"/>
    </row>
    <row r="1734" spans="16:16" x14ac:dyDescent="0.25">
      <c r="P1734" s="4"/>
    </row>
    <row r="1735" spans="16:16" x14ac:dyDescent="0.25">
      <c r="P1735" s="4"/>
    </row>
    <row r="1736" spans="16:16" x14ac:dyDescent="0.25">
      <c r="P1736" s="4"/>
    </row>
    <row r="1737" spans="16:16" x14ac:dyDescent="0.25">
      <c r="P1737" s="4"/>
    </row>
    <row r="1738" spans="16:16" x14ac:dyDescent="0.25">
      <c r="P1738" s="4"/>
    </row>
    <row r="1739" spans="16:16" x14ac:dyDescent="0.25">
      <c r="P1739" s="4"/>
    </row>
    <row r="1740" spans="16:16" x14ac:dyDescent="0.25">
      <c r="P1740" s="4"/>
    </row>
    <row r="1741" spans="16:16" x14ac:dyDescent="0.25">
      <c r="P1741" s="4"/>
    </row>
    <row r="1742" spans="16:16" x14ac:dyDescent="0.25">
      <c r="P1742" s="4"/>
    </row>
    <row r="1743" spans="16:16" x14ac:dyDescent="0.25">
      <c r="P1743" s="4"/>
    </row>
    <row r="1744" spans="16:16" x14ac:dyDescent="0.25">
      <c r="P1744" s="4"/>
    </row>
    <row r="1745" spans="16:16" x14ac:dyDescent="0.25">
      <c r="P1745" s="4"/>
    </row>
    <row r="1746" spans="16:16" x14ac:dyDescent="0.25">
      <c r="P1746" s="4"/>
    </row>
    <row r="1747" spans="16:16" x14ac:dyDescent="0.25">
      <c r="P1747" s="4"/>
    </row>
    <row r="1748" spans="16:16" x14ac:dyDescent="0.25">
      <c r="P1748" s="4"/>
    </row>
    <row r="1749" spans="16:16" x14ac:dyDescent="0.25">
      <c r="P1749" s="4"/>
    </row>
    <row r="1750" spans="16:16" x14ac:dyDescent="0.25">
      <c r="P1750" s="4"/>
    </row>
    <row r="1751" spans="16:16" x14ac:dyDescent="0.25">
      <c r="P1751" s="4"/>
    </row>
    <row r="1752" spans="16:16" x14ac:dyDescent="0.25">
      <c r="P1752" s="4"/>
    </row>
    <row r="1753" spans="16:16" x14ac:dyDescent="0.25">
      <c r="P1753" s="4"/>
    </row>
    <row r="1754" spans="16:16" x14ac:dyDescent="0.25">
      <c r="P1754" s="4"/>
    </row>
    <row r="1755" spans="16:16" x14ac:dyDescent="0.25">
      <c r="P1755" s="4"/>
    </row>
    <row r="1756" spans="16:16" x14ac:dyDescent="0.25">
      <c r="P1756" s="4"/>
    </row>
    <row r="1757" spans="16:16" x14ac:dyDescent="0.25">
      <c r="P1757" s="4"/>
    </row>
    <row r="1758" spans="16:16" x14ac:dyDescent="0.25">
      <c r="P1758" s="4"/>
    </row>
    <row r="1759" spans="16:16" x14ac:dyDescent="0.25">
      <c r="P1759" s="4"/>
    </row>
    <row r="1760" spans="16:16" x14ac:dyDescent="0.25">
      <c r="P1760" s="4"/>
    </row>
    <row r="1761" spans="16:16" x14ac:dyDescent="0.25">
      <c r="P1761" s="4"/>
    </row>
    <row r="1762" spans="16:16" x14ac:dyDescent="0.25">
      <c r="P1762" s="4"/>
    </row>
    <row r="1763" spans="16:16" x14ac:dyDescent="0.25">
      <c r="P1763" s="4"/>
    </row>
    <row r="1764" spans="16:16" x14ac:dyDescent="0.25">
      <c r="P1764" s="4"/>
    </row>
    <row r="1765" spans="16:16" x14ac:dyDescent="0.25">
      <c r="P1765" s="4"/>
    </row>
    <row r="1766" spans="16:16" x14ac:dyDescent="0.25">
      <c r="P1766" s="4"/>
    </row>
    <row r="1767" spans="16:16" x14ac:dyDescent="0.25">
      <c r="P1767" s="4"/>
    </row>
    <row r="1768" spans="16:16" x14ac:dyDescent="0.25">
      <c r="P1768" s="4"/>
    </row>
    <row r="1769" spans="16:16" x14ac:dyDescent="0.25">
      <c r="P1769" s="4"/>
    </row>
    <row r="1770" spans="16:16" x14ac:dyDescent="0.25">
      <c r="P1770" s="4"/>
    </row>
    <row r="1771" spans="16:16" x14ac:dyDescent="0.25">
      <c r="P1771" s="4"/>
    </row>
    <row r="1772" spans="16:16" x14ac:dyDescent="0.25">
      <c r="P1772" s="4"/>
    </row>
    <row r="1773" spans="16:16" x14ac:dyDescent="0.25">
      <c r="P1773" s="4"/>
    </row>
    <row r="1774" spans="16:16" x14ac:dyDescent="0.25">
      <c r="P1774" s="4"/>
    </row>
    <row r="1775" spans="16:16" x14ac:dyDescent="0.25">
      <c r="P1775" s="4"/>
    </row>
    <row r="1776" spans="16:16" x14ac:dyDescent="0.25">
      <c r="P1776" s="4"/>
    </row>
    <row r="1777" spans="16:16" x14ac:dyDescent="0.25">
      <c r="P1777" s="4"/>
    </row>
    <row r="1778" spans="16:16" x14ac:dyDescent="0.25">
      <c r="P1778" s="4"/>
    </row>
    <row r="1779" spans="16:16" x14ac:dyDescent="0.25">
      <c r="P1779" s="4"/>
    </row>
    <row r="1780" spans="16:16" x14ac:dyDescent="0.25">
      <c r="P1780" s="4"/>
    </row>
    <row r="1781" spans="16:16" x14ac:dyDescent="0.25">
      <c r="P1781" s="4"/>
    </row>
    <row r="1782" spans="16:16" x14ac:dyDescent="0.25">
      <c r="P1782" s="4"/>
    </row>
    <row r="1783" spans="16:16" x14ac:dyDescent="0.25">
      <c r="P1783" s="4"/>
    </row>
    <row r="1784" spans="16:16" x14ac:dyDescent="0.25">
      <c r="P1784" s="4"/>
    </row>
    <row r="1785" spans="16:16" x14ac:dyDescent="0.25">
      <c r="P1785" s="4"/>
    </row>
    <row r="1786" spans="16:16" x14ac:dyDescent="0.25">
      <c r="P1786" s="4"/>
    </row>
    <row r="1787" spans="16:16" x14ac:dyDescent="0.25">
      <c r="P1787" s="4"/>
    </row>
    <row r="1788" spans="16:16" x14ac:dyDescent="0.25">
      <c r="P1788" s="4"/>
    </row>
    <row r="1789" spans="16:16" x14ac:dyDescent="0.25">
      <c r="P1789" s="4"/>
    </row>
    <row r="1790" spans="16:16" x14ac:dyDescent="0.25">
      <c r="P1790" s="4"/>
    </row>
    <row r="1791" spans="16:16" x14ac:dyDescent="0.25">
      <c r="P1791" s="4"/>
    </row>
    <row r="1792" spans="16:16" x14ac:dyDescent="0.25">
      <c r="P1792" s="4"/>
    </row>
    <row r="1793" spans="16:16" x14ac:dyDescent="0.25">
      <c r="P1793" s="4"/>
    </row>
    <row r="1794" spans="16:16" x14ac:dyDescent="0.25">
      <c r="P1794" s="4"/>
    </row>
    <row r="1795" spans="16:16" x14ac:dyDescent="0.25">
      <c r="P1795" s="4"/>
    </row>
    <row r="1796" spans="16:16" x14ac:dyDescent="0.25">
      <c r="P1796" s="4"/>
    </row>
    <row r="1797" spans="16:16" x14ac:dyDescent="0.25">
      <c r="P1797" s="4"/>
    </row>
    <row r="1798" spans="16:16" x14ac:dyDescent="0.25">
      <c r="P1798" s="4"/>
    </row>
    <row r="1799" spans="16:16" x14ac:dyDescent="0.25">
      <c r="P1799" s="4"/>
    </row>
    <row r="1800" spans="16:16" x14ac:dyDescent="0.25">
      <c r="P1800" s="4"/>
    </row>
    <row r="1801" spans="16:16" x14ac:dyDescent="0.25">
      <c r="P1801" s="4"/>
    </row>
    <row r="1802" spans="16:16" x14ac:dyDescent="0.25">
      <c r="P1802" s="4"/>
    </row>
    <row r="1803" spans="16:16" x14ac:dyDescent="0.25">
      <c r="P1803" s="4"/>
    </row>
    <row r="1804" spans="16:16" x14ac:dyDescent="0.25">
      <c r="P1804" s="4"/>
    </row>
    <row r="1805" spans="16:16" x14ac:dyDescent="0.25">
      <c r="P1805" s="4"/>
    </row>
    <row r="1806" spans="16:16" x14ac:dyDescent="0.25">
      <c r="P1806" s="4"/>
    </row>
    <row r="1807" spans="16:16" x14ac:dyDescent="0.25">
      <c r="P1807" s="4"/>
    </row>
    <row r="1808" spans="16:16" x14ac:dyDescent="0.25">
      <c r="P1808" s="4"/>
    </row>
    <row r="1809" spans="16:16" x14ac:dyDescent="0.25">
      <c r="P1809" s="4"/>
    </row>
    <row r="1810" spans="16:16" x14ac:dyDescent="0.25">
      <c r="P1810" s="4"/>
    </row>
    <row r="1811" spans="16:16" x14ac:dyDescent="0.25">
      <c r="P1811" s="4"/>
    </row>
    <row r="1812" spans="16:16" x14ac:dyDescent="0.25">
      <c r="P1812" s="4"/>
    </row>
    <row r="1813" spans="16:16" x14ac:dyDescent="0.25">
      <c r="P1813" s="4"/>
    </row>
    <row r="1814" spans="16:16" x14ac:dyDescent="0.25">
      <c r="P1814" s="4"/>
    </row>
    <row r="1815" spans="16:16" x14ac:dyDescent="0.25">
      <c r="P1815" s="4"/>
    </row>
    <row r="1816" spans="16:16" x14ac:dyDescent="0.25">
      <c r="P1816" s="4"/>
    </row>
    <row r="1817" spans="16:16" x14ac:dyDescent="0.25">
      <c r="P1817" s="4"/>
    </row>
    <row r="1818" spans="16:16" x14ac:dyDescent="0.25">
      <c r="P1818" s="4"/>
    </row>
    <row r="1819" spans="16:16" x14ac:dyDescent="0.25">
      <c r="P1819" s="4"/>
    </row>
    <row r="1820" spans="16:16" x14ac:dyDescent="0.25">
      <c r="P1820" s="4"/>
    </row>
    <row r="1821" spans="16:16" x14ac:dyDescent="0.25">
      <c r="P1821" s="4"/>
    </row>
    <row r="1822" spans="16:16" x14ac:dyDescent="0.25">
      <c r="P1822" s="4"/>
    </row>
    <row r="1823" spans="16:16" x14ac:dyDescent="0.25">
      <c r="P1823" s="4"/>
    </row>
    <row r="1824" spans="16:16" x14ac:dyDescent="0.25">
      <c r="P1824" s="4"/>
    </row>
    <row r="1825" spans="16:16" x14ac:dyDescent="0.25">
      <c r="P1825" s="4"/>
    </row>
    <row r="1826" spans="16:16" x14ac:dyDescent="0.25">
      <c r="P1826" s="4"/>
    </row>
    <row r="1827" spans="16:16" x14ac:dyDescent="0.25">
      <c r="P1827" s="4"/>
    </row>
    <row r="1828" spans="16:16" x14ac:dyDescent="0.25">
      <c r="P1828" s="4"/>
    </row>
    <row r="1829" spans="16:16" x14ac:dyDescent="0.25">
      <c r="P1829" s="4"/>
    </row>
    <row r="1830" spans="16:16" x14ac:dyDescent="0.25">
      <c r="P1830" s="4"/>
    </row>
    <row r="1831" spans="16:16" x14ac:dyDescent="0.25">
      <c r="P1831" s="4"/>
    </row>
    <row r="1832" spans="16:16" x14ac:dyDescent="0.25">
      <c r="P1832" s="4"/>
    </row>
    <row r="1833" spans="16:16" x14ac:dyDescent="0.25">
      <c r="P1833" s="4"/>
    </row>
    <row r="1834" spans="16:16" x14ac:dyDescent="0.25">
      <c r="P1834" s="4"/>
    </row>
    <row r="1835" spans="16:16" x14ac:dyDescent="0.25">
      <c r="P1835" s="4"/>
    </row>
    <row r="1836" spans="16:16" x14ac:dyDescent="0.25">
      <c r="P1836" s="4"/>
    </row>
    <row r="1837" spans="16:16" x14ac:dyDescent="0.25">
      <c r="P1837" s="4"/>
    </row>
    <row r="1838" spans="16:16" x14ac:dyDescent="0.25">
      <c r="P1838" s="4"/>
    </row>
    <row r="1839" spans="16:16" x14ac:dyDescent="0.25">
      <c r="P1839" s="4"/>
    </row>
    <row r="1840" spans="16:16" x14ac:dyDescent="0.25">
      <c r="P1840" s="4"/>
    </row>
    <row r="1841" spans="16:16" x14ac:dyDescent="0.25">
      <c r="P1841" s="4"/>
    </row>
    <row r="1842" spans="16:16" x14ac:dyDescent="0.25">
      <c r="P1842" s="4"/>
    </row>
    <row r="1843" spans="16:16" x14ac:dyDescent="0.25">
      <c r="P1843" s="4"/>
    </row>
    <row r="1844" spans="16:16" x14ac:dyDescent="0.25">
      <c r="P1844" s="4"/>
    </row>
    <row r="1845" spans="16:16" x14ac:dyDescent="0.25">
      <c r="P1845" s="4"/>
    </row>
    <row r="1846" spans="16:16" x14ac:dyDescent="0.25">
      <c r="P1846" s="4"/>
    </row>
    <row r="1847" spans="16:16" x14ac:dyDescent="0.25">
      <c r="P1847" s="4"/>
    </row>
    <row r="1848" spans="16:16" x14ac:dyDescent="0.25">
      <c r="P1848" s="4"/>
    </row>
    <row r="1849" spans="16:16" x14ac:dyDescent="0.25">
      <c r="P1849" s="4"/>
    </row>
    <row r="1850" spans="16:16" x14ac:dyDescent="0.25">
      <c r="P1850" s="4"/>
    </row>
    <row r="1851" spans="16:16" x14ac:dyDescent="0.25">
      <c r="P1851" s="4"/>
    </row>
    <row r="1852" spans="16:16" x14ac:dyDescent="0.25">
      <c r="P1852" s="4"/>
    </row>
    <row r="1853" spans="16:16" x14ac:dyDescent="0.25">
      <c r="P1853" s="4"/>
    </row>
    <row r="1854" spans="16:16" x14ac:dyDescent="0.25">
      <c r="P1854" s="4"/>
    </row>
    <row r="1855" spans="16:16" x14ac:dyDescent="0.25">
      <c r="P1855" s="4"/>
    </row>
    <row r="1856" spans="16:16" x14ac:dyDescent="0.25">
      <c r="P1856" s="4"/>
    </row>
    <row r="1857" spans="16:16" x14ac:dyDescent="0.25">
      <c r="P1857" s="4"/>
    </row>
    <row r="1858" spans="16:16" x14ac:dyDescent="0.25">
      <c r="P1858" s="4"/>
    </row>
    <row r="1859" spans="16:16" x14ac:dyDescent="0.25">
      <c r="P1859" s="4"/>
    </row>
    <row r="1860" spans="16:16" x14ac:dyDescent="0.25">
      <c r="P1860" s="4"/>
    </row>
    <row r="1861" spans="16:16" x14ac:dyDescent="0.25">
      <c r="P1861" s="4"/>
    </row>
    <row r="1862" spans="16:16" x14ac:dyDescent="0.25">
      <c r="P1862" s="4"/>
    </row>
    <row r="1863" spans="16:16" x14ac:dyDescent="0.25">
      <c r="P1863" s="4"/>
    </row>
    <row r="1864" spans="16:16" x14ac:dyDescent="0.25">
      <c r="P1864" s="4"/>
    </row>
    <row r="1865" spans="16:16" x14ac:dyDescent="0.25">
      <c r="P1865" s="4"/>
    </row>
    <row r="1866" spans="16:16" x14ac:dyDescent="0.25">
      <c r="P1866" s="4"/>
    </row>
    <row r="1867" spans="16:16" x14ac:dyDescent="0.25">
      <c r="P1867" s="4"/>
    </row>
    <row r="1868" spans="16:16" x14ac:dyDescent="0.25">
      <c r="P1868" s="4"/>
    </row>
    <row r="1869" spans="16:16" x14ac:dyDescent="0.25">
      <c r="P1869" s="4"/>
    </row>
    <row r="1870" spans="16:16" x14ac:dyDescent="0.25">
      <c r="P1870" s="4"/>
    </row>
    <row r="1871" spans="16:16" x14ac:dyDescent="0.25">
      <c r="P1871" s="4"/>
    </row>
    <row r="1872" spans="16:16" x14ac:dyDescent="0.25">
      <c r="P1872" s="4"/>
    </row>
    <row r="1873" spans="16:16" x14ac:dyDescent="0.25">
      <c r="P1873" s="4"/>
    </row>
    <row r="1874" spans="16:16" x14ac:dyDescent="0.25">
      <c r="P1874" s="4"/>
    </row>
    <row r="1875" spans="16:16" x14ac:dyDescent="0.25">
      <c r="P1875" s="4"/>
    </row>
    <row r="1876" spans="16:16" x14ac:dyDescent="0.25">
      <c r="P1876" s="4"/>
    </row>
    <row r="1877" spans="16:16" x14ac:dyDescent="0.25">
      <c r="P1877" s="4"/>
    </row>
    <row r="1878" spans="16:16" x14ac:dyDescent="0.25">
      <c r="P1878" s="4"/>
    </row>
    <row r="1879" spans="16:16" x14ac:dyDescent="0.25">
      <c r="P1879" s="4"/>
    </row>
    <row r="1880" spans="16:16" x14ac:dyDescent="0.25">
      <c r="P1880" s="4"/>
    </row>
    <row r="1881" spans="16:16" x14ac:dyDescent="0.25">
      <c r="P1881" s="4"/>
    </row>
    <row r="1882" spans="16:16" x14ac:dyDescent="0.25">
      <c r="P1882" s="4"/>
    </row>
    <row r="1883" spans="16:16" x14ac:dyDescent="0.25">
      <c r="P1883" s="4"/>
    </row>
    <row r="1884" spans="16:16" x14ac:dyDescent="0.25">
      <c r="P1884" s="4"/>
    </row>
    <row r="1885" spans="16:16" x14ac:dyDescent="0.25">
      <c r="P1885" s="4"/>
    </row>
    <row r="1886" spans="16:16" x14ac:dyDescent="0.25">
      <c r="P1886" s="4"/>
    </row>
    <row r="1887" spans="16:16" x14ac:dyDescent="0.25">
      <c r="P1887" s="4"/>
    </row>
    <row r="1888" spans="16:16" x14ac:dyDescent="0.25">
      <c r="P1888" s="4"/>
    </row>
    <row r="1889" spans="16:16" x14ac:dyDescent="0.25">
      <c r="P1889" s="4"/>
    </row>
    <row r="1890" spans="16:16" x14ac:dyDescent="0.25">
      <c r="P1890" s="4"/>
    </row>
    <row r="1891" spans="16:16" x14ac:dyDescent="0.25">
      <c r="P1891" s="4"/>
    </row>
    <row r="1892" spans="16:16" x14ac:dyDescent="0.25">
      <c r="P1892" s="4"/>
    </row>
    <row r="1893" spans="16:16" x14ac:dyDescent="0.25">
      <c r="P1893" s="4"/>
    </row>
    <row r="1894" spans="16:16" x14ac:dyDescent="0.25">
      <c r="P1894" s="4"/>
    </row>
    <row r="1895" spans="16:16" x14ac:dyDescent="0.25">
      <c r="P1895" s="4"/>
    </row>
    <row r="1896" spans="16:16" x14ac:dyDescent="0.25">
      <c r="P1896" s="4"/>
    </row>
    <row r="1897" spans="16:16" x14ac:dyDescent="0.25">
      <c r="P1897" s="4"/>
    </row>
    <row r="1898" spans="16:16" x14ac:dyDescent="0.25">
      <c r="P1898" s="4"/>
    </row>
    <row r="1899" spans="16:16" x14ac:dyDescent="0.25">
      <c r="P1899" s="4"/>
    </row>
    <row r="1900" spans="16:16" x14ac:dyDescent="0.25">
      <c r="P1900" s="4"/>
    </row>
    <row r="1901" spans="16:16" x14ac:dyDescent="0.25">
      <c r="P1901" s="4"/>
    </row>
    <row r="1902" spans="16:16" x14ac:dyDescent="0.25">
      <c r="P1902" s="4"/>
    </row>
    <row r="1903" spans="16:16" x14ac:dyDescent="0.25">
      <c r="P1903" s="4"/>
    </row>
    <row r="1904" spans="16:16" x14ac:dyDescent="0.25">
      <c r="P1904" s="4"/>
    </row>
    <row r="1905" spans="16:16" x14ac:dyDescent="0.25">
      <c r="P1905" s="4"/>
    </row>
    <row r="1906" spans="16:16" x14ac:dyDescent="0.25">
      <c r="P1906" s="4"/>
    </row>
    <row r="1907" spans="16:16" x14ac:dyDescent="0.25">
      <c r="P1907" s="4"/>
    </row>
    <row r="1908" spans="16:16" x14ac:dyDescent="0.25">
      <c r="P1908" s="4"/>
    </row>
    <row r="1909" spans="16:16" x14ac:dyDescent="0.25">
      <c r="P1909" s="4"/>
    </row>
    <row r="1910" spans="16:16" x14ac:dyDescent="0.25">
      <c r="P1910" s="4"/>
    </row>
    <row r="1911" spans="16:16" x14ac:dyDescent="0.25">
      <c r="P1911" s="4"/>
    </row>
    <row r="1912" spans="16:16" x14ac:dyDescent="0.25">
      <c r="P1912" s="4"/>
    </row>
    <row r="1913" spans="16:16" x14ac:dyDescent="0.25">
      <c r="P1913" s="4"/>
    </row>
    <row r="1914" spans="16:16" x14ac:dyDescent="0.25">
      <c r="P1914" s="4"/>
    </row>
    <row r="1915" spans="16:16" x14ac:dyDescent="0.25">
      <c r="P1915" s="4"/>
    </row>
    <row r="1916" spans="16:16" x14ac:dyDescent="0.25">
      <c r="P1916" s="4"/>
    </row>
    <row r="1917" spans="16:16" x14ac:dyDescent="0.25">
      <c r="P1917" s="4"/>
    </row>
    <row r="1918" spans="16:16" x14ac:dyDescent="0.25">
      <c r="P1918" s="4"/>
    </row>
    <row r="1919" spans="16:16" x14ac:dyDescent="0.25">
      <c r="P1919" s="4"/>
    </row>
    <row r="1920" spans="16:16" x14ac:dyDescent="0.25">
      <c r="P1920" s="4"/>
    </row>
    <row r="1921" spans="16:16" x14ac:dyDescent="0.25">
      <c r="P1921" s="4"/>
    </row>
    <row r="1922" spans="16:16" x14ac:dyDescent="0.25">
      <c r="P1922" s="4"/>
    </row>
    <row r="1923" spans="16:16" x14ac:dyDescent="0.25">
      <c r="P1923" s="4"/>
    </row>
    <row r="1924" spans="16:16" x14ac:dyDescent="0.25">
      <c r="P1924" s="4"/>
    </row>
    <row r="1925" spans="16:16" x14ac:dyDescent="0.25">
      <c r="P1925" s="4"/>
    </row>
    <row r="1926" spans="16:16" x14ac:dyDescent="0.25">
      <c r="P1926" s="4"/>
    </row>
    <row r="1927" spans="16:16" x14ac:dyDescent="0.25">
      <c r="P1927" s="4"/>
    </row>
    <row r="1928" spans="16:16" x14ac:dyDescent="0.25">
      <c r="P1928" s="4"/>
    </row>
    <row r="1929" spans="16:16" x14ac:dyDescent="0.25">
      <c r="P1929" s="4"/>
    </row>
    <row r="1930" spans="16:16" x14ac:dyDescent="0.25">
      <c r="P1930" s="4"/>
    </row>
    <row r="1931" spans="16:16" x14ac:dyDescent="0.25">
      <c r="P1931" s="4"/>
    </row>
    <row r="1932" spans="16:16" x14ac:dyDescent="0.25">
      <c r="P1932" s="4"/>
    </row>
    <row r="1933" spans="16:16" x14ac:dyDescent="0.25">
      <c r="P1933" s="4"/>
    </row>
    <row r="1934" spans="16:16" x14ac:dyDescent="0.25">
      <c r="P1934" s="4"/>
    </row>
    <row r="1935" spans="16:16" x14ac:dyDescent="0.25">
      <c r="P1935" s="4"/>
    </row>
    <row r="1936" spans="16:16" x14ac:dyDescent="0.25">
      <c r="P1936" s="4"/>
    </row>
    <row r="1937" spans="16:16" x14ac:dyDescent="0.25">
      <c r="P1937" s="4"/>
    </row>
    <row r="1938" spans="16:16" x14ac:dyDescent="0.25">
      <c r="P1938" s="4"/>
    </row>
    <row r="1939" spans="16:16" x14ac:dyDescent="0.25">
      <c r="P1939" s="4"/>
    </row>
    <row r="1940" spans="16:16" x14ac:dyDescent="0.25">
      <c r="P1940" s="4"/>
    </row>
    <row r="1941" spans="16:16" x14ac:dyDescent="0.25">
      <c r="P1941" s="4"/>
    </row>
    <row r="1942" spans="16:16" x14ac:dyDescent="0.25">
      <c r="P1942" s="4"/>
    </row>
    <row r="1943" spans="16:16" x14ac:dyDescent="0.25">
      <c r="P1943" s="4"/>
    </row>
    <row r="1944" spans="16:16" x14ac:dyDescent="0.25">
      <c r="P1944" s="4"/>
    </row>
    <row r="1945" spans="16:16" x14ac:dyDescent="0.25">
      <c r="P1945" s="4"/>
    </row>
    <row r="1946" spans="16:16" x14ac:dyDescent="0.25">
      <c r="P1946" s="4"/>
    </row>
    <row r="1947" spans="16:16" x14ac:dyDescent="0.25">
      <c r="P1947" s="4"/>
    </row>
    <row r="1948" spans="16:16" x14ac:dyDescent="0.25">
      <c r="P1948" s="4"/>
    </row>
    <row r="1949" spans="16:16" x14ac:dyDescent="0.25">
      <c r="P1949" s="4"/>
    </row>
    <row r="1950" spans="16:16" x14ac:dyDescent="0.25">
      <c r="P1950" s="4"/>
    </row>
    <row r="1951" spans="16:16" x14ac:dyDescent="0.25">
      <c r="P1951" s="4"/>
    </row>
    <row r="1952" spans="16:16" x14ac:dyDescent="0.25">
      <c r="P1952" s="4"/>
    </row>
    <row r="1953" spans="16:16" x14ac:dyDescent="0.25">
      <c r="P1953" s="4"/>
    </row>
    <row r="1954" spans="16:16" x14ac:dyDescent="0.25">
      <c r="P1954" s="4"/>
    </row>
    <row r="1955" spans="16:16" x14ac:dyDescent="0.25">
      <c r="P1955" s="4"/>
    </row>
    <row r="1956" spans="16:16" x14ac:dyDescent="0.25">
      <c r="P1956" s="4"/>
    </row>
    <row r="1957" spans="16:16" x14ac:dyDescent="0.25">
      <c r="P1957" s="4"/>
    </row>
    <row r="1958" spans="16:16" x14ac:dyDescent="0.25">
      <c r="P1958" s="4"/>
    </row>
    <row r="1959" spans="16:16" x14ac:dyDescent="0.25">
      <c r="P1959" s="4"/>
    </row>
    <row r="1960" spans="16:16" x14ac:dyDescent="0.25">
      <c r="P1960" s="4"/>
    </row>
    <row r="1961" spans="16:16" x14ac:dyDescent="0.25">
      <c r="P1961" s="4"/>
    </row>
    <row r="1962" spans="16:16" x14ac:dyDescent="0.25">
      <c r="P1962" s="4"/>
    </row>
    <row r="1963" spans="16:16" x14ac:dyDescent="0.25">
      <c r="P1963" s="4"/>
    </row>
    <row r="1964" spans="16:16" x14ac:dyDescent="0.25">
      <c r="P1964" s="4"/>
    </row>
    <row r="1965" spans="16:16" x14ac:dyDescent="0.25">
      <c r="P1965" s="4"/>
    </row>
    <row r="1966" spans="16:16" x14ac:dyDescent="0.25">
      <c r="P1966" s="4"/>
    </row>
    <row r="1967" spans="16:16" x14ac:dyDescent="0.25">
      <c r="P1967" s="4"/>
    </row>
    <row r="1968" spans="16:16" x14ac:dyDescent="0.25">
      <c r="P1968" s="4"/>
    </row>
    <row r="1969" spans="16:16" x14ac:dyDescent="0.25">
      <c r="P1969" s="4"/>
    </row>
    <row r="1970" spans="16:16" x14ac:dyDescent="0.25">
      <c r="P1970" s="4"/>
    </row>
    <row r="1971" spans="16:16" x14ac:dyDescent="0.25">
      <c r="P1971" s="4"/>
    </row>
    <row r="1972" spans="16:16" x14ac:dyDescent="0.25">
      <c r="P1972" s="4"/>
    </row>
    <row r="1973" spans="16:16" x14ac:dyDescent="0.25">
      <c r="P1973" s="4"/>
    </row>
    <row r="1974" spans="16:16" x14ac:dyDescent="0.25">
      <c r="P1974" s="4"/>
    </row>
    <row r="1975" spans="16:16" x14ac:dyDescent="0.25">
      <c r="P1975" s="4"/>
    </row>
    <row r="1976" spans="16:16" x14ac:dyDescent="0.25">
      <c r="P1976" s="4"/>
    </row>
    <row r="1977" spans="16:16" x14ac:dyDescent="0.25">
      <c r="P1977" s="4"/>
    </row>
    <row r="1978" spans="16:16" x14ac:dyDescent="0.25">
      <c r="P1978" s="4"/>
    </row>
    <row r="1979" spans="16:16" x14ac:dyDescent="0.25">
      <c r="P1979" s="4"/>
    </row>
    <row r="1980" spans="16:16" x14ac:dyDescent="0.25">
      <c r="P1980" s="4"/>
    </row>
    <row r="1981" spans="16:16" x14ac:dyDescent="0.25">
      <c r="P1981" s="4"/>
    </row>
    <row r="1982" spans="16:16" x14ac:dyDescent="0.25">
      <c r="P1982" s="4"/>
    </row>
    <row r="1983" spans="16:16" x14ac:dyDescent="0.25">
      <c r="P1983" s="4"/>
    </row>
    <row r="1984" spans="16:16" x14ac:dyDescent="0.25">
      <c r="P1984" s="4"/>
    </row>
    <row r="1985" spans="16:16" x14ac:dyDescent="0.25">
      <c r="P1985" s="4"/>
    </row>
    <row r="1986" spans="16:16" x14ac:dyDescent="0.25">
      <c r="P1986" s="4"/>
    </row>
    <row r="1987" spans="16:16" x14ac:dyDescent="0.25">
      <c r="P1987" s="4"/>
    </row>
    <row r="1988" spans="16:16" x14ac:dyDescent="0.25">
      <c r="P1988" s="4"/>
    </row>
    <row r="1989" spans="16:16" x14ac:dyDescent="0.25">
      <c r="P1989" s="4"/>
    </row>
    <row r="1990" spans="16:16" x14ac:dyDescent="0.25">
      <c r="P1990" s="4"/>
    </row>
    <row r="1991" spans="16:16" x14ac:dyDescent="0.25">
      <c r="P1991" s="4"/>
    </row>
    <row r="1992" spans="16:16" x14ac:dyDescent="0.25">
      <c r="P1992" s="4"/>
    </row>
    <row r="1993" spans="16:16" x14ac:dyDescent="0.25">
      <c r="P1993" s="4"/>
    </row>
    <row r="1994" spans="16:16" x14ac:dyDescent="0.25">
      <c r="P1994" s="4"/>
    </row>
    <row r="1995" spans="16:16" x14ac:dyDescent="0.25">
      <c r="P1995" s="4"/>
    </row>
    <row r="1996" spans="16:16" x14ac:dyDescent="0.25">
      <c r="P1996" s="4"/>
    </row>
    <row r="1997" spans="16:16" x14ac:dyDescent="0.25">
      <c r="P1997" s="4"/>
    </row>
    <row r="1998" spans="16:16" x14ac:dyDescent="0.25">
      <c r="P1998" s="4"/>
    </row>
    <row r="1999" spans="16:16" x14ac:dyDescent="0.25">
      <c r="P1999" s="4"/>
    </row>
    <row r="2000" spans="16:16" x14ac:dyDescent="0.25">
      <c r="P2000" s="4"/>
    </row>
    <row r="2001" spans="16:16" x14ac:dyDescent="0.25">
      <c r="P2001" s="4"/>
    </row>
    <row r="2002" spans="16:16" x14ac:dyDescent="0.25">
      <c r="P2002" s="4"/>
    </row>
    <row r="2003" spans="16:16" x14ac:dyDescent="0.25">
      <c r="P2003" s="4"/>
    </row>
    <row r="2004" spans="16:16" x14ac:dyDescent="0.25">
      <c r="P2004" s="4"/>
    </row>
    <row r="2005" spans="16:16" x14ac:dyDescent="0.25">
      <c r="P2005" s="4"/>
    </row>
    <row r="2006" spans="16:16" x14ac:dyDescent="0.25">
      <c r="P2006" s="4"/>
    </row>
    <row r="2007" spans="16:16" x14ac:dyDescent="0.25">
      <c r="P2007" s="4"/>
    </row>
    <row r="2008" spans="16:16" x14ac:dyDescent="0.25">
      <c r="P2008" s="4"/>
    </row>
    <row r="2009" spans="16:16" x14ac:dyDescent="0.25">
      <c r="P2009" s="4"/>
    </row>
    <row r="2010" spans="16:16" x14ac:dyDescent="0.25">
      <c r="P2010" s="4"/>
    </row>
    <row r="2011" spans="16:16" x14ac:dyDescent="0.25">
      <c r="P2011" s="4"/>
    </row>
    <row r="2012" spans="16:16" x14ac:dyDescent="0.25">
      <c r="P2012" s="4"/>
    </row>
    <row r="2013" spans="16:16" x14ac:dyDescent="0.25">
      <c r="P2013" s="4"/>
    </row>
    <row r="2014" spans="16:16" x14ac:dyDescent="0.25">
      <c r="P2014" s="4"/>
    </row>
    <row r="2015" spans="16:16" x14ac:dyDescent="0.25">
      <c r="P2015" s="4"/>
    </row>
    <row r="2016" spans="16:16" x14ac:dyDescent="0.25">
      <c r="P2016" s="4"/>
    </row>
    <row r="2017" spans="16:16" x14ac:dyDescent="0.25">
      <c r="P2017" s="4"/>
    </row>
    <row r="2018" spans="16:16" x14ac:dyDescent="0.25">
      <c r="P2018" s="4"/>
    </row>
    <row r="2019" spans="16:16" x14ac:dyDescent="0.25">
      <c r="P2019" s="4"/>
    </row>
    <row r="2020" spans="16:16" x14ac:dyDescent="0.25">
      <c r="P2020" s="4"/>
    </row>
    <row r="2021" spans="16:16" x14ac:dyDescent="0.25">
      <c r="P2021" s="4"/>
    </row>
    <row r="2022" spans="16:16" x14ac:dyDescent="0.25">
      <c r="P2022" s="4"/>
    </row>
    <row r="2023" spans="16:16" x14ac:dyDescent="0.25">
      <c r="P2023" s="4"/>
    </row>
    <row r="2024" spans="16:16" x14ac:dyDescent="0.25">
      <c r="P2024" s="4"/>
    </row>
    <row r="2025" spans="16:16" x14ac:dyDescent="0.25">
      <c r="P2025" s="4"/>
    </row>
    <row r="2026" spans="16:16" x14ac:dyDescent="0.25">
      <c r="P2026" s="4"/>
    </row>
    <row r="2027" spans="16:16" x14ac:dyDescent="0.25">
      <c r="P2027" s="4"/>
    </row>
    <row r="2028" spans="16:16" x14ac:dyDescent="0.25">
      <c r="P2028" s="4"/>
    </row>
    <row r="2029" spans="16:16" x14ac:dyDescent="0.25">
      <c r="P2029" s="4"/>
    </row>
    <row r="2030" spans="16:16" x14ac:dyDescent="0.25">
      <c r="P2030" s="4"/>
    </row>
    <row r="2031" spans="16:16" x14ac:dyDescent="0.25">
      <c r="P2031" s="4"/>
    </row>
    <row r="2032" spans="16:16" x14ac:dyDescent="0.25">
      <c r="P2032" s="4"/>
    </row>
    <row r="2033" spans="16:16" x14ac:dyDescent="0.25">
      <c r="P2033" s="4"/>
    </row>
    <row r="2034" spans="16:16" x14ac:dyDescent="0.25">
      <c r="P2034" s="4"/>
    </row>
    <row r="2035" spans="16:16" x14ac:dyDescent="0.25">
      <c r="P2035" s="4"/>
    </row>
    <row r="2036" spans="16:16" x14ac:dyDescent="0.25">
      <c r="P2036" s="4"/>
    </row>
    <row r="2037" spans="16:16" x14ac:dyDescent="0.25">
      <c r="P2037" s="4"/>
    </row>
    <row r="2038" spans="16:16" x14ac:dyDescent="0.25">
      <c r="P2038" s="4"/>
    </row>
    <row r="2039" spans="16:16" x14ac:dyDescent="0.25">
      <c r="P2039" s="4"/>
    </row>
    <row r="2040" spans="16:16" x14ac:dyDescent="0.25">
      <c r="P2040" s="4"/>
    </row>
    <row r="2041" spans="16:16" x14ac:dyDescent="0.25">
      <c r="P2041" s="4"/>
    </row>
    <row r="2042" spans="16:16" x14ac:dyDescent="0.25">
      <c r="P2042" s="4"/>
    </row>
    <row r="2043" spans="16:16" x14ac:dyDescent="0.25">
      <c r="P2043" s="4"/>
    </row>
    <row r="2044" spans="16:16" x14ac:dyDescent="0.25">
      <c r="P2044" s="4"/>
    </row>
    <row r="2045" spans="16:16" x14ac:dyDescent="0.25">
      <c r="P2045" s="4"/>
    </row>
    <row r="2046" spans="16:16" x14ac:dyDescent="0.25">
      <c r="P2046" s="4"/>
    </row>
    <row r="2047" spans="16:16" x14ac:dyDescent="0.25">
      <c r="P2047" s="4"/>
    </row>
    <row r="2048" spans="16:16" x14ac:dyDescent="0.25">
      <c r="P2048" s="4"/>
    </row>
    <row r="2049" spans="16:16" x14ac:dyDescent="0.25">
      <c r="P2049" s="4"/>
    </row>
    <row r="2050" spans="16:16" x14ac:dyDescent="0.25">
      <c r="P2050" s="4"/>
    </row>
    <row r="2051" spans="16:16" x14ac:dyDescent="0.25">
      <c r="P2051" s="4"/>
    </row>
    <row r="2052" spans="16:16" x14ac:dyDescent="0.25">
      <c r="P2052" s="4"/>
    </row>
    <row r="2053" spans="16:16" x14ac:dyDescent="0.25">
      <c r="P2053" s="4"/>
    </row>
    <row r="2054" spans="16:16" x14ac:dyDescent="0.25">
      <c r="P2054" s="4"/>
    </row>
    <row r="2055" spans="16:16" x14ac:dyDescent="0.25">
      <c r="P2055" s="4"/>
    </row>
    <row r="2056" spans="16:16" x14ac:dyDescent="0.25">
      <c r="P2056" s="4"/>
    </row>
    <row r="2057" spans="16:16" x14ac:dyDescent="0.25">
      <c r="P2057" s="4"/>
    </row>
    <row r="2058" spans="16:16" x14ac:dyDescent="0.25">
      <c r="P2058" s="4"/>
    </row>
    <row r="2059" spans="16:16" x14ac:dyDescent="0.25">
      <c r="P2059" s="4"/>
    </row>
    <row r="2060" spans="16:16" x14ac:dyDescent="0.25">
      <c r="P2060" s="4"/>
    </row>
    <row r="2061" spans="16:16" x14ac:dyDescent="0.25">
      <c r="P2061" s="4"/>
    </row>
    <row r="2062" spans="16:16" x14ac:dyDescent="0.25">
      <c r="P2062" s="4"/>
    </row>
    <row r="2063" spans="16:16" x14ac:dyDescent="0.25">
      <c r="P2063" s="4"/>
    </row>
    <row r="2064" spans="16:16" x14ac:dyDescent="0.25">
      <c r="P2064" s="4"/>
    </row>
    <row r="2065" spans="16:16" x14ac:dyDescent="0.25">
      <c r="P2065" s="4"/>
    </row>
    <row r="2066" spans="16:16" x14ac:dyDescent="0.25">
      <c r="P2066" s="4"/>
    </row>
    <row r="2067" spans="16:16" x14ac:dyDescent="0.25">
      <c r="P2067" s="4"/>
    </row>
    <row r="2068" spans="16:16" x14ac:dyDescent="0.25">
      <c r="P2068" s="4"/>
    </row>
    <row r="2069" spans="16:16" x14ac:dyDescent="0.25">
      <c r="P2069" s="4"/>
    </row>
    <row r="2070" spans="16:16" x14ac:dyDescent="0.25">
      <c r="P2070" s="4"/>
    </row>
    <row r="2071" spans="16:16" x14ac:dyDescent="0.25">
      <c r="P2071" s="4"/>
    </row>
    <row r="2072" spans="16:16" x14ac:dyDescent="0.25">
      <c r="P2072" s="4"/>
    </row>
    <row r="2073" spans="16:16" x14ac:dyDescent="0.25">
      <c r="P2073" s="4"/>
    </row>
    <row r="2074" spans="16:16" x14ac:dyDescent="0.25">
      <c r="P2074" s="4"/>
    </row>
    <row r="2075" spans="16:16" x14ac:dyDescent="0.25">
      <c r="P2075" s="4"/>
    </row>
    <row r="2076" spans="16:16" x14ac:dyDescent="0.25">
      <c r="P2076" s="4"/>
    </row>
    <row r="2077" spans="16:16" x14ac:dyDescent="0.25">
      <c r="P2077" s="4"/>
    </row>
    <row r="2078" spans="16:16" x14ac:dyDescent="0.25">
      <c r="P2078" s="4"/>
    </row>
    <row r="2079" spans="16:16" x14ac:dyDescent="0.25">
      <c r="P2079" s="4"/>
    </row>
    <row r="2080" spans="16:16" x14ac:dyDescent="0.25">
      <c r="P2080" s="4"/>
    </row>
    <row r="2081" spans="16:16" x14ac:dyDescent="0.25">
      <c r="P2081" s="4"/>
    </row>
    <row r="2082" spans="16:16" x14ac:dyDescent="0.25">
      <c r="P2082" s="4"/>
    </row>
    <row r="2083" spans="16:16" x14ac:dyDescent="0.25">
      <c r="P2083" s="4"/>
    </row>
    <row r="2084" spans="16:16" x14ac:dyDescent="0.25">
      <c r="P2084" s="4"/>
    </row>
    <row r="2085" spans="16:16" x14ac:dyDescent="0.25">
      <c r="P2085" s="4"/>
    </row>
    <row r="2086" spans="16:16" x14ac:dyDescent="0.25">
      <c r="P2086" s="4"/>
    </row>
    <row r="2087" spans="16:16" x14ac:dyDescent="0.25">
      <c r="P2087" s="4"/>
    </row>
    <row r="2088" spans="16:16" x14ac:dyDescent="0.25">
      <c r="P2088" s="4"/>
    </row>
    <row r="2089" spans="16:16" x14ac:dyDescent="0.25">
      <c r="P2089" s="4"/>
    </row>
    <row r="2090" spans="16:16" x14ac:dyDescent="0.25">
      <c r="P2090" s="4"/>
    </row>
    <row r="2091" spans="16:16" x14ac:dyDescent="0.25">
      <c r="P2091" s="4"/>
    </row>
    <row r="2092" spans="16:16" x14ac:dyDescent="0.25">
      <c r="P2092" s="4"/>
    </row>
    <row r="2093" spans="16:16" x14ac:dyDescent="0.25">
      <c r="P2093" s="4"/>
    </row>
    <row r="2094" spans="16:16" x14ac:dyDescent="0.25">
      <c r="P2094" s="4"/>
    </row>
    <row r="2095" spans="16:16" x14ac:dyDescent="0.25">
      <c r="P2095" s="4"/>
    </row>
    <row r="2096" spans="16:16" x14ac:dyDescent="0.25">
      <c r="P2096" s="4"/>
    </row>
    <row r="2097" spans="16:16" x14ac:dyDescent="0.25">
      <c r="P2097" s="4"/>
    </row>
    <row r="2098" spans="16:16" x14ac:dyDescent="0.25">
      <c r="P2098" s="4"/>
    </row>
    <row r="2099" spans="16:16" x14ac:dyDescent="0.25">
      <c r="P2099" s="4"/>
    </row>
    <row r="2100" spans="16:16" x14ac:dyDescent="0.25">
      <c r="P2100" s="4"/>
    </row>
    <row r="2101" spans="16:16" x14ac:dyDescent="0.25">
      <c r="P2101" s="4"/>
    </row>
    <row r="2102" spans="16:16" x14ac:dyDescent="0.25">
      <c r="P2102" s="4"/>
    </row>
    <row r="2103" spans="16:16" x14ac:dyDescent="0.25">
      <c r="P2103" s="4"/>
    </row>
    <row r="2104" spans="16:16" x14ac:dyDescent="0.25">
      <c r="P2104" s="4"/>
    </row>
    <row r="2105" spans="16:16" x14ac:dyDescent="0.25">
      <c r="P2105" s="4"/>
    </row>
    <row r="2106" spans="16:16" x14ac:dyDescent="0.25">
      <c r="P2106" s="4"/>
    </row>
    <row r="2107" spans="16:16" x14ac:dyDescent="0.25">
      <c r="P2107" s="4"/>
    </row>
    <row r="2108" spans="16:16" x14ac:dyDescent="0.25">
      <c r="P2108" s="4"/>
    </row>
    <row r="2109" spans="16:16" x14ac:dyDescent="0.25">
      <c r="P2109" s="4"/>
    </row>
    <row r="2110" spans="16:16" x14ac:dyDescent="0.25">
      <c r="P2110" s="4"/>
    </row>
    <row r="2111" spans="16:16" x14ac:dyDescent="0.25">
      <c r="P2111" s="4"/>
    </row>
    <row r="2112" spans="16:16" x14ac:dyDescent="0.25">
      <c r="P2112" s="4"/>
    </row>
    <row r="2113" spans="16:16" x14ac:dyDescent="0.25">
      <c r="P2113" s="4"/>
    </row>
    <row r="2114" spans="16:16" x14ac:dyDescent="0.25">
      <c r="P2114" s="4"/>
    </row>
    <row r="2115" spans="16:16" x14ac:dyDescent="0.25">
      <c r="P2115" s="4"/>
    </row>
    <row r="2116" spans="16:16" x14ac:dyDescent="0.25">
      <c r="P2116" s="4"/>
    </row>
    <row r="2117" spans="16:16" x14ac:dyDescent="0.25">
      <c r="P2117" s="4"/>
    </row>
    <row r="2118" spans="16:16" x14ac:dyDescent="0.25">
      <c r="P2118" s="4"/>
    </row>
    <row r="2119" spans="16:16" x14ac:dyDescent="0.25">
      <c r="P2119" s="4"/>
    </row>
    <row r="2120" spans="16:16" x14ac:dyDescent="0.25">
      <c r="P2120" s="4"/>
    </row>
    <row r="2121" spans="16:16" x14ac:dyDescent="0.25">
      <c r="P2121" s="4"/>
    </row>
    <row r="2122" spans="16:16" x14ac:dyDescent="0.25">
      <c r="P2122" s="4"/>
    </row>
    <row r="2123" spans="16:16" x14ac:dyDescent="0.25">
      <c r="P2123" s="4"/>
    </row>
    <row r="2124" spans="16:16" x14ac:dyDescent="0.25">
      <c r="P2124" s="4"/>
    </row>
    <row r="2125" spans="16:16" x14ac:dyDescent="0.25">
      <c r="P2125" s="4"/>
    </row>
    <row r="2126" spans="16:16" x14ac:dyDescent="0.25">
      <c r="P2126" s="4"/>
    </row>
    <row r="2127" spans="16:16" x14ac:dyDescent="0.25">
      <c r="P2127" s="4"/>
    </row>
    <row r="2128" spans="16:16" x14ac:dyDescent="0.25">
      <c r="P2128" s="4"/>
    </row>
    <row r="2129" spans="16:16" x14ac:dyDescent="0.25">
      <c r="P2129" s="4"/>
    </row>
    <row r="2130" spans="16:16" x14ac:dyDescent="0.25">
      <c r="P2130" s="4"/>
    </row>
    <row r="2131" spans="16:16" x14ac:dyDescent="0.25">
      <c r="P2131" s="4"/>
    </row>
    <row r="2132" spans="16:16" x14ac:dyDescent="0.25">
      <c r="P2132" s="4"/>
    </row>
    <row r="2133" spans="16:16" x14ac:dyDescent="0.25">
      <c r="P2133" s="4"/>
    </row>
    <row r="2134" spans="16:16" x14ac:dyDescent="0.25">
      <c r="P2134" s="4"/>
    </row>
    <row r="2135" spans="16:16" x14ac:dyDescent="0.25">
      <c r="P2135" s="4"/>
    </row>
    <row r="2136" spans="16:16" x14ac:dyDescent="0.25">
      <c r="P2136" s="4"/>
    </row>
    <row r="2137" spans="16:16" x14ac:dyDescent="0.25">
      <c r="P2137" s="4"/>
    </row>
    <row r="2138" spans="16:16" x14ac:dyDescent="0.25">
      <c r="P2138" s="4"/>
    </row>
    <row r="2139" spans="16:16" x14ac:dyDescent="0.25">
      <c r="P2139" s="4"/>
    </row>
    <row r="2140" spans="16:16" x14ac:dyDescent="0.25">
      <c r="P2140" s="4"/>
    </row>
    <row r="2141" spans="16:16" x14ac:dyDescent="0.25">
      <c r="P2141" s="4"/>
    </row>
    <row r="2142" spans="16:16" x14ac:dyDescent="0.25">
      <c r="P2142" s="4"/>
    </row>
    <row r="2143" spans="16:16" x14ac:dyDescent="0.25">
      <c r="P2143" s="4"/>
    </row>
    <row r="2144" spans="16:16" x14ac:dyDescent="0.25">
      <c r="P2144" s="4"/>
    </row>
    <row r="2145" spans="16:16" x14ac:dyDescent="0.25">
      <c r="P2145" s="4"/>
    </row>
    <row r="2146" spans="16:16" x14ac:dyDescent="0.25">
      <c r="P2146" s="4"/>
    </row>
    <row r="2147" spans="16:16" x14ac:dyDescent="0.25">
      <c r="P2147" s="4"/>
    </row>
    <row r="2148" spans="16:16" x14ac:dyDescent="0.25">
      <c r="P2148" s="4"/>
    </row>
    <row r="2149" spans="16:16" x14ac:dyDescent="0.25">
      <c r="P2149" s="4"/>
    </row>
    <row r="2150" spans="16:16" x14ac:dyDescent="0.25">
      <c r="P2150" s="4"/>
    </row>
    <row r="2151" spans="16:16" x14ac:dyDescent="0.25">
      <c r="P2151" s="4"/>
    </row>
    <row r="2152" spans="16:16" x14ac:dyDescent="0.25">
      <c r="P2152" s="4"/>
    </row>
    <row r="2153" spans="16:16" x14ac:dyDescent="0.25">
      <c r="P2153" s="4"/>
    </row>
    <row r="2154" spans="16:16" x14ac:dyDescent="0.25">
      <c r="P2154" s="4"/>
    </row>
    <row r="2155" spans="16:16" x14ac:dyDescent="0.25">
      <c r="P2155" s="4"/>
    </row>
    <row r="2156" spans="16:16" x14ac:dyDescent="0.25">
      <c r="P2156" s="4"/>
    </row>
    <row r="2157" spans="16:16" x14ac:dyDescent="0.25">
      <c r="P2157" s="4"/>
    </row>
    <row r="2158" spans="16:16" x14ac:dyDescent="0.25">
      <c r="P2158" s="4"/>
    </row>
    <row r="2159" spans="16:16" x14ac:dyDescent="0.25">
      <c r="P2159" s="4"/>
    </row>
    <row r="2160" spans="16:16" x14ac:dyDescent="0.25">
      <c r="P2160" s="4"/>
    </row>
    <row r="2161" spans="16:16" x14ac:dyDescent="0.25">
      <c r="P2161" s="4"/>
    </row>
    <row r="2162" spans="16:16" x14ac:dyDescent="0.25">
      <c r="P2162" s="4"/>
    </row>
    <row r="2163" spans="16:16" x14ac:dyDescent="0.25">
      <c r="P2163" s="4"/>
    </row>
    <row r="2164" spans="16:16" x14ac:dyDescent="0.25">
      <c r="P2164" s="4"/>
    </row>
    <row r="2165" spans="16:16" x14ac:dyDescent="0.25">
      <c r="P2165" s="4"/>
    </row>
    <row r="2166" spans="16:16" x14ac:dyDescent="0.25">
      <c r="P2166" s="4"/>
    </row>
    <row r="2167" spans="16:16" x14ac:dyDescent="0.25">
      <c r="P2167" s="4"/>
    </row>
    <row r="2168" spans="16:16" x14ac:dyDescent="0.25">
      <c r="P2168" s="4"/>
    </row>
    <row r="2169" spans="16:16" x14ac:dyDescent="0.25">
      <c r="P2169" s="4"/>
    </row>
    <row r="2170" spans="16:16" x14ac:dyDescent="0.25">
      <c r="P2170" s="4"/>
    </row>
    <row r="2171" spans="16:16" x14ac:dyDescent="0.25">
      <c r="P2171" s="4"/>
    </row>
    <row r="2172" spans="16:16" x14ac:dyDescent="0.25">
      <c r="P2172" s="4"/>
    </row>
    <row r="2173" spans="16:16" x14ac:dyDescent="0.25">
      <c r="P2173" s="4"/>
    </row>
    <row r="2174" spans="16:16" x14ac:dyDescent="0.25">
      <c r="P2174" s="4"/>
    </row>
    <row r="2175" spans="16:16" x14ac:dyDescent="0.25">
      <c r="P2175" s="4"/>
    </row>
    <row r="2176" spans="16:16" x14ac:dyDescent="0.25">
      <c r="P2176" s="4"/>
    </row>
    <row r="2177" spans="16:16" x14ac:dyDescent="0.25">
      <c r="P2177" s="4"/>
    </row>
    <row r="2178" spans="16:16" x14ac:dyDescent="0.25">
      <c r="P2178" s="4"/>
    </row>
    <row r="2179" spans="16:16" x14ac:dyDescent="0.25">
      <c r="P2179" s="4"/>
    </row>
    <row r="2180" spans="16:16" x14ac:dyDescent="0.25">
      <c r="P2180" s="4"/>
    </row>
    <row r="2181" spans="16:16" x14ac:dyDescent="0.25">
      <c r="P2181" s="4"/>
    </row>
    <row r="2182" spans="16:16" x14ac:dyDescent="0.25">
      <c r="P2182" s="4"/>
    </row>
    <row r="2183" spans="16:16" x14ac:dyDescent="0.25">
      <c r="P2183" s="4"/>
    </row>
    <row r="2184" spans="16:16" x14ac:dyDescent="0.25">
      <c r="P2184" s="4"/>
    </row>
    <row r="2185" spans="16:16" x14ac:dyDescent="0.25">
      <c r="P2185" s="4"/>
    </row>
    <row r="2186" spans="16:16" x14ac:dyDescent="0.25">
      <c r="P2186" s="4"/>
    </row>
    <row r="2187" spans="16:16" x14ac:dyDescent="0.25">
      <c r="P2187" s="4"/>
    </row>
    <row r="2188" spans="16:16" x14ac:dyDescent="0.25">
      <c r="P2188" s="4"/>
    </row>
    <row r="2189" spans="16:16" x14ac:dyDescent="0.25">
      <c r="P2189" s="4"/>
    </row>
    <row r="2190" spans="16:16" x14ac:dyDescent="0.25">
      <c r="P2190" s="4"/>
    </row>
    <row r="2191" spans="16:16" x14ac:dyDescent="0.25">
      <c r="P2191" s="4"/>
    </row>
    <row r="2192" spans="16:16" x14ac:dyDescent="0.25">
      <c r="P2192" s="4"/>
    </row>
    <row r="2193" spans="16:16" x14ac:dyDescent="0.25">
      <c r="P2193" s="4"/>
    </row>
    <row r="2194" spans="16:16" x14ac:dyDescent="0.25">
      <c r="P2194" s="4"/>
    </row>
    <row r="2195" spans="16:16" x14ac:dyDescent="0.25">
      <c r="P2195" s="4"/>
    </row>
    <row r="2196" spans="16:16" x14ac:dyDescent="0.25">
      <c r="P2196" s="4"/>
    </row>
    <row r="2197" spans="16:16" x14ac:dyDescent="0.25">
      <c r="P2197" s="4"/>
    </row>
    <row r="2198" spans="16:16" x14ac:dyDescent="0.25">
      <c r="P2198" s="4"/>
    </row>
    <row r="2199" spans="16:16" x14ac:dyDescent="0.25">
      <c r="P2199" s="4"/>
    </row>
    <row r="2200" spans="16:16" x14ac:dyDescent="0.25">
      <c r="P2200" s="4"/>
    </row>
    <row r="2201" spans="16:16" x14ac:dyDescent="0.25">
      <c r="P2201" s="4"/>
    </row>
    <row r="2202" spans="16:16" x14ac:dyDescent="0.25">
      <c r="P2202" s="4"/>
    </row>
    <row r="2203" spans="16:16" x14ac:dyDescent="0.25">
      <c r="P2203" s="4"/>
    </row>
    <row r="2204" spans="16:16" x14ac:dyDescent="0.25">
      <c r="P2204" s="4"/>
    </row>
    <row r="2205" spans="16:16" x14ac:dyDescent="0.25">
      <c r="P2205" s="4"/>
    </row>
    <row r="2206" spans="16:16" x14ac:dyDescent="0.25">
      <c r="P2206" s="4"/>
    </row>
    <row r="2207" spans="16:16" x14ac:dyDescent="0.25">
      <c r="P2207" s="4"/>
    </row>
    <row r="2208" spans="16:16" x14ac:dyDescent="0.25">
      <c r="P2208" s="4"/>
    </row>
    <row r="2209" spans="16:16" x14ac:dyDescent="0.25">
      <c r="P2209" s="4"/>
    </row>
    <row r="2210" spans="16:16" x14ac:dyDescent="0.25">
      <c r="P2210" s="4"/>
    </row>
    <row r="2211" spans="16:16" x14ac:dyDescent="0.25">
      <c r="P2211" s="4"/>
    </row>
    <row r="2212" spans="16:16" x14ac:dyDescent="0.25">
      <c r="P2212" s="4"/>
    </row>
    <row r="2213" spans="16:16" x14ac:dyDescent="0.25">
      <c r="P2213" s="4"/>
    </row>
    <row r="2214" spans="16:16" x14ac:dyDescent="0.25">
      <c r="P2214" s="4"/>
    </row>
    <row r="2215" spans="16:16" x14ac:dyDescent="0.25">
      <c r="P2215" s="4"/>
    </row>
    <row r="2216" spans="16:16" x14ac:dyDescent="0.25">
      <c r="P2216" s="4"/>
    </row>
    <row r="2217" spans="16:16" x14ac:dyDescent="0.25">
      <c r="P2217" s="4"/>
    </row>
    <row r="2218" spans="16:16" x14ac:dyDescent="0.25">
      <c r="P2218" s="4"/>
    </row>
    <row r="2219" spans="16:16" x14ac:dyDescent="0.25">
      <c r="P2219" s="4"/>
    </row>
    <row r="2220" spans="16:16" x14ac:dyDescent="0.25">
      <c r="P2220" s="4"/>
    </row>
    <row r="2221" spans="16:16" x14ac:dyDescent="0.25">
      <c r="P2221" s="4"/>
    </row>
    <row r="2222" spans="16:16" x14ac:dyDescent="0.25">
      <c r="P2222" s="4"/>
    </row>
    <row r="2223" spans="16:16" x14ac:dyDescent="0.25">
      <c r="P2223" s="4"/>
    </row>
    <row r="2224" spans="16:16" x14ac:dyDescent="0.25">
      <c r="P2224" s="4"/>
    </row>
    <row r="2225" spans="16:16" x14ac:dyDescent="0.25">
      <c r="P2225" s="4"/>
    </row>
    <row r="2226" spans="16:16" x14ac:dyDescent="0.25">
      <c r="P2226" s="4"/>
    </row>
    <row r="2227" spans="16:16" x14ac:dyDescent="0.25">
      <c r="P2227" s="4"/>
    </row>
    <row r="2228" spans="16:16" x14ac:dyDescent="0.25">
      <c r="P2228" s="4"/>
    </row>
    <row r="2229" spans="16:16" x14ac:dyDescent="0.25">
      <c r="P2229" s="4"/>
    </row>
    <row r="2230" spans="16:16" x14ac:dyDescent="0.25">
      <c r="P2230" s="4"/>
    </row>
    <row r="2231" spans="16:16" x14ac:dyDescent="0.25">
      <c r="P2231" s="4"/>
    </row>
    <row r="2232" spans="16:16" x14ac:dyDescent="0.25">
      <c r="P2232" s="4"/>
    </row>
    <row r="2233" spans="16:16" x14ac:dyDescent="0.25">
      <c r="P2233" s="4"/>
    </row>
    <row r="2234" spans="16:16" x14ac:dyDescent="0.25">
      <c r="P2234" s="4"/>
    </row>
    <row r="2235" spans="16:16" x14ac:dyDescent="0.25">
      <c r="P2235" s="4"/>
    </row>
    <row r="2236" spans="16:16" x14ac:dyDescent="0.25">
      <c r="P2236" s="4"/>
    </row>
    <row r="2237" spans="16:16" x14ac:dyDescent="0.25">
      <c r="P2237" s="4"/>
    </row>
    <row r="2238" spans="16:16" x14ac:dyDescent="0.25">
      <c r="P2238" s="4"/>
    </row>
    <row r="2239" spans="16:16" x14ac:dyDescent="0.25">
      <c r="P2239" s="4"/>
    </row>
    <row r="2240" spans="16:16" x14ac:dyDescent="0.25">
      <c r="P2240" s="4"/>
    </row>
    <row r="2241" spans="16:16" x14ac:dyDescent="0.25">
      <c r="P2241" s="4"/>
    </row>
    <row r="2242" spans="16:16" x14ac:dyDescent="0.25">
      <c r="P2242" s="4"/>
    </row>
    <row r="2243" spans="16:16" x14ac:dyDescent="0.25">
      <c r="P2243" s="4"/>
    </row>
    <row r="2244" spans="16:16" x14ac:dyDescent="0.25">
      <c r="P2244" s="4"/>
    </row>
    <row r="2245" spans="16:16" x14ac:dyDescent="0.25">
      <c r="P2245" s="4"/>
    </row>
    <row r="2246" spans="16:16" x14ac:dyDescent="0.25">
      <c r="P2246" s="4"/>
    </row>
    <row r="2247" spans="16:16" x14ac:dyDescent="0.25">
      <c r="P2247" s="4"/>
    </row>
    <row r="2248" spans="16:16" x14ac:dyDescent="0.25">
      <c r="P2248" s="4"/>
    </row>
    <row r="2249" spans="16:16" x14ac:dyDescent="0.25">
      <c r="P2249" s="4"/>
    </row>
    <row r="2250" spans="16:16" x14ac:dyDescent="0.25">
      <c r="P2250" s="4"/>
    </row>
    <row r="2251" spans="16:16" x14ac:dyDescent="0.25">
      <c r="P2251" s="4"/>
    </row>
    <row r="2252" spans="16:16" x14ac:dyDescent="0.25">
      <c r="P2252" s="4"/>
    </row>
    <row r="2253" spans="16:16" x14ac:dyDescent="0.25">
      <c r="P2253" s="4"/>
    </row>
    <row r="2254" spans="16:16" x14ac:dyDescent="0.25">
      <c r="P2254" s="4"/>
    </row>
    <row r="2255" spans="16:16" x14ac:dyDescent="0.25">
      <c r="P2255" s="4"/>
    </row>
    <row r="2256" spans="16:16" x14ac:dyDescent="0.25">
      <c r="P2256" s="4"/>
    </row>
    <row r="2257" spans="16:16" x14ac:dyDescent="0.25">
      <c r="P2257" s="4"/>
    </row>
    <row r="2258" spans="16:16" x14ac:dyDescent="0.25">
      <c r="P2258" s="4"/>
    </row>
    <row r="2259" spans="16:16" x14ac:dyDescent="0.25">
      <c r="P2259" s="4"/>
    </row>
    <row r="2260" spans="16:16" x14ac:dyDescent="0.25">
      <c r="P2260" s="4"/>
    </row>
    <row r="2261" spans="16:16" x14ac:dyDescent="0.25">
      <c r="P2261" s="4"/>
    </row>
    <row r="2262" spans="16:16" x14ac:dyDescent="0.25">
      <c r="P2262" s="4"/>
    </row>
    <row r="2263" spans="16:16" x14ac:dyDescent="0.25">
      <c r="P2263" s="4"/>
    </row>
    <row r="2264" spans="16:16" x14ac:dyDescent="0.25">
      <c r="P2264" s="4"/>
    </row>
    <row r="2265" spans="16:16" x14ac:dyDescent="0.25">
      <c r="P2265" s="4"/>
    </row>
    <row r="2266" spans="16:16" x14ac:dyDescent="0.25">
      <c r="P2266" s="4"/>
    </row>
    <row r="2267" spans="16:16" x14ac:dyDescent="0.25">
      <c r="P2267" s="4"/>
    </row>
    <row r="2268" spans="16:16" x14ac:dyDescent="0.25">
      <c r="P2268" s="4"/>
    </row>
    <row r="2269" spans="16:16" x14ac:dyDescent="0.25">
      <c r="P2269" s="4"/>
    </row>
    <row r="2270" spans="16:16" x14ac:dyDescent="0.25">
      <c r="P2270" s="4"/>
    </row>
    <row r="2271" spans="16:16" x14ac:dyDescent="0.25">
      <c r="P2271" s="4"/>
    </row>
    <row r="2272" spans="16:16" x14ac:dyDescent="0.25">
      <c r="P2272" s="4"/>
    </row>
    <row r="2273" spans="16:16" x14ac:dyDescent="0.25">
      <c r="P2273" s="4"/>
    </row>
    <row r="2274" spans="16:16" x14ac:dyDescent="0.25">
      <c r="P2274" s="4"/>
    </row>
    <row r="2275" spans="16:16" x14ac:dyDescent="0.25">
      <c r="P2275" s="4"/>
    </row>
    <row r="2276" spans="16:16" x14ac:dyDescent="0.25">
      <c r="P2276" s="4"/>
    </row>
    <row r="2277" spans="16:16" x14ac:dyDescent="0.25">
      <c r="P2277" s="4"/>
    </row>
    <row r="2278" spans="16:16" x14ac:dyDescent="0.25">
      <c r="P2278" s="4"/>
    </row>
    <row r="2279" spans="16:16" x14ac:dyDescent="0.25">
      <c r="P2279" s="4"/>
    </row>
    <row r="2280" spans="16:16" x14ac:dyDescent="0.25">
      <c r="P2280" s="4"/>
    </row>
    <row r="2281" spans="16:16" x14ac:dyDescent="0.25">
      <c r="P2281" s="4"/>
    </row>
    <row r="2282" spans="16:16" x14ac:dyDescent="0.25">
      <c r="P2282" s="4"/>
    </row>
    <row r="2283" spans="16:16" x14ac:dyDescent="0.25">
      <c r="P2283" s="4"/>
    </row>
    <row r="2284" spans="16:16" x14ac:dyDescent="0.25">
      <c r="P2284" s="4"/>
    </row>
    <row r="2285" spans="16:16" x14ac:dyDescent="0.25">
      <c r="P2285" s="4"/>
    </row>
    <row r="2286" spans="16:16" x14ac:dyDescent="0.25">
      <c r="P2286" s="4"/>
    </row>
    <row r="2287" spans="16:16" x14ac:dyDescent="0.25">
      <c r="P2287" s="4"/>
    </row>
    <row r="2288" spans="16:16" x14ac:dyDescent="0.25">
      <c r="P2288" s="4"/>
    </row>
    <row r="2289" spans="16:16" x14ac:dyDescent="0.25">
      <c r="P2289" s="4"/>
    </row>
    <row r="2290" spans="16:16" x14ac:dyDescent="0.25">
      <c r="P2290" s="4"/>
    </row>
    <row r="2291" spans="16:16" x14ac:dyDescent="0.25">
      <c r="P2291" s="4"/>
    </row>
    <row r="2292" spans="16:16" x14ac:dyDescent="0.25">
      <c r="P2292" s="4"/>
    </row>
    <row r="2293" spans="16:16" x14ac:dyDescent="0.25">
      <c r="P2293" s="4"/>
    </row>
    <row r="2294" spans="16:16" x14ac:dyDescent="0.25">
      <c r="P2294" s="4"/>
    </row>
    <row r="2295" spans="16:16" x14ac:dyDescent="0.25">
      <c r="P2295" s="4"/>
    </row>
    <row r="2296" spans="16:16" x14ac:dyDescent="0.25">
      <c r="P2296" s="4"/>
    </row>
    <row r="2297" spans="16:16" x14ac:dyDescent="0.25">
      <c r="P2297" s="4"/>
    </row>
    <row r="2298" spans="16:16" x14ac:dyDescent="0.25">
      <c r="P2298" s="4"/>
    </row>
    <row r="2299" spans="16:16" x14ac:dyDescent="0.25">
      <c r="P2299" s="4"/>
    </row>
    <row r="2300" spans="16:16" x14ac:dyDescent="0.25">
      <c r="P2300" s="4"/>
    </row>
    <row r="2301" spans="16:16" x14ac:dyDescent="0.25">
      <c r="P2301" s="4"/>
    </row>
    <row r="2302" spans="16:16" x14ac:dyDescent="0.25">
      <c r="P2302" s="4"/>
    </row>
    <row r="2303" spans="16:16" x14ac:dyDescent="0.25">
      <c r="P2303" s="4"/>
    </row>
    <row r="2304" spans="16:16" x14ac:dyDescent="0.25">
      <c r="P2304" s="4"/>
    </row>
    <row r="2305" spans="16:16" x14ac:dyDescent="0.25">
      <c r="P2305" s="4"/>
    </row>
    <row r="2306" spans="16:16" x14ac:dyDescent="0.25">
      <c r="P2306" s="4"/>
    </row>
    <row r="2307" spans="16:16" x14ac:dyDescent="0.25">
      <c r="P2307" s="4"/>
    </row>
    <row r="2308" spans="16:16" x14ac:dyDescent="0.25">
      <c r="P2308" s="4"/>
    </row>
    <row r="2309" spans="16:16" x14ac:dyDescent="0.25">
      <c r="P2309" s="4"/>
    </row>
    <row r="2310" spans="16:16" x14ac:dyDescent="0.25">
      <c r="P2310" s="4"/>
    </row>
    <row r="2311" spans="16:16" x14ac:dyDescent="0.25">
      <c r="P2311" s="4"/>
    </row>
    <row r="2312" spans="16:16" x14ac:dyDescent="0.25">
      <c r="P2312" s="4"/>
    </row>
    <row r="2313" spans="16:16" x14ac:dyDescent="0.25">
      <c r="P2313" s="4"/>
    </row>
    <row r="2314" spans="16:16" x14ac:dyDescent="0.25">
      <c r="P2314" s="4"/>
    </row>
    <row r="2315" spans="16:16" x14ac:dyDescent="0.25">
      <c r="P2315" s="4"/>
    </row>
    <row r="2316" spans="16:16" x14ac:dyDescent="0.25">
      <c r="P2316" s="4"/>
    </row>
    <row r="2317" spans="16:16" x14ac:dyDescent="0.25">
      <c r="P2317" s="4"/>
    </row>
    <row r="2318" spans="16:16" x14ac:dyDescent="0.25">
      <c r="P2318" s="4"/>
    </row>
    <row r="2319" spans="16:16" x14ac:dyDescent="0.25">
      <c r="P2319" s="4"/>
    </row>
    <row r="2320" spans="16:16" x14ac:dyDescent="0.25">
      <c r="P2320" s="4"/>
    </row>
    <row r="2321" spans="16:16" x14ac:dyDescent="0.25">
      <c r="P2321" s="4"/>
    </row>
    <row r="2322" spans="16:16" x14ac:dyDescent="0.25">
      <c r="P2322" s="4"/>
    </row>
    <row r="2323" spans="16:16" x14ac:dyDescent="0.25">
      <c r="P2323" s="4"/>
    </row>
    <row r="2324" spans="16:16" x14ac:dyDescent="0.25">
      <c r="P2324" s="4"/>
    </row>
    <row r="2325" spans="16:16" x14ac:dyDescent="0.25">
      <c r="P2325" s="4"/>
    </row>
    <row r="2326" spans="16:16" x14ac:dyDescent="0.25">
      <c r="P2326" s="4"/>
    </row>
    <row r="2327" spans="16:16" x14ac:dyDescent="0.25">
      <c r="P2327" s="4"/>
    </row>
    <row r="2328" spans="16:16" x14ac:dyDescent="0.25">
      <c r="P2328" s="4"/>
    </row>
    <row r="2329" spans="16:16" x14ac:dyDescent="0.25">
      <c r="P2329" s="4"/>
    </row>
    <row r="2330" spans="16:16" x14ac:dyDescent="0.25">
      <c r="P2330" s="4"/>
    </row>
    <row r="2331" spans="16:16" x14ac:dyDescent="0.25">
      <c r="P2331" s="4"/>
    </row>
    <row r="2332" spans="16:16" x14ac:dyDescent="0.25">
      <c r="P2332" s="4"/>
    </row>
    <row r="2333" spans="16:16" x14ac:dyDescent="0.25">
      <c r="P2333" s="4"/>
    </row>
    <row r="2334" spans="16:16" x14ac:dyDescent="0.25">
      <c r="P2334" s="4"/>
    </row>
    <row r="2335" spans="16:16" x14ac:dyDescent="0.25">
      <c r="P2335" s="4"/>
    </row>
    <row r="2336" spans="16:16" x14ac:dyDescent="0.25">
      <c r="P2336" s="4"/>
    </row>
    <row r="2337" spans="16:16" x14ac:dyDescent="0.25">
      <c r="P2337" s="4"/>
    </row>
    <row r="2338" spans="16:16" x14ac:dyDescent="0.25">
      <c r="P2338" s="4"/>
    </row>
    <row r="2339" spans="16:16" x14ac:dyDescent="0.25">
      <c r="P2339" s="4"/>
    </row>
    <row r="2340" spans="16:16" x14ac:dyDescent="0.25">
      <c r="P2340" s="4"/>
    </row>
    <row r="2341" spans="16:16" x14ac:dyDescent="0.25">
      <c r="P2341" s="4"/>
    </row>
    <row r="2342" spans="16:16" x14ac:dyDescent="0.25">
      <c r="P2342" s="4"/>
    </row>
    <row r="2343" spans="16:16" x14ac:dyDescent="0.25">
      <c r="P2343" s="4"/>
    </row>
    <row r="2344" spans="16:16" x14ac:dyDescent="0.25">
      <c r="P2344" s="4"/>
    </row>
    <row r="2345" spans="16:16" x14ac:dyDescent="0.25">
      <c r="P2345" s="4"/>
    </row>
    <row r="2346" spans="16:16" x14ac:dyDescent="0.25">
      <c r="P2346" s="4"/>
    </row>
    <row r="2347" spans="16:16" x14ac:dyDescent="0.25">
      <c r="P2347" s="4"/>
    </row>
    <row r="2348" spans="16:16" x14ac:dyDescent="0.25">
      <c r="P2348" s="4"/>
    </row>
    <row r="2349" spans="16:16" x14ac:dyDescent="0.25">
      <c r="P2349" s="4"/>
    </row>
    <row r="2350" spans="16:16" x14ac:dyDescent="0.25">
      <c r="P2350" s="4"/>
    </row>
    <row r="2351" spans="16:16" x14ac:dyDescent="0.25">
      <c r="P2351" s="4"/>
    </row>
    <row r="2352" spans="16:16" x14ac:dyDescent="0.25">
      <c r="P2352" s="4"/>
    </row>
    <row r="2353" spans="16:16" x14ac:dyDescent="0.25">
      <c r="P2353" s="4"/>
    </row>
    <row r="2354" spans="16:16" x14ac:dyDescent="0.25">
      <c r="P2354" s="4"/>
    </row>
    <row r="2355" spans="16:16" x14ac:dyDescent="0.25">
      <c r="P2355" s="4"/>
    </row>
    <row r="2356" spans="16:16" x14ac:dyDescent="0.25">
      <c r="P2356" s="4"/>
    </row>
    <row r="2357" spans="16:16" x14ac:dyDescent="0.25">
      <c r="P2357" s="4"/>
    </row>
    <row r="2358" spans="16:16" x14ac:dyDescent="0.25">
      <c r="P2358" s="4"/>
    </row>
    <row r="2359" spans="16:16" x14ac:dyDescent="0.25">
      <c r="P2359" s="4"/>
    </row>
    <row r="2360" spans="16:16" x14ac:dyDescent="0.25">
      <c r="P2360" s="4"/>
    </row>
    <row r="2361" spans="16:16" x14ac:dyDescent="0.25">
      <c r="P2361" s="4"/>
    </row>
    <row r="2362" spans="16:16" x14ac:dyDescent="0.25">
      <c r="P2362" s="4"/>
    </row>
    <row r="2363" spans="16:16" x14ac:dyDescent="0.25">
      <c r="P2363" s="4"/>
    </row>
    <row r="2364" spans="16:16" x14ac:dyDescent="0.25">
      <c r="P2364" s="4"/>
    </row>
    <row r="2365" spans="16:16" x14ac:dyDescent="0.25">
      <c r="P2365" s="4"/>
    </row>
    <row r="2366" spans="16:16" x14ac:dyDescent="0.25">
      <c r="P2366" s="4"/>
    </row>
    <row r="2367" spans="16:16" x14ac:dyDescent="0.25">
      <c r="P2367" s="4"/>
    </row>
    <row r="2368" spans="16:16" x14ac:dyDescent="0.25">
      <c r="P2368" s="4"/>
    </row>
    <row r="2369" spans="16:16" x14ac:dyDescent="0.25">
      <c r="P2369" s="4"/>
    </row>
    <row r="2370" spans="16:16" x14ac:dyDescent="0.25">
      <c r="P2370" s="4"/>
    </row>
    <row r="2371" spans="16:16" x14ac:dyDescent="0.25">
      <c r="P2371" s="4"/>
    </row>
    <row r="2372" spans="16:16" x14ac:dyDescent="0.25">
      <c r="P2372" s="4"/>
    </row>
    <row r="2373" spans="16:16" x14ac:dyDescent="0.25">
      <c r="P2373" s="4"/>
    </row>
    <row r="2374" spans="16:16" x14ac:dyDescent="0.25">
      <c r="P2374" s="4"/>
    </row>
    <row r="2375" spans="16:16" x14ac:dyDescent="0.25">
      <c r="P2375" s="4"/>
    </row>
    <row r="2376" spans="16:16" x14ac:dyDescent="0.25">
      <c r="P2376" s="4"/>
    </row>
    <row r="2377" spans="16:16" x14ac:dyDescent="0.25">
      <c r="P2377" s="4"/>
    </row>
    <row r="2378" spans="16:16" x14ac:dyDescent="0.25">
      <c r="P2378" s="4"/>
    </row>
    <row r="2379" spans="16:16" x14ac:dyDescent="0.25">
      <c r="P2379" s="4"/>
    </row>
    <row r="2380" spans="16:16" x14ac:dyDescent="0.25">
      <c r="P2380" s="4"/>
    </row>
    <row r="2381" spans="16:16" x14ac:dyDescent="0.25">
      <c r="P2381" s="4"/>
    </row>
    <row r="2382" spans="16:16" x14ac:dyDescent="0.25">
      <c r="P2382" s="4"/>
    </row>
    <row r="2383" spans="16:16" x14ac:dyDescent="0.25">
      <c r="P2383" s="4"/>
    </row>
    <row r="2384" spans="16:16" x14ac:dyDescent="0.25">
      <c r="P2384" s="4"/>
    </row>
    <row r="2385" spans="16:16" x14ac:dyDescent="0.25">
      <c r="P2385" s="4"/>
    </row>
    <row r="2386" spans="16:16" x14ac:dyDescent="0.25">
      <c r="P2386" s="4"/>
    </row>
    <row r="2387" spans="16:16" x14ac:dyDescent="0.25">
      <c r="P2387" s="4"/>
    </row>
    <row r="2388" spans="16:16" x14ac:dyDescent="0.25">
      <c r="P2388" s="4"/>
    </row>
    <row r="2389" spans="16:16" x14ac:dyDescent="0.25">
      <c r="P2389" s="4"/>
    </row>
    <row r="2390" spans="16:16" x14ac:dyDescent="0.25">
      <c r="P2390" s="4"/>
    </row>
    <row r="2391" spans="16:16" x14ac:dyDescent="0.25">
      <c r="P2391" s="4"/>
    </row>
    <row r="2392" spans="16:16" x14ac:dyDescent="0.25">
      <c r="P2392" s="4"/>
    </row>
    <row r="2393" spans="16:16" x14ac:dyDescent="0.25">
      <c r="P2393" s="4"/>
    </row>
    <row r="2394" spans="16:16" x14ac:dyDescent="0.25">
      <c r="P2394" s="4"/>
    </row>
    <row r="2395" spans="16:16" x14ac:dyDescent="0.25">
      <c r="P2395" s="4"/>
    </row>
    <row r="2396" spans="16:16" x14ac:dyDescent="0.25">
      <c r="P2396" s="4"/>
    </row>
    <row r="2397" spans="16:16" x14ac:dyDescent="0.25">
      <c r="P2397" s="4"/>
    </row>
    <row r="2398" spans="16:16" x14ac:dyDescent="0.25">
      <c r="P2398" s="4"/>
    </row>
    <row r="2399" spans="16:16" x14ac:dyDescent="0.25">
      <c r="P2399" s="4"/>
    </row>
    <row r="2400" spans="16:16" x14ac:dyDescent="0.25">
      <c r="P2400" s="4"/>
    </row>
    <row r="2401" spans="16:16" x14ac:dyDescent="0.25">
      <c r="P2401" s="4"/>
    </row>
    <row r="2402" spans="16:16" x14ac:dyDescent="0.25">
      <c r="P2402" s="4"/>
    </row>
    <row r="2403" spans="16:16" x14ac:dyDescent="0.25">
      <c r="P2403" s="4"/>
    </row>
    <row r="2404" spans="16:16" x14ac:dyDescent="0.25">
      <c r="P2404" s="4"/>
    </row>
    <row r="2405" spans="16:16" x14ac:dyDescent="0.25">
      <c r="P2405" s="4"/>
    </row>
    <row r="2406" spans="16:16" x14ac:dyDescent="0.25">
      <c r="P2406" s="4"/>
    </row>
    <row r="2407" spans="16:16" x14ac:dyDescent="0.25">
      <c r="P2407" s="4"/>
    </row>
    <row r="2408" spans="16:16" x14ac:dyDescent="0.25">
      <c r="P2408" s="4"/>
    </row>
    <row r="2409" spans="16:16" x14ac:dyDescent="0.25">
      <c r="P2409" s="4"/>
    </row>
    <row r="2410" spans="16:16" x14ac:dyDescent="0.25">
      <c r="P2410" s="4"/>
    </row>
    <row r="2411" spans="16:16" x14ac:dyDescent="0.25">
      <c r="P2411" s="4"/>
    </row>
    <row r="2412" spans="16:16" x14ac:dyDescent="0.25">
      <c r="P2412" s="4"/>
    </row>
    <row r="2413" spans="16:16" x14ac:dyDescent="0.25">
      <c r="P2413" s="4"/>
    </row>
    <row r="2414" spans="16:16" x14ac:dyDescent="0.25">
      <c r="P2414" s="4"/>
    </row>
    <row r="2415" spans="16:16" x14ac:dyDescent="0.25">
      <c r="P2415" s="4"/>
    </row>
    <row r="2416" spans="16:16" x14ac:dyDescent="0.25">
      <c r="P2416" s="4"/>
    </row>
    <row r="2417" spans="16:16" x14ac:dyDescent="0.25">
      <c r="P2417" s="4"/>
    </row>
    <row r="2418" spans="16:16" x14ac:dyDescent="0.25">
      <c r="P2418" s="4"/>
    </row>
    <row r="2419" spans="16:16" x14ac:dyDescent="0.25">
      <c r="P2419" s="4"/>
    </row>
    <row r="2420" spans="16:16" x14ac:dyDescent="0.25">
      <c r="P2420" s="4"/>
    </row>
    <row r="2421" spans="16:16" x14ac:dyDescent="0.25">
      <c r="P2421" s="4"/>
    </row>
    <row r="2422" spans="16:16" x14ac:dyDescent="0.25">
      <c r="P2422" s="4"/>
    </row>
    <row r="2423" spans="16:16" x14ac:dyDescent="0.25">
      <c r="P2423" s="4"/>
    </row>
    <row r="2424" spans="16:16" x14ac:dyDescent="0.25">
      <c r="P2424" s="4"/>
    </row>
    <row r="2425" spans="16:16" x14ac:dyDescent="0.25">
      <c r="P2425" s="4"/>
    </row>
    <row r="2426" spans="16:16" x14ac:dyDescent="0.25">
      <c r="P2426" s="4"/>
    </row>
    <row r="2427" spans="16:16" x14ac:dyDescent="0.25">
      <c r="P2427" s="4"/>
    </row>
    <row r="2428" spans="16:16" x14ac:dyDescent="0.25">
      <c r="P2428" s="4"/>
    </row>
    <row r="2429" spans="16:16" x14ac:dyDescent="0.25">
      <c r="P2429" s="4"/>
    </row>
    <row r="2430" spans="16:16" x14ac:dyDescent="0.25">
      <c r="P2430" s="4"/>
    </row>
    <row r="2431" spans="16:16" x14ac:dyDescent="0.25">
      <c r="P2431" s="4"/>
    </row>
    <row r="2432" spans="16:16" x14ac:dyDescent="0.25">
      <c r="P2432" s="4"/>
    </row>
    <row r="2433" spans="16:16" x14ac:dyDescent="0.25">
      <c r="P2433" s="4"/>
    </row>
    <row r="2434" spans="16:16" x14ac:dyDescent="0.25">
      <c r="P2434" s="4"/>
    </row>
    <row r="2435" spans="16:16" x14ac:dyDescent="0.25">
      <c r="P2435" s="4"/>
    </row>
    <row r="2436" spans="16:16" x14ac:dyDescent="0.25">
      <c r="P2436" s="4"/>
    </row>
    <row r="2437" spans="16:16" x14ac:dyDescent="0.25">
      <c r="P2437" s="4"/>
    </row>
    <row r="2438" spans="16:16" x14ac:dyDescent="0.25">
      <c r="P2438" s="4"/>
    </row>
    <row r="2439" spans="16:16" x14ac:dyDescent="0.25">
      <c r="P2439" s="4"/>
    </row>
    <row r="2440" spans="16:16" x14ac:dyDescent="0.25">
      <c r="P2440" s="4"/>
    </row>
    <row r="2441" spans="16:16" x14ac:dyDescent="0.25">
      <c r="P2441" s="4"/>
    </row>
    <row r="2442" spans="16:16" x14ac:dyDescent="0.25">
      <c r="P2442" s="4"/>
    </row>
    <row r="2443" spans="16:16" x14ac:dyDescent="0.25">
      <c r="P2443" s="4"/>
    </row>
    <row r="2444" spans="16:16" x14ac:dyDescent="0.25">
      <c r="P2444" s="4"/>
    </row>
    <row r="2445" spans="16:16" x14ac:dyDescent="0.25">
      <c r="P2445" s="4"/>
    </row>
    <row r="2446" spans="16:16" x14ac:dyDescent="0.25">
      <c r="P2446" s="4"/>
    </row>
    <row r="2447" spans="16:16" x14ac:dyDescent="0.25">
      <c r="P2447" s="4"/>
    </row>
    <row r="2448" spans="16:16" x14ac:dyDescent="0.25">
      <c r="P2448" s="4"/>
    </row>
    <row r="2449" spans="16:16" x14ac:dyDescent="0.25">
      <c r="P2449" s="4"/>
    </row>
    <row r="2450" spans="16:16" x14ac:dyDescent="0.25">
      <c r="P2450" s="4"/>
    </row>
    <row r="2451" spans="16:16" x14ac:dyDescent="0.25">
      <c r="P2451" s="4"/>
    </row>
    <row r="2452" spans="16:16" x14ac:dyDescent="0.25">
      <c r="P2452" s="4"/>
    </row>
    <row r="2453" spans="16:16" x14ac:dyDescent="0.25">
      <c r="P2453" s="4"/>
    </row>
    <row r="2454" spans="16:16" x14ac:dyDescent="0.25">
      <c r="P2454" s="4"/>
    </row>
    <row r="2455" spans="16:16" x14ac:dyDescent="0.25">
      <c r="P2455" s="4"/>
    </row>
    <row r="2456" spans="16:16" x14ac:dyDescent="0.25">
      <c r="P2456" s="4"/>
    </row>
    <row r="2457" spans="16:16" x14ac:dyDescent="0.25">
      <c r="P2457" s="4"/>
    </row>
    <row r="2458" spans="16:16" x14ac:dyDescent="0.25">
      <c r="P2458" s="4"/>
    </row>
    <row r="2459" spans="16:16" x14ac:dyDescent="0.25">
      <c r="P2459" s="4"/>
    </row>
    <row r="2460" spans="16:16" x14ac:dyDescent="0.25">
      <c r="P2460" s="4"/>
    </row>
    <row r="2461" spans="16:16" x14ac:dyDescent="0.25">
      <c r="P2461" s="4"/>
    </row>
    <row r="2462" spans="16:16" x14ac:dyDescent="0.25">
      <c r="P2462" s="4"/>
    </row>
    <row r="2463" spans="16:16" x14ac:dyDescent="0.25">
      <c r="P2463" s="4"/>
    </row>
    <row r="2464" spans="16:16" x14ac:dyDescent="0.25">
      <c r="P2464" s="4"/>
    </row>
    <row r="2465" spans="16:16" x14ac:dyDescent="0.25">
      <c r="P2465" s="4"/>
    </row>
    <row r="2466" spans="16:16" x14ac:dyDescent="0.25">
      <c r="P2466" s="4"/>
    </row>
    <row r="2467" spans="16:16" x14ac:dyDescent="0.25">
      <c r="P2467" s="4"/>
    </row>
    <row r="2468" spans="16:16" x14ac:dyDescent="0.25">
      <c r="P2468" s="4"/>
    </row>
    <row r="2469" spans="16:16" x14ac:dyDescent="0.25">
      <c r="P2469" s="4"/>
    </row>
    <row r="2470" spans="16:16" x14ac:dyDescent="0.25">
      <c r="P2470" s="4"/>
    </row>
    <row r="2471" spans="16:16" x14ac:dyDescent="0.25">
      <c r="P2471" s="4"/>
    </row>
    <row r="2472" spans="16:16" x14ac:dyDescent="0.25">
      <c r="P2472" s="4"/>
    </row>
    <row r="2473" spans="16:16" x14ac:dyDescent="0.25">
      <c r="P2473" s="4"/>
    </row>
    <row r="2474" spans="16:16" x14ac:dyDescent="0.25">
      <c r="P2474" s="4"/>
    </row>
    <row r="2475" spans="16:16" x14ac:dyDescent="0.25">
      <c r="P2475" s="4"/>
    </row>
    <row r="2476" spans="16:16" x14ac:dyDescent="0.25">
      <c r="P2476" s="4"/>
    </row>
    <row r="2477" spans="16:16" x14ac:dyDescent="0.25">
      <c r="P2477" s="4"/>
    </row>
    <row r="2478" spans="16:16" x14ac:dyDescent="0.25">
      <c r="P2478" s="4"/>
    </row>
    <row r="2479" spans="16:16" x14ac:dyDescent="0.25">
      <c r="P2479" s="4"/>
    </row>
    <row r="2480" spans="16:16" x14ac:dyDescent="0.25">
      <c r="P2480" s="4"/>
    </row>
    <row r="2481" spans="16:16" x14ac:dyDescent="0.25">
      <c r="P2481" s="4"/>
    </row>
    <row r="2482" spans="16:16" x14ac:dyDescent="0.25">
      <c r="P2482" s="4"/>
    </row>
    <row r="2483" spans="16:16" x14ac:dyDescent="0.25">
      <c r="P2483" s="4"/>
    </row>
    <row r="2484" spans="16:16" x14ac:dyDescent="0.25">
      <c r="P2484" s="4"/>
    </row>
    <row r="2485" spans="16:16" x14ac:dyDescent="0.25">
      <c r="P2485" s="4"/>
    </row>
    <row r="2486" spans="16:16" x14ac:dyDescent="0.25">
      <c r="P2486" s="4"/>
    </row>
    <row r="2487" spans="16:16" x14ac:dyDescent="0.25">
      <c r="P2487" s="4"/>
    </row>
    <row r="2488" spans="16:16" x14ac:dyDescent="0.25">
      <c r="P2488" s="4"/>
    </row>
    <row r="2489" spans="16:16" x14ac:dyDescent="0.25">
      <c r="P2489" s="4"/>
    </row>
    <row r="2490" spans="16:16" x14ac:dyDescent="0.25">
      <c r="P2490" s="4"/>
    </row>
    <row r="2491" spans="16:16" x14ac:dyDescent="0.25">
      <c r="P2491" s="4"/>
    </row>
    <row r="2492" spans="16:16" x14ac:dyDescent="0.25">
      <c r="P2492" s="4"/>
    </row>
    <row r="2493" spans="16:16" x14ac:dyDescent="0.25">
      <c r="P2493" s="4"/>
    </row>
    <row r="2494" spans="16:16" x14ac:dyDescent="0.25">
      <c r="P2494" s="4"/>
    </row>
    <row r="2495" spans="16:16" x14ac:dyDescent="0.25">
      <c r="P2495" s="4"/>
    </row>
    <row r="2496" spans="16:16" x14ac:dyDescent="0.25">
      <c r="P2496" s="4"/>
    </row>
    <row r="2497" spans="16:16" x14ac:dyDescent="0.25">
      <c r="P2497" s="4"/>
    </row>
    <row r="2498" spans="16:16" x14ac:dyDescent="0.25">
      <c r="P2498" s="4"/>
    </row>
    <row r="2499" spans="16:16" x14ac:dyDescent="0.25">
      <c r="P2499" s="4"/>
    </row>
    <row r="2500" spans="16:16" x14ac:dyDescent="0.25">
      <c r="P2500" s="4"/>
    </row>
    <row r="2501" spans="16:16" x14ac:dyDescent="0.25">
      <c r="P2501" s="4"/>
    </row>
    <row r="2502" spans="16:16" x14ac:dyDescent="0.25">
      <c r="P2502" s="4"/>
    </row>
    <row r="2503" spans="16:16" x14ac:dyDescent="0.25">
      <c r="P2503" s="4"/>
    </row>
    <row r="2504" spans="16:16" x14ac:dyDescent="0.25">
      <c r="P2504" s="4"/>
    </row>
    <row r="2505" spans="16:16" x14ac:dyDescent="0.25">
      <c r="P2505" s="4"/>
    </row>
    <row r="2506" spans="16:16" x14ac:dyDescent="0.25">
      <c r="P2506" s="4"/>
    </row>
    <row r="2507" spans="16:16" x14ac:dyDescent="0.25">
      <c r="P2507" s="4"/>
    </row>
    <row r="2508" spans="16:16" x14ac:dyDescent="0.25">
      <c r="P2508" s="4"/>
    </row>
    <row r="2509" spans="16:16" x14ac:dyDescent="0.25">
      <c r="P2509" s="4"/>
    </row>
    <row r="2510" spans="16:16" x14ac:dyDescent="0.25">
      <c r="P2510" s="4"/>
    </row>
    <row r="2511" spans="16:16" x14ac:dyDescent="0.25">
      <c r="P2511" s="4"/>
    </row>
    <row r="2512" spans="16:16" x14ac:dyDescent="0.25">
      <c r="P2512" s="4"/>
    </row>
    <row r="2513" spans="16:16" x14ac:dyDescent="0.25">
      <c r="P2513" s="4"/>
    </row>
    <row r="2514" spans="16:16" x14ac:dyDescent="0.25">
      <c r="P2514" s="4"/>
    </row>
    <row r="2515" spans="16:16" x14ac:dyDescent="0.25">
      <c r="P2515" s="4"/>
    </row>
    <row r="2516" spans="16:16" x14ac:dyDescent="0.25">
      <c r="P2516" s="4"/>
    </row>
    <row r="2517" spans="16:16" x14ac:dyDescent="0.25">
      <c r="P2517" s="4"/>
    </row>
    <row r="2518" spans="16:16" x14ac:dyDescent="0.25">
      <c r="P2518" s="4"/>
    </row>
    <row r="2519" spans="16:16" x14ac:dyDescent="0.25">
      <c r="P2519" s="4"/>
    </row>
    <row r="2520" spans="16:16" x14ac:dyDescent="0.25">
      <c r="P2520" s="4"/>
    </row>
    <row r="2521" spans="16:16" x14ac:dyDescent="0.25">
      <c r="P2521" s="4"/>
    </row>
    <row r="2522" spans="16:16" x14ac:dyDescent="0.25">
      <c r="P2522" s="4"/>
    </row>
    <row r="2523" spans="16:16" x14ac:dyDescent="0.25">
      <c r="P2523" s="4"/>
    </row>
    <row r="2524" spans="16:16" x14ac:dyDescent="0.25">
      <c r="P2524" s="4"/>
    </row>
    <row r="2525" spans="16:16" x14ac:dyDescent="0.25">
      <c r="P2525" s="4"/>
    </row>
    <row r="2526" spans="16:16" x14ac:dyDescent="0.25">
      <c r="P2526" s="4"/>
    </row>
    <row r="2527" spans="16:16" x14ac:dyDescent="0.25">
      <c r="P2527" s="4"/>
    </row>
    <row r="2528" spans="16:16" x14ac:dyDescent="0.25">
      <c r="P2528" s="4"/>
    </row>
    <row r="2529" spans="16:16" x14ac:dyDescent="0.25">
      <c r="P2529" s="4"/>
    </row>
    <row r="2530" spans="16:16" x14ac:dyDescent="0.25">
      <c r="P2530" s="4"/>
    </row>
    <row r="2531" spans="16:16" x14ac:dyDescent="0.25">
      <c r="P2531" s="4"/>
    </row>
    <row r="2532" spans="16:16" x14ac:dyDescent="0.25">
      <c r="P2532" s="4"/>
    </row>
    <row r="2533" spans="16:16" x14ac:dyDescent="0.25">
      <c r="P2533" s="4"/>
    </row>
    <row r="2534" spans="16:16" x14ac:dyDescent="0.25">
      <c r="P2534" s="4"/>
    </row>
    <row r="2535" spans="16:16" x14ac:dyDescent="0.25">
      <c r="P2535" s="4"/>
    </row>
    <row r="2536" spans="16:16" x14ac:dyDescent="0.25">
      <c r="P2536" s="4"/>
    </row>
    <row r="2537" spans="16:16" x14ac:dyDescent="0.25">
      <c r="P2537" s="4"/>
    </row>
    <row r="2538" spans="16:16" x14ac:dyDescent="0.25">
      <c r="P2538" s="4"/>
    </row>
    <row r="2539" spans="16:16" x14ac:dyDescent="0.25">
      <c r="P2539" s="4"/>
    </row>
    <row r="2540" spans="16:16" x14ac:dyDescent="0.25">
      <c r="P2540" s="4"/>
    </row>
    <row r="2541" spans="16:16" x14ac:dyDescent="0.25">
      <c r="P2541" s="4"/>
    </row>
    <row r="2542" spans="16:16" x14ac:dyDescent="0.25">
      <c r="P2542" s="4"/>
    </row>
    <row r="2543" spans="16:16" x14ac:dyDescent="0.25">
      <c r="P2543" s="4"/>
    </row>
    <row r="2544" spans="16:16" x14ac:dyDescent="0.25">
      <c r="P2544" s="4"/>
    </row>
    <row r="2545" spans="16:16" x14ac:dyDescent="0.25">
      <c r="P2545" s="4"/>
    </row>
    <row r="2546" spans="16:16" x14ac:dyDescent="0.25">
      <c r="P2546" s="4"/>
    </row>
    <row r="2547" spans="16:16" x14ac:dyDescent="0.25">
      <c r="P2547" s="4"/>
    </row>
    <row r="2548" spans="16:16" x14ac:dyDescent="0.25">
      <c r="P2548" s="4"/>
    </row>
    <row r="2549" spans="16:16" x14ac:dyDescent="0.25">
      <c r="P2549" s="4"/>
    </row>
    <row r="2550" spans="16:16" x14ac:dyDescent="0.25">
      <c r="P2550" s="4"/>
    </row>
    <row r="2551" spans="16:16" x14ac:dyDescent="0.25">
      <c r="P2551" s="4"/>
    </row>
    <row r="2552" spans="16:16" x14ac:dyDescent="0.25">
      <c r="P2552" s="4"/>
    </row>
    <row r="2553" spans="16:16" x14ac:dyDescent="0.25">
      <c r="P2553" s="4"/>
    </row>
    <row r="2554" spans="16:16" x14ac:dyDescent="0.25">
      <c r="P2554" s="4"/>
    </row>
    <row r="2555" spans="16:16" x14ac:dyDescent="0.25">
      <c r="P2555" s="4"/>
    </row>
    <row r="2556" spans="16:16" x14ac:dyDescent="0.25">
      <c r="P2556" s="4"/>
    </row>
    <row r="2557" spans="16:16" x14ac:dyDescent="0.25">
      <c r="P2557" s="4"/>
    </row>
    <row r="2558" spans="16:16" x14ac:dyDescent="0.25">
      <c r="P2558" s="4"/>
    </row>
    <row r="2559" spans="16:16" x14ac:dyDescent="0.25">
      <c r="P2559" s="4"/>
    </row>
    <row r="2560" spans="16:16" x14ac:dyDescent="0.25">
      <c r="P2560" s="4"/>
    </row>
    <row r="2561" spans="16:16" x14ac:dyDescent="0.25">
      <c r="P2561" s="4"/>
    </row>
    <row r="2562" spans="16:16" x14ac:dyDescent="0.25">
      <c r="P2562" s="4"/>
    </row>
    <row r="2563" spans="16:16" x14ac:dyDescent="0.25">
      <c r="P2563" s="4"/>
    </row>
    <row r="2564" spans="16:16" x14ac:dyDescent="0.25">
      <c r="P2564" s="4"/>
    </row>
    <row r="2565" spans="16:16" x14ac:dyDescent="0.25">
      <c r="P2565" s="4"/>
    </row>
    <row r="2566" spans="16:16" x14ac:dyDescent="0.25">
      <c r="P2566" s="4"/>
    </row>
    <row r="2567" spans="16:16" x14ac:dyDescent="0.25">
      <c r="P2567" s="4"/>
    </row>
    <row r="2568" spans="16:16" x14ac:dyDescent="0.25">
      <c r="P2568" s="4"/>
    </row>
    <row r="2569" spans="16:16" x14ac:dyDescent="0.25">
      <c r="P2569" s="4"/>
    </row>
    <row r="2570" spans="16:16" x14ac:dyDescent="0.25">
      <c r="P2570" s="4"/>
    </row>
    <row r="2571" spans="16:16" x14ac:dyDescent="0.25">
      <c r="P2571" s="4"/>
    </row>
    <row r="2572" spans="16:16" x14ac:dyDescent="0.25">
      <c r="P2572" s="4"/>
    </row>
    <row r="2573" spans="16:16" x14ac:dyDescent="0.25">
      <c r="P2573" s="4"/>
    </row>
    <row r="2574" spans="16:16" x14ac:dyDescent="0.25">
      <c r="P2574" s="4"/>
    </row>
    <row r="2575" spans="16:16" x14ac:dyDescent="0.25">
      <c r="P2575" s="4"/>
    </row>
    <row r="2576" spans="16:16" x14ac:dyDescent="0.25">
      <c r="P2576" s="4"/>
    </row>
    <row r="2577" spans="16:16" x14ac:dyDescent="0.25">
      <c r="P2577" s="4"/>
    </row>
    <row r="2578" spans="16:16" x14ac:dyDescent="0.25">
      <c r="P2578" s="4"/>
    </row>
    <row r="2579" spans="16:16" x14ac:dyDescent="0.25">
      <c r="P2579" s="4"/>
    </row>
    <row r="2580" spans="16:16" x14ac:dyDescent="0.25">
      <c r="P2580" s="4"/>
    </row>
    <row r="2581" spans="16:16" x14ac:dyDescent="0.25">
      <c r="P2581" s="4"/>
    </row>
    <row r="2582" spans="16:16" x14ac:dyDescent="0.25">
      <c r="P2582" s="4"/>
    </row>
    <row r="2583" spans="16:16" x14ac:dyDescent="0.25">
      <c r="P2583" s="4"/>
    </row>
    <row r="2584" spans="16:16" x14ac:dyDescent="0.25">
      <c r="P2584" s="4"/>
    </row>
    <row r="2585" spans="16:16" x14ac:dyDescent="0.25">
      <c r="P2585" s="4"/>
    </row>
    <row r="2586" spans="16:16" x14ac:dyDescent="0.25">
      <c r="P2586" s="4"/>
    </row>
    <row r="2587" spans="16:16" x14ac:dyDescent="0.25">
      <c r="P2587" s="4"/>
    </row>
    <row r="2588" spans="16:16" x14ac:dyDescent="0.25">
      <c r="P2588" s="4"/>
    </row>
    <row r="2589" spans="16:16" x14ac:dyDescent="0.25">
      <c r="P2589" s="4"/>
    </row>
    <row r="2590" spans="16:16" x14ac:dyDescent="0.25">
      <c r="P2590" s="4"/>
    </row>
    <row r="2591" spans="16:16" x14ac:dyDescent="0.25">
      <c r="P2591" s="4"/>
    </row>
    <row r="2592" spans="16:16" x14ac:dyDescent="0.25">
      <c r="P2592" s="4"/>
    </row>
    <row r="2593" spans="16:16" x14ac:dyDescent="0.25">
      <c r="P2593" s="4"/>
    </row>
    <row r="2594" spans="16:16" x14ac:dyDescent="0.25">
      <c r="P2594" s="4"/>
    </row>
    <row r="2595" spans="16:16" x14ac:dyDescent="0.25">
      <c r="P2595" s="4"/>
    </row>
    <row r="2596" spans="16:16" x14ac:dyDescent="0.25">
      <c r="P2596" s="4"/>
    </row>
    <row r="2597" spans="16:16" x14ac:dyDescent="0.25">
      <c r="P2597" s="4"/>
    </row>
    <row r="2598" spans="16:16" x14ac:dyDescent="0.25">
      <c r="P2598" s="4"/>
    </row>
    <row r="2599" spans="16:16" x14ac:dyDescent="0.25">
      <c r="P2599" s="4"/>
    </row>
    <row r="2600" spans="16:16" x14ac:dyDescent="0.25">
      <c r="P2600" s="4"/>
    </row>
    <row r="2601" spans="16:16" x14ac:dyDescent="0.25">
      <c r="P2601" s="4"/>
    </row>
    <row r="2602" spans="16:16" x14ac:dyDescent="0.25">
      <c r="P2602" s="4"/>
    </row>
    <row r="2603" spans="16:16" x14ac:dyDescent="0.25">
      <c r="P2603" s="4"/>
    </row>
    <row r="2604" spans="16:16" x14ac:dyDescent="0.25">
      <c r="P2604" s="4"/>
    </row>
    <row r="2605" spans="16:16" x14ac:dyDescent="0.25">
      <c r="P2605" s="4"/>
    </row>
    <row r="2606" spans="16:16" x14ac:dyDescent="0.25">
      <c r="P2606" s="4"/>
    </row>
    <row r="2607" spans="16:16" x14ac:dyDescent="0.25">
      <c r="P2607" s="4"/>
    </row>
    <row r="2608" spans="16:16" x14ac:dyDescent="0.25">
      <c r="P2608" s="4"/>
    </row>
    <row r="2609" spans="16:16" x14ac:dyDescent="0.25">
      <c r="P2609" s="4"/>
    </row>
    <row r="2610" spans="16:16" x14ac:dyDescent="0.25">
      <c r="P2610" s="4"/>
    </row>
    <row r="2611" spans="16:16" x14ac:dyDescent="0.25">
      <c r="P2611" s="4"/>
    </row>
    <row r="2612" spans="16:16" x14ac:dyDescent="0.25">
      <c r="P2612" s="4"/>
    </row>
    <row r="2613" spans="16:16" x14ac:dyDescent="0.25">
      <c r="P2613" s="4"/>
    </row>
    <row r="2614" spans="16:16" x14ac:dyDescent="0.25">
      <c r="P2614" s="4"/>
    </row>
    <row r="2615" spans="16:16" x14ac:dyDescent="0.25">
      <c r="P2615" s="4"/>
    </row>
    <row r="2616" spans="16:16" x14ac:dyDescent="0.25">
      <c r="P2616" s="4"/>
    </row>
    <row r="2617" spans="16:16" x14ac:dyDescent="0.25">
      <c r="P2617" s="4"/>
    </row>
    <row r="2618" spans="16:16" x14ac:dyDescent="0.25">
      <c r="P2618" s="4"/>
    </row>
    <row r="2619" spans="16:16" x14ac:dyDescent="0.25">
      <c r="P2619" s="4"/>
    </row>
    <row r="2620" spans="16:16" x14ac:dyDescent="0.25">
      <c r="P2620" s="4"/>
    </row>
    <row r="2621" spans="16:16" x14ac:dyDescent="0.25">
      <c r="P2621" s="4"/>
    </row>
    <row r="2622" spans="16:16" x14ac:dyDescent="0.25">
      <c r="P2622" s="4"/>
    </row>
    <row r="2623" spans="16:16" x14ac:dyDescent="0.25">
      <c r="P2623" s="4"/>
    </row>
    <row r="2624" spans="16:16" x14ac:dyDescent="0.25">
      <c r="P2624" s="4"/>
    </row>
    <row r="2625" spans="16:16" x14ac:dyDescent="0.25">
      <c r="P2625" s="4"/>
    </row>
    <row r="2626" spans="16:16" x14ac:dyDescent="0.25">
      <c r="P2626" s="4"/>
    </row>
    <row r="2627" spans="16:16" x14ac:dyDescent="0.25">
      <c r="P2627" s="4"/>
    </row>
    <row r="2628" spans="16:16" x14ac:dyDescent="0.25">
      <c r="P2628" s="4"/>
    </row>
    <row r="2629" spans="16:16" x14ac:dyDescent="0.25">
      <c r="P2629" s="4"/>
    </row>
    <row r="2630" spans="16:16" x14ac:dyDescent="0.25">
      <c r="P2630" s="4"/>
    </row>
    <row r="2631" spans="16:16" x14ac:dyDescent="0.25">
      <c r="P2631" s="4"/>
    </row>
    <row r="2632" spans="16:16" x14ac:dyDescent="0.25">
      <c r="P2632" s="4"/>
    </row>
    <row r="2633" spans="16:16" x14ac:dyDescent="0.25">
      <c r="P2633" s="4"/>
    </row>
    <row r="2634" spans="16:16" x14ac:dyDescent="0.25">
      <c r="P2634" s="4"/>
    </row>
    <row r="2635" spans="16:16" x14ac:dyDescent="0.25">
      <c r="P2635" s="4"/>
    </row>
    <row r="2636" spans="16:16" x14ac:dyDescent="0.25">
      <c r="P2636" s="4"/>
    </row>
    <row r="2637" spans="16:16" x14ac:dyDescent="0.25">
      <c r="P2637" s="4"/>
    </row>
    <row r="2638" spans="16:16" x14ac:dyDescent="0.25">
      <c r="P2638" s="4"/>
    </row>
    <row r="2639" spans="16:16" x14ac:dyDescent="0.25">
      <c r="P2639" s="4"/>
    </row>
    <row r="2640" spans="16:16" x14ac:dyDescent="0.25">
      <c r="P2640" s="4"/>
    </row>
    <row r="2641" spans="16:16" x14ac:dyDescent="0.25">
      <c r="P2641" s="4"/>
    </row>
    <row r="2642" spans="16:16" x14ac:dyDescent="0.25">
      <c r="P2642" s="4"/>
    </row>
    <row r="2643" spans="16:16" x14ac:dyDescent="0.25">
      <c r="P2643" s="4"/>
    </row>
    <row r="2644" spans="16:16" x14ac:dyDescent="0.25">
      <c r="P2644" s="4"/>
    </row>
    <row r="2645" spans="16:16" x14ac:dyDescent="0.25">
      <c r="P2645" s="4"/>
    </row>
    <row r="2646" spans="16:16" x14ac:dyDescent="0.25">
      <c r="P2646" s="4"/>
    </row>
    <row r="2647" spans="16:16" x14ac:dyDescent="0.25">
      <c r="P2647" s="4"/>
    </row>
    <row r="2648" spans="16:16" x14ac:dyDescent="0.25">
      <c r="P2648" s="4"/>
    </row>
    <row r="2649" spans="16:16" x14ac:dyDescent="0.25">
      <c r="P2649" s="4"/>
    </row>
    <row r="2650" spans="16:16" x14ac:dyDescent="0.25">
      <c r="P2650" s="4"/>
    </row>
    <row r="2651" spans="16:16" x14ac:dyDescent="0.25">
      <c r="P2651" s="4"/>
    </row>
    <row r="2652" spans="16:16" x14ac:dyDescent="0.25">
      <c r="P2652" s="4"/>
    </row>
    <row r="2653" spans="16:16" x14ac:dyDescent="0.25">
      <c r="P2653" s="4"/>
    </row>
    <row r="2654" spans="16:16" x14ac:dyDescent="0.25">
      <c r="P2654" s="4"/>
    </row>
    <row r="2655" spans="16:16" x14ac:dyDescent="0.25">
      <c r="P2655" s="4"/>
    </row>
    <row r="2656" spans="16:16" x14ac:dyDescent="0.25">
      <c r="P2656" s="4"/>
    </row>
    <row r="2657" spans="16:16" x14ac:dyDescent="0.25">
      <c r="P2657" s="4"/>
    </row>
    <row r="2658" spans="16:16" x14ac:dyDescent="0.25">
      <c r="P2658" s="4"/>
    </row>
    <row r="2659" spans="16:16" x14ac:dyDescent="0.25">
      <c r="P2659" s="4"/>
    </row>
    <row r="2660" spans="16:16" x14ac:dyDescent="0.25">
      <c r="P2660" s="4"/>
    </row>
    <row r="2661" spans="16:16" x14ac:dyDescent="0.25">
      <c r="P2661" s="4"/>
    </row>
    <row r="2662" spans="16:16" x14ac:dyDescent="0.25">
      <c r="P2662" s="4"/>
    </row>
    <row r="2663" spans="16:16" x14ac:dyDescent="0.25">
      <c r="P2663" s="4"/>
    </row>
    <row r="2664" spans="16:16" x14ac:dyDescent="0.25">
      <c r="P2664" s="4"/>
    </row>
    <row r="2665" spans="16:16" x14ac:dyDescent="0.25">
      <c r="P2665" s="4"/>
    </row>
    <row r="2666" spans="16:16" x14ac:dyDescent="0.25">
      <c r="P2666" s="4"/>
    </row>
    <row r="2667" spans="16:16" x14ac:dyDescent="0.25">
      <c r="P2667" s="4"/>
    </row>
    <row r="2668" spans="16:16" x14ac:dyDescent="0.25">
      <c r="P2668" s="4"/>
    </row>
    <row r="2669" spans="16:16" x14ac:dyDescent="0.25">
      <c r="P2669" s="4"/>
    </row>
    <row r="2670" spans="16:16" x14ac:dyDescent="0.25">
      <c r="P2670" s="4"/>
    </row>
    <row r="2671" spans="16:16" x14ac:dyDescent="0.25">
      <c r="P2671" s="4"/>
    </row>
    <row r="2672" spans="16:16" x14ac:dyDescent="0.25">
      <c r="P2672" s="4"/>
    </row>
    <row r="2673" spans="16:16" x14ac:dyDescent="0.25">
      <c r="P2673" s="4"/>
    </row>
    <row r="2674" spans="16:16" x14ac:dyDescent="0.25">
      <c r="P2674" s="4"/>
    </row>
    <row r="2675" spans="16:16" x14ac:dyDescent="0.25">
      <c r="P2675" s="4"/>
    </row>
    <row r="2676" spans="16:16" x14ac:dyDescent="0.25">
      <c r="P2676" s="4"/>
    </row>
    <row r="2677" spans="16:16" x14ac:dyDescent="0.25">
      <c r="P2677" s="4"/>
    </row>
    <row r="2678" spans="16:16" x14ac:dyDescent="0.25">
      <c r="P2678" s="4"/>
    </row>
    <row r="2679" spans="16:16" x14ac:dyDescent="0.25">
      <c r="P2679" s="4"/>
    </row>
    <row r="2680" spans="16:16" x14ac:dyDescent="0.25">
      <c r="P2680" s="4"/>
    </row>
    <row r="2681" spans="16:16" x14ac:dyDescent="0.25">
      <c r="P2681" s="4"/>
    </row>
    <row r="2682" spans="16:16" x14ac:dyDescent="0.25">
      <c r="P2682" s="4"/>
    </row>
    <row r="2683" spans="16:16" x14ac:dyDescent="0.25">
      <c r="P2683" s="4"/>
    </row>
    <row r="2684" spans="16:16" x14ac:dyDescent="0.25">
      <c r="P2684" s="4"/>
    </row>
    <row r="2685" spans="16:16" x14ac:dyDescent="0.25">
      <c r="P2685" s="4"/>
    </row>
    <row r="2686" spans="16:16" x14ac:dyDescent="0.25">
      <c r="P2686" s="4"/>
    </row>
    <row r="2687" spans="16:16" x14ac:dyDescent="0.25">
      <c r="P2687" s="4"/>
    </row>
    <row r="2688" spans="16:16" x14ac:dyDescent="0.25">
      <c r="P2688" s="4"/>
    </row>
    <row r="2689" spans="16:16" x14ac:dyDescent="0.25">
      <c r="P2689" s="4"/>
    </row>
    <row r="2690" spans="16:16" x14ac:dyDescent="0.25">
      <c r="P2690" s="4"/>
    </row>
    <row r="2691" spans="16:16" x14ac:dyDescent="0.25">
      <c r="P2691" s="4"/>
    </row>
    <row r="2692" spans="16:16" x14ac:dyDescent="0.25">
      <c r="P2692" s="4"/>
    </row>
    <row r="2693" spans="16:16" x14ac:dyDescent="0.25">
      <c r="P2693" s="4"/>
    </row>
    <row r="2694" spans="16:16" x14ac:dyDescent="0.25">
      <c r="P2694" s="4"/>
    </row>
    <row r="2695" spans="16:16" x14ac:dyDescent="0.25">
      <c r="P2695" s="4"/>
    </row>
    <row r="2696" spans="16:16" x14ac:dyDescent="0.25">
      <c r="P2696" s="4"/>
    </row>
    <row r="2697" spans="16:16" x14ac:dyDescent="0.25">
      <c r="P2697" s="4"/>
    </row>
    <row r="2698" spans="16:16" x14ac:dyDescent="0.25">
      <c r="P2698" s="4"/>
    </row>
    <row r="2699" spans="16:16" x14ac:dyDescent="0.25">
      <c r="P2699" s="4"/>
    </row>
    <row r="2700" spans="16:16" x14ac:dyDescent="0.25">
      <c r="P2700" s="4"/>
    </row>
    <row r="2701" spans="16:16" x14ac:dyDescent="0.25">
      <c r="P2701" s="4"/>
    </row>
    <row r="2702" spans="16:16" x14ac:dyDescent="0.25">
      <c r="P2702" s="4"/>
    </row>
    <row r="2703" spans="16:16" x14ac:dyDescent="0.25">
      <c r="P2703" s="4"/>
    </row>
    <row r="2704" spans="16:16" x14ac:dyDescent="0.25">
      <c r="P2704" s="4"/>
    </row>
    <row r="2705" spans="16:16" x14ac:dyDescent="0.25">
      <c r="P2705" s="4"/>
    </row>
    <row r="2706" spans="16:16" x14ac:dyDescent="0.25">
      <c r="P2706" s="4"/>
    </row>
    <row r="2707" spans="16:16" x14ac:dyDescent="0.25">
      <c r="P2707" s="4"/>
    </row>
    <row r="2708" spans="16:16" x14ac:dyDescent="0.25">
      <c r="P2708" s="4"/>
    </row>
    <row r="2709" spans="16:16" x14ac:dyDescent="0.25">
      <c r="P2709" s="4"/>
    </row>
    <row r="2710" spans="16:16" x14ac:dyDescent="0.25">
      <c r="P2710" s="4"/>
    </row>
    <row r="2711" spans="16:16" x14ac:dyDescent="0.25">
      <c r="P2711" s="4"/>
    </row>
    <row r="2712" spans="16:16" x14ac:dyDescent="0.25">
      <c r="P2712" s="4"/>
    </row>
    <row r="2713" spans="16:16" x14ac:dyDescent="0.25">
      <c r="P2713" s="4"/>
    </row>
    <row r="2714" spans="16:16" x14ac:dyDescent="0.25">
      <c r="P2714" s="4"/>
    </row>
    <row r="2715" spans="16:16" x14ac:dyDescent="0.25">
      <c r="P2715" s="4"/>
    </row>
    <row r="2716" spans="16:16" x14ac:dyDescent="0.25">
      <c r="P2716" s="4"/>
    </row>
    <row r="2717" spans="16:16" x14ac:dyDescent="0.25">
      <c r="P2717" s="4"/>
    </row>
    <row r="2718" spans="16:16" x14ac:dyDescent="0.25">
      <c r="P2718" s="4"/>
    </row>
    <row r="2719" spans="16:16" x14ac:dyDescent="0.25">
      <c r="P2719" s="4"/>
    </row>
    <row r="2720" spans="16:16" x14ac:dyDescent="0.25">
      <c r="P2720" s="4"/>
    </row>
    <row r="2721" spans="16:16" x14ac:dyDescent="0.25">
      <c r="P2721" s="4"/>
    </row>
    <row r="2722" spans="16:16" x14ac:dyDescent="0.25">
      <c r="P2722" s="4"/>
    </row>
    <row r="2723" spans="16:16" x14ac:dyDescent="0.25">
      <c r="P2723" s="4"/>
    </row>
    <row r="2724" spans="16:16" x14ac:dyDescent="0.25">
      <c r="P2724" s="4"/>
    </row>
    <row r="2725" spans="16:16" x14ac:dyDescent="0.25">
      <c r="P2725" s="4"/>
    </row>
    <row r="2726" spans="16:16" x14ac:dyDescent="0.25">
      <c r="P2726" s="4"/>
    </row>
    <row r="2727" spans="16:16" x14ac:dyDescent="0.25">
      <c r="P2727" s="4"/>
    </row>
    <row r="2728" spans="16:16" x14ac:dyDescent="0.25">
      <c r="P2728" s="4"/>
    </row>
    <row r="2729" spans="16:16" x14ac:dyDescent="0.25">
      <c r="P2729" s="4"/>
    </row>
    <row r="2730" spans="16:16" x14ac:dyDescent="0.25">
      <c r="P2730" s="4"/>
    </row>
    <row r="2731" spans="16:16" x14ac:dyDescent="0.25">
      <c r="P2731" s="4"/>
    </row>
    <row r="2732" spans="16:16" x14ac:dyDescent="0.25">
      <c r="P2732" s="4"/>
    </row>
    <row r="2733" spans="16:16" x14ac:dyDescent="0.25">
      <c r="P2733" s="4"/>
    </row>
    <row r="2734" spans="16:16" x14ac:dyDescent="0.25">
      <c r="P2734" s="4"/>
    </row>
    <row r="2735" spans="16:16" x14ac:dyDescent="0.25">
      <c r="P2735" s="4"/>
    </row>
    <row r="2736" spans="16:16" x14ac:dyDescent="0.25">
      <c r="P2736" s="4"/>
    </row>
    <row r="2737" spans="16:16" x14ac:dyDescent="0.25">
      <c r="P2737" s="4"/>
    </row>
    <row r="2738" spans="16:16" x14ac:dyDescent="0.25">
      <c r="P2738" s="4"/>
    </row>
    <row r="2739" spans="16:16" x14ac:dyDescent="0.25">
      <c r="P2739" s="4"/>
    </row>
    <row r="2740" spans="16:16" x14ac:dyDescent="0.25">
      <c r="P2740" s="4"/>
    </row>
    <row r="2741" spans="16:16" x14ac:dyDescent="0.25">
      <c r="P2741" s="4"/>
    </row>
    <row r="2742" spans="16:16" x14ac:dyDescent="0.25">
      <c r="P2742" s="4"/>
    </row>
    <row r="2743" spans="16:16" x14ac:dyDescent="0.25">
      <c r="P2743" s="4"/>
    </row>
    <row r="2744" spans="16:16" x14ac:dyDescent="0.25">
      <c r="P2744" s="4"/>
    </row>
    <row r="2745" spans="16:16" x14ac:dyDescent="0.25">
      <c r="P2745" s="4"/>
    </row>
    <row r="2746" spans="16:16" x14ac:dyDescent="0.25">
      <c r="P2746" s="4"/>
    </row>
    <row r="2747" spans="16:16" x14ac:dyDescent="0.25">
      <c r="P2747" s="4"/>
    </row>
    <row r="2748" spans="16:16" x14ac:dyDescent="0.25">
      <c r="P2748" s="4"/>
    </row>
    <row r="2749" spans="16:16" x14ac:dyDescent="0.25">
      <c r="P2749" s="4"/>
    </row>
    <row r="2750" spans="16:16" x14ac:dyDescent="0.25">
      <c r="P2750" s="4"/>
    </row>
    <row r="2751" spans="16:16" x14ac:dyDescent="0.25">
      <c r="P2751" s="4"/>
    </row>
    <row r="2752" spans="16:16" x14ac:dyDescent="0.25">
      <c r="P2752" s="4"/>
    </row>
    <row r="2753" spans="16:16" x14ac:dyDescent="0.25">
      <c r="P2753" s="4"/>
    </row>
    <row r="2754" spans="16:16" x14ac:dyDescent="0.25">
      <c r="P2754" s="4"/>
    </row>
    <row r="2755" spans="16:16" x14ac:dyDescent="0.25">
      <c r="P2755" s="4"/>
    </row>
    <row r="2756" spans="16:16" x14ac:dyDescent="0.25">
      <c r="P2756" s="4"/>
    </row>
    <row r="2757" spans="16:16" x14ac:dyDescent="0.25">
      <c r="P2757" s="4"/>
    </row>
    <row r="2758" spans="16:16" x14ac:dyDescent="0.25">
      <c r="P2758" s="4"/>
    </row>
    <row r="2759" spans="16:16" x14ac:dyDescent="0.25">
      <c r="P2759" s="4"/>
    </row>
    <row r="2760" spans="16:16" x14ac:dyDescent="0.25">
      <c r="P2760" s="4"/>
    </row>
    <row r="2761" spans="16:16" x14ac:dyDescent="0.25">
      <c r="P2761" s="4"/>
    </row>
    <row r="2762" spans="16:16" x14ac:dyDescent="0.25">
      <c r="P2762" s="4"/>
    </row>
    <row r="2763" spans="16:16" x14ac:dyDescent="0.25">
      <c r="P2763" s="4"/>
    </row>
    <row r="2764" spans="16:16" x14ac:dyDescent="0.25">
      <c r="P2764" s="4"/>
    </row>
    <row r="2765" spans="16:16" x14ac:dyDescent="0.25">
      <c r="P2765" s="4"/>
    </row>
    <row r="2766" spans="16:16" x14ac:dyDescent="0.25">
      <c r="P2766" s="4"/>
    </row>
    <row r="2767" spans="16:16" x14ac:dyDescent="0.25">
      <c r="P2767" s="4"/>
    </row>
    <row r="2768" spans="16:16" x14ac:dyDescent="0.25">
      <c r="P2768" s="4"/>
    </row>
    <row r="2769" spans="16:16" x14ac:dyDescent="0.25">
      <c r="P2769" s="4"/>
    </row>
    <row r="2770" spans="16:16" x14ac:dyDescent="0.25">
      <c r="P2770" s="4"/>
    </row>
    <row r="2771" spans="16:16" x14ac:dyDescent="0.25">
      <c r="P2771" s="4"/>
    </row>
    <row r="2772" spans="16:16" x14ac:dyDescent="0.25">
      <c r="P2772" s="4"/>
    </row>
    <row r="2773" spans="16:16" x14ac:dyDescent="0.25">
      <c r="P2773" s="4"/>
    </row>
    <row r="2774" spans="16:16" x14ac:dyDescent="0.25">
      <c r="P2774" s="4"/>
    </row>
    <row r="2775" spans="16:16" x14ac:dyDescent="0.25">
      <c r="P2775" s="4"/>
    </row>
    <row r="2776" spans="16:16" x14ac:dyDescent="0.25">
      <c r="P2776" s="4"/>
    </row>
    <row r="2777" spans="16:16" x14ac:dyDescent="0.25">
      <c r="P2777" s="4"/>
    </row>
    <row r="2778" spans="16:16" x14ac:dyDescent="0.25">
      <c r="P2778" s="4"/>
    </row>
    <row r="2779" spans="16:16" x14ac:dyDescent="0.25">
      <c r="P2779" s="4"/>
    </row>
    <row r="2780" spans="16:16" x14ac:dyDescent="0.25">
      <c r="P2780" s="4"/>
    </row>
    <row r="2781" spans="16:16" x14ac:dyDescent="0.25">
      <c r="P2781" s="4"/>
    </row>
    <row r="2782" spans="16:16" x14ac:dyDescent="0.25">
      <c r="P2782" s="4"/>
    </row>
    <row r="2783" spans="16:16" x14ac:dyDescent="0.25">
      <c r="P2783" s="4"/>
    </row>
    <row r="2784" spans="16:16" x14ac:dyDescent="0.25">
      <c r="P2784" s="4"/>
    </row>
    <row r="2785" spans="16:16" x14ac:dyDescent="0.25">
      <c r="P2785" s="4"/>
    </row>
    <row r="2786" spans="16:16" x14ac:dyDescent="0.25">
      <c r="P2786" s="4"/>
    </row>
    <row r="2787" spans="16:16" x14ac:dyDescent="0.25">
      <c r="P2787" s="4"/>
    </row>
    <row r="2788" spans="16:16" x14ac:dyDescent="0.25">
      <c r="P2788" s="4"/>
    </row>
    <row r="2789" spans="16:16" x14ac:dyDescent="0.25">
      <c r="P2789" s="4"/>
    </row>
    <row r="2790" spans="16:16" x14ac:dyDescent="0.25">
      <c r="P2790" s="4"/>
    </row>
    <row r="2791" spans="16:16" x14ac:dyDescent="0.25">
      <c r="P2791" s="4"/>
    </row>
    <row r="2792" spans="16:16" x14ac:dyDescent="0.25">
      <c r="P2792" s="4"/>
    </row>
    <row r="2793" spans="16:16" x14ac:dyDescent="0.25">
      <c r="P2793" s="4"/>
    </row>
    <row r="2794" spans="16:16" x14ac:dyDescent="0.25">
      <c r="P2794" s="4"/>
    </row>
    <row r="2795" spans="16:16" x14ac:dyDescent="0.25">
      <c r="P2795" s="4"/>
    </row>
    <row r="2796" spans="16:16" x14ac:dyDescent="0.25">
      <c r="P2796" s="4"/>
    </row>
    <row r="2797" spans="16:16" x14ac:dyDescent="0.25">
      <c r="P2797" s="4"/>
    </row>
    <row r="2798" spans="16:16" x14ac:dyDescent="0.25">
      <c r="P2798" s="4"/>
    </row>
    <row r="2799" spans="16:16" x14ac:dyDescent="0.25">
      <c r="P2799" s="4"/>
    </row>
    <row r="2800" spans="16:16" x14ac:dyDescent="0.25">
      <c r="P2800" s="4"/>
    </row>
    <row r="2801" spans="16:16" x14ac:dyDescent="0.25">
      <c r="P2801" s="4"/>
    </row>
    <row r="2802" spans="16:16" x14ac:dyDescent="0.25">
      <c r="P2802" s="4"/>
    </row>
    <row r="2803" spans="16:16" x14ac:dyDescent="0.25">
      <c r="P2803" s="4"/>
    </row>
    <row r="2804" spans="16:16" x14ac:dyDescent="0.25">
      <c r="P2804" s="4"/>
    </row>
    <row r="2805" spans="16:16" x14ac:dyDescent="0.25">
      <c r="P2805" s="4"/>
    </row>
    <row r="2806" spans="16:16" x14ac:dyDescent="0.25">
      <c r="P2806" s="4"/>
    </row>
    <row r="2807" spans="16:16" x14ac:dyDescent="0.25">
      <c r="P2807" s="4"/>
    </row>
    <row r="2808" spans="16:16" x14ac:dyDescent="0.25">
      <c r="P2808" s="4"/>
    </row>
    <row r="2809" spans="16:16" x14ac:dyDescent="0.25">
      <c r="P2809" s="4"/>
    </row>
    <row r="2810" spans="16:16" x14ac:dyDescent="0.25">
      <c r="P2810" s="4"/>
    </row>
    <row r="2811" spans="16:16" x14ac:dyDescent="0.25">
      <c r="P2811" s="4"/>
    </row>
    <row r="2812" spans="16:16" x14ac:dyDescent="0.25">
      <c r="P2812" s="4"/>
    </row>
    <row r="2813" spans="16:16" x14ac:dyDescent="0.25">
      <c r="P2813" s="4"/>
    </row>
    <row r="2814" spans="16:16" x14ac:dyDescent="0.25">
      <c r="P2814" s="4"/>
    </row>
    <row r="2815" spans="16:16" x14ac:dyDescent="0.25">
      <c r="P2815" s="4"/>
    </row>
    <row r="2816" spans="16:16" x14ac:dyDescent="0.25">
      <c r="P2816" s="4"/>
    </row>
    <row r="2817" spans="16:16" x14ac:dyDescent="0.25">
      <c r="P2817" s="4"/>
    </row>
    <row r="2818" spans="16:16" x14ac:dyDescent="0.25">
      <c r="P2818" s="4"/>
    </row>
    <row r="2819" spans="16:16" x14ac:dyDescent="0.25">
      <c r="P2819" s="4"/>
    </row>
    <row r="2820" spans="16:16" x14ac:dyDescent="0.25">
      <c r="P2820" s="4"/>
    </row>
    <row r="2821" spans="16:16" x14ac:dyDescent="0.25">
      <c r="P2821" s="4"/>
    </row>
    <row r="2822" spans="16:16" x14ac:dyDescent="0.25">
      <c r="P2822" s="4"/>
    </row>
    <row r="2823" spans="16:16" x14ac:dyDescent="0.25">
      <c r="P2823" s="4"/>
    </row>
    <row r="2824" spans="16:16" x14ac:dyDescent="0.25">
      <c r="P2824" s="4"/>
    </row>
    <row r="2825" spans="16:16" x14ac:dyDescent="0.25">
      <c r="P2825" s="4"/>
    </row>
    <row r="2826" spans="16:16" x14ac:dyDescent="0.25">
      <c r="P2826" s="4"/>
    </row>
    <row r="2827" spans="16:16" x14ac:dyDescent="0.25">
      <c r="P2827" s="4"/>
    </row>
    <row r="2828" spans="16:16" x14ac:dyDescent="0.25">
      <c r="P2828" s="4"/>
    </row>
    <row r="2829" spans="16:16" x14ac:dyDescent="0.25">
      <c r="P2829" s="4"/>
    </row>
    <row r="2830" spans="16:16" x14ac:dyDescent="0.25">
      <c r="P2830" s="4"/>
    </row>
    <row r="2831" spans="16:16" x14ac:dyDescent="0.25">
      <c r="P2831" s="4"/>
    </row>
    <row r="2832" spans="16:16" x14ac:dyDescent="0.25">
      <c r="P2832" s="4"/>
    </row>
    <row r="2833" spans="16:16" x14ac:dyDescent="0.25">
      <c r="P2833" s="4"/>
    </row>
    <row r="2834" spans="16:16" x14ac:dyDescent="0.25">
      <c r="P2834" s="4"/>
    </row>
    <row r="2835" spans="16:16" x14ac:dyDescent="0.25">
      <c r="P2835" s="4"/>
    </row>
    <row r="2836" spans="16:16" x14ac:dyDescent="0.25">
      <c r="P2836" s="4"/>
    </row>
    <row r="2837" spans="16:16" x14ac:dyDescent="0.25">
      <c r="P2837" s="4"/>
    </row>
    <row r="2838" spans="16:16" x14ac:dyDescent="0.25">
      <c r="P2838" s="4"/>
    </row>
    <row r="2839" spans="16:16" x14ac:dyDescent="0.25">
      <c r="P2839" s="4"/>
    </row>
    <row r="2840" spans="16:16" x14ac:dyDescent="0.25">
      <c r="P2840" s="4"/>
    </row>
    <row r="2841" spans="16:16" x14ac:dyDescent="0.25">
      <c r="P2841" s="4"/>
    </row>
    <row r="2842" spans="16:16" x14ac:dyDescent="0.25">
      <c r="P2842" s="4"/>
    </row>
    <row r="2843" spans="16:16" x14ac:dyDescent="0.25">
      <c r="P2843" s="4"/>
    </row>
    <row r="2844" spans="16:16" x14ac:dyDescent="0.25">
      <c r="P2844" s="4"/>
    </row>
    <row r="2845" spans="16:16" x14ac:dyDescent="0.25">
      <c r="P2845" s="4"/>
    </row>
    <row r="2846" spans="16:16" x14ac:dyDescent="0.25">
      <c r="P2846" s="4"/>
    </row>
    <row r="2847" spans="16:16" x14ac:dyDescent="0.25">
      <c r="P2847" s="4"/>
    </row>
    <row r="2848" spans="16:16" x14ac:dyDescent="0.25">
      <c r="P2848" s="4"/>
    </row>
    <row r="2849" spans="16:16" x14ac:dyDescent="0.25">
      <c r="P2849" s="4"/>
    </row>
    <row r="2850" spans="16:16" x14ac:dyDescent="0.25">
      <c r="P2850" s="4"/>
    </row>
    <row r="2851" spans="16:16" x14ac:dyDescent="0.25">
      <c r="P2851" s="4"/>
    </row>
    <row r="2852" spans="16:16" x14ac:dyDescent="0.25">
      <c r="P2852" s="4"/>
    </row>
    <row r="2853" spans="16:16" x14ac:dyDescent="0.25">
      <c r="P2853" s="4"/>
    </row>
    <row r="2854" spans="16:16" x14ac:dyDescent="0.25">
      <c r="P2854" s="4"/>
    </row>
    <row r="2855" spans="16:16" x14ac:dyDescent="0.25">
      <c r="P2855" s="4"/>
    </row>
    <row r="2856" spans="16:16" x14ac:dyDescent="0.25">
      <c r="P2856" s="4"/>
    </row>
    <row r="2857" spans="16:16" x14ac:dyDescent="0.25">
      <c r="P2857" s="4"/>
    </row>
    <row r="2858" spans="16:16" x14ac:dyDescent="0.25">
      <c r="P2858" s="4"/>
    </row>
    <row r="2859" spans="16:16" x14ac:dyDescent="0.25">
      <c r="P2859" s="4"/>
    </row>
    <row r="2860" spans="16:16" x14ac:dyDescent="0.25">
      <c r="P2860" s="4"/>
    </row>
    <row r="2861" spans="16:16" x14ac:dyDescent="0.25">
      <c r="P2861" s="4"/>
    </row>
    <row r="2862" spans="16:16" x14ac:dyDescent="0.25">
      <c r="P2862" s="4"/>
    </row>
    <row r="2863" spans="16:16" x14ac:dyDescent="0.25">
      <c r="P2863" s="4"/>
    </row>
    <row r="2864" spans="16:16" x14ac:dyDescent="0.25">
      <c r="P2864" s="4"/>
    </row>
    <row r="2865" spans="16:16" x14ac:dyDescent="0.25">
      <c r="P2865" s="4"/>
    </row>
    <row r="2866" spans="16:16" x14ac:dyDescent="0.25">
      <c r="P2866" s="4"/>
    </row>
    <row r="2867" spans="16:16" x14ac:dyDescent="0.25">
      <c r="P2867" s="4"/>
    </row>
    <row r="2868" spans="16:16" x14ac:dyDescent="0.25">
      <c r="P2868" s="4"/>
    </row>
    <row r="2869" spans="16:16" x14ac:dyDescent="0.25">
      <c r="P2869" s="4"/>
    </row>
    <row r="2870" spans="16:16" x14ac:dyDescent="0.25">
      <c r="P2870" s="4"/>
    </row>
    <row r="2871" spans="16:16" x14ac:dyDescent="0.25">
      <c r="P2871" s="4"/>
    </row>
    <row r="2872" spans="16:16" x14ac:dyDescent="0.25">
      <c r="P2872" s="4"/>
    </row>
    <row r="2873" spans="16:16" x14ac:dyDescent="0.25">
      <c r="P2873" s="4"/>
    </row>
    <row r="2874" spans="16:16" x14ac:dyDescent="0.25">
      <c r="P2874" s="4"/>
    </row>
    <row r="2875" spans="16:16" x14ac:dyDescent="0.25">
      <c r="P2875" s="4"/>
    </row>
    <row r="2876" spans="16:16" x14ac:dyDescent="0.25">
      <c r="P2876" s="4"/>
    </row>
    <row r="2877" spans="16:16" x14ac:dyDescent="0.25">
      <c r="P2877" s="4"/>
    </row>
    <row r="2878" spans="16:16" x14ac:dyDescent="0.25">
      <c r="P2878" s="4"/>
    </row>
    <row r="2879" spans="16:16" x14ac:dyDescent="0.25">
      <c r="P2879" s="4"/>
    </row>
    <row r="2880" spans="16:16" x14ac:dyDescent="0.25">
      <c r="P2880" s="4"/>
    </row>
    <row r="2881" spans="16:16" x14ac:dyDescent="0.25">
      <c r="P2881" s="4"/>
    </row>
    <row r="2882" spans="16:16" x14ac:dyDescent="0.25">
      <c r="P2882" s="4"/>
    </row>
    <row r="2883" spans="16:16" x14ac:dyDescent="0.25">
      <c r="P2883" s="4"/>
    </row>
    <row r="2884" spans="16:16" x14ac:dyDescent="0.25">
      <c r="P2884" s="4"/>
    </row>
    <row r="2885" spans="16:16" x14ac:dyDescent="0.25">
      <c r="P2885" s="4"/>
    </row>
    <row r="2886" spans="16:16" x14ac:dyDescent="0.25">
      <c r="P2886" s="4"/>
    </row>
    <row r="2887" spans="16:16" x14ac:dyDescent="0.25">
      <c r="P2887" s="4"/>
    </row>
    <row r="2888" spans="16:16" x14ac:dyDescent="0.25">
      <c r="P2888" s="4"/>
    </row>
    <row r="2889" spans="16:16" x14ac:dyDescent="0.25">
      <c r="P2889" s="4"/>
    </row>
    <row r="2890" spans="16:16" x14ac:dyDescent="0.25">
      <c r="P2890" s="4"/>
    </row>
    <row r="2891" spans="16:16" x14ac:dyDescent="0.25">
      <c r="P2891" s="4"/>
    </row>
    <row r="2892" spans="16:16" x14ac:dyDescent="0.25">
      <c r="P2892" s="4"/>
    </row>
    <row r="2893" spans="16:16" x14ac:dyDescent="0.25">
      <c r="P2893" s="4"/>
    </row>
    <row r="2894" spans="16:16" x14ac:dyDescent="0.25">
      <c r="P2894" s="4"/>
    </row>
    <row r="2895" spans="16:16" x14ac:dyDescent="0.25">
      <c r="P2895" s="4"/>
    </row>
    <row r="2896" spans="16:16" x14ac:dyDescent="0.25">
      <c r="P2896" s="4"/>
    </row>
    <row r="2897" spans="16:16" x14ac:dyDescent="0.25">
      <c r="P2897" s="4"/>
    </row>
    <row r="2898" spans="16:16" x14ac:dyDescent="0.25">
      <c r="P2898" s="4"/>
    </row>
    <row r="2899" spans="16:16" x14ac:dyDescent="0.25">
      <c r="P2899" s="4"/>
    </row>
    <row r="2900" spans="16:16" x14ac:dyDescent="0.25">
      <c r="P2900" s="4"/>
    </row>
    <row r="2901" spans="16:16" x14ac:dyDescent="0.25">
      <c r="P2901" s="4"/>
    </row>
    <row r="2902" spans="16:16" x14ac:dyDescent="0.25">
      <c r="P2902" s="4"/>
    </row>
    <row r="2903" spans="16:16" x14ac:dyDescent="0.25">
      <c r="P2903" s="4"/>
    </row>
    <row r="2904" spans="16:16" x14ac:dyDescent="0.25">
      <c r="P2904" s="4"/>
    </row>
    <row r="2905" spans="16:16" x14ac:dyDescent="0.25">
      <c r="P2905" s="4"/>
    </row>
    <row r="2906" spans="16:16" x14ac:dyDescent="0.25">
      <c r="P2906" s="4"/>
    </row>
    <row r="2907" spans="16:16" x14ac:dyDescent="0.25">
      <c r="P2907" s="4"/>
    </row>
    <row r="2908" spans="16:16" x14ac:dyDescent="0.25">
      <c r="P2908" s="4"/>
    </row>
    <row r="2909" spans="16:16" x14ac:dyDescent="0.25">
      <c r="P2909" s="4"/>
    </row>
    <row r="2910" spans="16:16" x14ac:dyDescent="0.25">
      <c r="P2910" s="4"/>
    </row>
    <row r="2911" spans="16:16" x14ac:dyDescent="0.25">
      <c r="P2911" s="4"/>
    </row>
    <row r="2912" spans="16:16" x14ac:dyDescent="0.25">
      <c r="P2912" s="4"/>
    </row>
    <row r="2913" spans="16:16" x14ac:dyDescent="0.25">
      <c r="P2913" s="4"/>
    </row>
    <row r="2914" spans="16:16" x14ac:dyDescent="0.25">
      <c r="P2914" s="4"/>
    </row>
    <row r="2915" spans="16:16" x14ac:dyDescent="0.25">
      <c r="P2915" s="4"/>
    </row>
    <row r="2916" spans="16:16" x14ac:dyDescent="0.25">
      <c r="P2916" s="4"/>
    </row>
    <row r="2917" spans="16:16" x14ac:dyDescent="0.25">
      <c r="P2917" s="4"/>
    </row>
    <row r="2918" spans="16:16" x14ac:dyDescent="0.25">
      <c r="P2918" s="4"/>
    </row>
    <row r="2919" spans="16:16" x14ac:dyDescent="0.25">
      <c r="P2919" s="4"/>
    </row>
    <row r="2920" spans="16:16" x14ac:dyDescent="0.25">
      <c r="P2920" s="4"/>
    </row>
    <row r="2921" spans="16:16" x14ac:dyDescent="0.25">
      <c r="P2921" s="4"/>
    </row>
    <row r="2922" spans="16:16" x14ac:dyDescent="0.25">
      <c r="P2922" s="4"/>
    </row>
    <row r="2923" spans="16:16" x14ac:dyDescent="0.25">
      <c r="P2923" s="4"/>
    </row>
    <row r="2924" spans="16:16" x14ac:dyDescent="0.25">
      <c r="P2924" s="4"/>
    </row>
    <row r="2925" spans="16:16" x14ac:dyDescent="0.25">
      <c r="P2925" s="4"/>
    </row>
    <row r="2926" spans="16:16" x14ac:dyDescent="0.25">
      <c r="P2926" s="4"/>
    </row>
    <row r="2927" spans="16:16" x14ac:dyDescent="0.25">
      <c r="P2927" s="4"/>
    </row>
    <row r="2928" spans="16:16" x14ac:dyDescent="0.25">
      <c r="P2928" s="4"/>
    </row>
    <row r="2929" spans="16:16" x14ac:dyDescent="0.25">
      <c r="P2929" s="4"/>
    </row>
    <row r="2930" spans="16:16" x14ac:dyDescent="0.25">
      <c r="P2930" s="4"/>
    </row>
    <row r="2931" spans="16:16" x14ac:dyDescent="0.25">
      <c r="P2931" s="4"/>
    </row>
    <row r="2932" spans="16:16" x14ac:dyDescent="0.25">
      <c r="P2932" s="4"/>
    </row>
    <row r="2933" spans="16:16" x14ac:dyDescent="0.25">
      <c r="P2933" s="4"/>
    </row>
    <row r="2934" spans="16:16" x14ac:dyDescent="0.25">
      <c r="P2934" s="4"/>
    </row>
    <row r="2935" spans="16:16" x14ac:dyDescent="0.25">
      <c r="P2935" s="4"/>
    </row>
    <row r="2936" spans="16:16" x14ac:dyDescent="0.25">
      <c r="P2936" s="4"/>
    </row>
    <row r="2937" spans="16:16" x14ac:dyDescent="0.25">
      <c r="P2937" s="4"/>
    </row>
    <row r="2938" spans="16:16" x14ac:dyDescent="0.25">
      <c r="P2938" s="4"/>
    </row>
    <row r="2939" spans="16:16" x14ac:dyDescent="0.25">
      <c r="P2939" s="4"/>
    </row>
    <row r="2940" spans="16:16" x14ac:dyDescent="0.25">
      <c r="P2940" s="4"/>
    </row>
    <row r="2941" spans="16:16" x14ac:dyDescent="0.25">
      <c r="P2941" s="4"/>
    </row>
    <row r="2942" spans="16:16" x14ac:dyDescent="0.25">
      <c r="P2942" s="4"/>
    </row>
    <row r="2943" spans="16:16" x14ac:dyDescent="0.25">
      <c r="P2943" s="4"/>
    </row>
    <row r="2944" spans="16:16" x14ac:dyDescent="0.25">
      <c r="P2944" s="4"/>
    </row>
    <row r="2945" spans="16:16" x14ac:dyDescent="0.25">
      <c r="P2945" s="4"/>
    </row>
    <row r="2946" spans="16:16" x14ac:dyDescent="0.25">
      <c r="P2946" s="4"/>
    </row>
    <row r="2947" spans="16:16" x14ac:dyDescent="0.25">
      <c r="P2947" s="4"/>
    </row>
    <row r="2948" spans="16:16" x14ac:dyDescent="0.25">
      <c r="P2948" s="4"/>
    </row>
    <row r="2949" spans="16:16" x14ac:dyDescent="0.25">
      <c r="P2949" s="4"/>
    </row>
    <row r="2950" spans="16:16" x14ac:dyDescent="0.25">
      <c r="P2950" s="4"/>
    </row>
    <row r="2951" spans="16:16" x14ac:dyDescent="0.25">
      <c r="P2951" s="4"/>
    </row>
    <row r="2952" spans="16:16" x14ac:dyDescent="0.25">
      <c r="P2952" s="4"/>
    </row>
    <row r="2953" spans="16:16" x14ac:dyDescent="0.25">
      <c r="P2953" s="4"/>
    </row>
    <row r="2954" spans="16:16" x14ac:dyDescent="0.25">
      <c r="P2954" s="4"/>
    </row>
    <row r="2955" spans="16:16" x14ac:dyDescent="0.25">
      <c r="P2955" s="4"/>
    </row>
    <row r="2956" spans="16:16" x14ac:dyDescent="0.25">
      <c r="P2956" s="4"/>
    </row>
    <row r="2957" spans="16:16" x14ac:dyDescent="0.25">
      <c r="P2957" s="4"/>
    </row>
    <row r="2958" spans="16:16" x14ac:dyDescent="0.25">
      <c r="P2958" s="4"/>
    </row>
    <row r="2959" spans="16:16" x14ac:dyDescent="0.25">
      <c r="P2959" s="4"/>
    </row>
    <row r="2960" spans="16:16" x14ac:dyDescent="0.25">
      <c r="P2960" s="4"/>
    </row>
    <row r="2961" spans="16:16" x14ac:dyDescent="0.25">
      <c r="P2961" s="4"/>
    </row>
    <row r="2962" spans="16:16" x14ac:dyDescent="0.25">
      <c r="P2962" s="4"/>
    </row>
    <row r="2963" spans="16:16" x14ac:dyDescent="0.25">
      <c r="P2963" s="4"/>
    </row>
    <row r="2964" spans="16:16" x14ac:dyDescent="0.25">
      <c r="P2964" s="4"/>
    </row>
    <row r="2965" spans="16:16" x14ac:dyDescent="0.25">
      <c r="P2965" s="4"/>
    </row>
    <row r="2966" spans="16:16" x14ac:dyDescent="0.25">
      <c r="P2966" s="4"/>
    </row>
    <row r="2967" spans="16:16" x14ac:dyDescent="0.25">
      <c r="P2967" s="4"/>
    </row>
    <row r="2968" spans="16:16" x14ac:dyDescent="0.25">
      <c r="P2968" s="4"/>
    </row>
    <row r="2969" spans="16:16" x14ac:dyDescent="0.25">
      <c r="P2969" s="4"/>
    </row>
    <row r="2970" spans="16:16" x14ac:dyDescent="0.25">
      <c r="P2970" s="4"/>
    </row>
    <row r="2971" spans="16:16" x14ac:dyDescent="0.25">
      <c r="P2971" s="4"/>
    </row>
    <row r="2972" spans="16:16" x14ac:dyDescent="0.25">
      <c r="P2972" s="4"/>
    </row>
    <row r="2973" spans="16:16" x14ac:dyDescent="0.25">
      <c r="P2973" s="4"/>
    </row>
    <row r="2974" spans="16:16" x14ac:dyDescent="0.25">
      <c r="P2974" s="4"/>
    </row>
    <row r="2975" spans="16:16" x14ac:dyDescent="0.25">
      <c r="P2975" s="4"/>
    </row>
    <row r="2976" spans="16:16" x14ac:dyDescent="0.25">
      <c r="P2976" s="4"/>
    </row>
    <row r="2977" spans="16:16" x14ac:dyDescent="0.25">
      <c r="P2977" s="4"/>
    </row>
    <row r="2978" spans="16:16" x14ac:dyDescent="0.25">
      <c r="P2978" s="4"/>
    </row>
    <row r="2979" spans="16:16" x14ac:dyDescent="0.25">
      <c r="P2979" s="4"/>
    </row>
    <row r="2980" spans="16:16" x14ac:dyDescent="0.25">
      <c r="P2980" s="4"/>
    </row>
    <row r="2981" spans="16:16" x14ac:dyDescent="0.25">
      <c r="P2981" s="4"/>
    </row>
    <row r="2982" spans="16:16" x14ac:dyDescent="0.25">
      <c r="P2982" s="4"/>
    </row>
    <row r="2983" spans="16:16" x14ac:dyDescent="0.25">
      <c r="P2983" s="4"/>
    </row>
    <row r="2984" spans="16:16" x14ac:dyDescent="0.25">
      <c r="P2984" s="4"/>
    </row>
    <row r="2985" spans="16:16" x14ac:dyDescent="0.25">
      <c r="P2985" s="4"/>
    </row>
    <row r="2986" spans="16:16" x14ac:dyDescent="0.25">
      <c r="P2986" s="4"/>
    </row>
    <row r="2987" spans="16:16" x14ac:dyDescent="0.25">
      <c r="P2987" s="4"/>
    </row>
    <row r="2988" spans="16:16" x14ac:dyDescent="0.25">
      <c r="P2988" s="4"/>
    </row>
    <row r="2989" spans="16:16" x14ac:dyDescent="0.25">
      <c r="P2989" s="4"/>
    </row>
    <row r="2990" spans="16:16" x14ac:dyDescent="0.25">
      <c r="P2990" s="4"/>
    </row>
    <row r="2991" spans="16:16" x14ac:dyDescent="0.25">
      <c r="P2991" s="4"/>
    </row>
    <row r="2992" spans="16:16" x14ac:dyDescent="0.25">
      <c r="P2992" s="4"/>
    </row>
    <row r="2993" spans="16:16" x14ac:dyDescent="0.25">
      <c r="P2993" s="4"/>
    </row>
    <row r="2994" spans="16:16" x14ac:dyDescent="0.25">
      <c r="P2994" s="4"/>
    </row>
    <row r="2995" spans="16:16" x14ac:dyDescent="0.25">
      <c r="P2995" s="4"/>
    </row>
    <row r="2996" spans="16:16" x14ac:dyDescent="0.25">
      <c r="P2996" s="4"/>
    </row>
    <row r="2997" spans="16:16" x14ac:dyDescent="0.25">
      <c r="P2997" s="4"/>
    </row>
    <row r="2998" spans="16:16" x14ac:dyDescent="0.25">
      <c r="P2998" s="4"/>
    </row>
    <row r="2999" spans="16:16" x14ac:dyDescent="0.25">
      <c r="P2999" s="4"/>
    </row>
    <row r="3000" spans="16:16" x14ac:dyDescent="0.25">
      <c r="P3000" s="4"/>
    </row>
    <row r="3001" spans="16:16" x14ac:dyDescent="0.25">
      <c r="P3001" s="4"/>
    </row>
    <row r="3002" spans="16:16" x14ac:dyDescent="0.25">
      <c r="P3002" s="4"/>
    </row>
    <row r="3003" spans="16:16" x14ac:dyDescent="0.25">
      <c r="P3003" s="4"/>
    </row>
    <row r="3004" spans="16:16" x14ac:dyDescent="0.25">
      <c r="P3004" s="4"/>
    </row>
    <row r="3005" spans="16:16" x14ac:dyDescent="0.25">
      <c r="P3005" s="4"/>
    </row>
    <row r="3006" spans="16:16" x14ac:dyDescent="0.25">
      <c r="P3006" s="4"/>
    </row>
    <row r="3007" spans="16:16" x14ac:dyDescent="0.25">
      <c r="P3007" s="4"/>
    </row>
    <row r="3008" spans="16:16" x14ac:dyDescent="0.25">
      <c r="P3008" s="4"/>
    </row>
    <row r="3009" spans="16:16" x14ac:dyDescent="0.25">
      <c r="P3009" s="4"/>
    </row>
    <row r="3010" spans="16:16" x14ac:dyDescent="0.25">
      <c r="P3010" s="4"/>
    </row>
    <row r="3011" spans="16:16" x14ac:dyDescent="0.25">
      <c r="P3011" s="4"/>
    </row>
    <row r="3012" spans="16:16" x14ac:dyDescent="0.25">
      <c r="P3012" s="4"/>
    </row>
    <row r="3013" spans="16:16" x14ac:dyDescent="0.25">
      <c r="P3013" s="4"/>
    </row>
    <row r="3014" spans="16:16" x14ac:dyDescent="0.25">
      <c r="P3014" s="4"/>
    </row>
    <row r="3015" spans="16:16" x14ac:dyDescent="0.25">
      <c r="P3015" s="4"/>
    </row>
    <row r="3016" spans="16:16" x14ac:dyDescent="0.25">
      <c r="P3016" s="4"/>
    </row>
    <row r="3017" spans="16:16" x14ac:dyDescent="0.25">
      <c r="P3017" s="4"/>
    </row>
    <row r="3018" spans="16:16" x14ac:dyDescent="0.25">
      <c r="P3018" s="4"/>
    </row>
    <row r="3019" spans="16:16" x14ac:dyDescent="0.25">
      <c r="P3019" s="4"/>
    </row>
    <row r="3020" spans="16:16" x14ac:dyDescent="0.25">
      <c r="P3020" s="4"/>
    </row>
    <row r="3021" spans="16:16" x14ac:dyDescent="0.25">
      <c r="P3021" s="4"/>
    </row>
    <row r="3022" spans="16:16" x14ac:dyDescent="0.25">
      <c r="P3022" s="4"/>
    </row>
    <row r="3023" spans="16:16" x14ac:dyDescent="0.25">
      <c r="P3023" s="4"/>
    </row>
    <row r="3024" spans="16:16" x14ac:dyDescent="0.25">
      <c r="P3024" s="4"/>
    </row>
    <row r="3025" spans="16:16" x14ac:dyDescent="0.25">
      <c r="P3025" s="4"/>
    </row>
    <row r="3026" spans="16:16" x14ac:dyDescent="0.25">
      <c r="P3026" s="4"/>
    </row>
    <row r="3027" spans="16:16" x14ac:dyDescent="0.25">
      <c r="P3027" s="4"/>
    </row>
    <row r="3028" spans="16:16" x14ac:dyDescent="0.25">
      <c r="P3028" s="4"/>
    </row>
    <row r="3029" spans="16:16" x14ac:dyDescent="0.25">
      <c r="P3029" s="4"/>
    </row>
    <row r="3030" spans="16:16" x14ac:dyDescent="0.25">
      <c r="P3030" s="4"/>
    </row>
    <row r="3031" spans="16:16" x14ac:dyDescent="0.25">
      <c r="P3031" s="4"/>
    </row>
    <row r="3032" spans="16:16" x14ac:dyDescent="0.25">
      <c r="P3032" s="4"/>
    </row>
    <row r="3033" spans="16:16" x14ac:dyDescent="0.25">
      <c r="P3033" s="4"/>
    </row>
    <row r="3034" spans="16:16" x14ac:dyDescent="0.25">
      <c r="P3034" s="4"/>
    </row>
    <row r="3035" spans="16:16" x14ac:dyDescent="0.25">
      <c r="P3035" s="4"/>
    </row>
    <row r="3036" spans="16:16" x14ac:dyDescent="0.25">
      <c r="P3036" s="4"/>
    </row>
    <row r="3037" spans="16:16" x14ac:dyDescent="0.25">
      <c r="P3037" s="4"/>
    </row>
    <row r="3038" spans="16:16" x14ac:dyDescent="0.25">
      <c r="P3038" s="4"/>
    </row>
    <row r="3039" spans="16:16" x14ac:dyDescent="0.25">
      <c r="P3039" s="4"/>
    </row>
    <row r="3040" spans="16:16" x14ac:dyDescent="0.25">
      <c r="P3040" s="4"/>
    </row>
    <row r="3041" spans="16:16" x14ac:dyDescent="0.25">
      <c r="P3041" s="4"/>
    </row>
    <row r="3042" spans="16:16" x14ac:dyDescent="0.25">
      <c r="P3042" s="4"/>
    </row>
    <row r="3043" spans="16:16" x14ac:dyDescent="0.25">
      <c r="P3043" s="4"/>
    </row>
    <row r="3044" spans="16:16" x14ac:dyDescent="0.25">
      <c r="P3044" s="4"/>
    </row>
    <row r="3045" spans="16:16" x14ac:dyDescent="0.25">
      <c r="P3045" s="4"/>
    </row>
    <row r="3046" spans="16:16" x14ac:dyDescent="0.25">
      <c r="P3046" s="4"/>
    </row>
    <row r="3047" spans="16:16" x14ac:dyDescent="0.25">
      <c r="P3047" s="4"/>
    </row>
    <row r="3048" spans="16:16" x14ac:dyDescent="0.25">
      <c r="P3048" s="4"/>
    </row>
    <row r="3049" spans="16:16" x14ac:dyDescent="0.25">
      <c r="P3049" s="4"/>
    </row>
    <row r="3050" spans="16:16" x14ac:dyDescent="0.25">
      <c r="P3050" s="4"/>
    </row>
    <row r="3051" spans="16:16" x14ac:dyDescent="0.25">
      <c r="P3051" s="4"/>
    </row>
    <row r="3052" spans="16:16" x14ac:dyDescent="0.25">
      <c r="P3052" s="4"/>
    </row>
    <row r="3053" spans="16:16" x14ac:dyDescent="0.25">
      <c r="P3053" s="4"/>
    </row>
    <row r="3054" spans="16:16" x14ac:dyDescent="0.25">
      <c r="P3054" s="4"/>
    </row>
    <row r="3055" spans="16:16" x14ac:dyDescent="0.25">
      <c r="P3055" s="4"/>
    </row>
    <row r="3056" spans="16:16" x14ac:dyDescent="0.25">
      <c r="P3056" s="4"/>
    </row>
    <row r="3057" spans="16:16" x14ac:dyDescent="0.25">
      <c r="P3057" s="4"/>
    </row>
    <row r="3058" spans="16:16" x14ac:dyDescent="0.25">
      <c r="P3058" s="4"/>
    </row>
    <row r="3059" spans="16:16" x14ac:dyDescent="0.25">
      <c r="P3059" s="4"/>
    </row>
    <row r="3060" spans="16:16" x14ac:dyDescent="0.25">
      <c r="P3060" s="4"/>
    </row>
    <row r="3061" spans="16:16" x14ac:dyDescent="0.25">
      <c r="P3061" s="4"/>
    </row>
    <row r="3062" spans="16:16" x14ac:dyDescent="0.25">
      <c r="P3062" s="4"/>
    </row>
    <row r="3063" spans="16:16" x14ac:dyDescent="0.25">
      <c r="P3063" s="4"/>
    </row>
    <row r="3064" spans="16:16" x14ac:dyDescent="0.25">
      <c r="P3064" s="4"/>
    </row>
    <row r="3065" spans="16:16" x14ac:dyDescent="0.25">
      <c r="P3065" s="4"/>
    </row>
    <row r="3066" spans="16:16" x14ac:dyDescent="0.25">
      <c r="P3066" s="4"/>
    </row>
    <row r="3067" spans="16:16" x14ac:dyDescent="0.25">
      <c r="P3067" s="4"/>
    </row>
    <row r="3068" spans="16:16" x14ac:dyDescent="0.25">
      <c r="P3068" s="4"/>
    </row>
    <row r="3069" spans="16:16" x14ac:dyDescent="0.25">
      <c r="P3069" s="4"/>
    </row>
    <row r="3070" spans="16:16" x14ac:dyDescent="0.25">
      <c r="P3070" s="4"/>
    </row>
    <row r="3071" spans="16:16" x14ac:dyDescent="0.25">
      <c r="P3071" s="4"/>
    </row>
    <row r="3072" spans="16:16" x14ac:dyDescent="0.25">
      <c r="P3072" s="4"/>
    </row>
    <row r="3073" spans="16:16" x14ac:dyDescent="0.25">
      <c r="P3073" s="4"/>
    </row>
    <row r="3074" spans="16:16" x14ac:dyDescent="0.25">
      <c r="P3074" s="4"/>
    </row>
    <row r="3075" spans="16:16" x14ac:dyDescent="0.25">
      <c r="P3075" s="4"/>
    </row>
    <row r="3076" spans="16:16" x14ac:dyDescent="0.25">
      <c r="P3076" s="4"/>
    </row>
    <row r="3077" spans="16:16" x14ac:dyDescent="0.25">
      <c r="P3077" s="4"/>
    </row>
    <row r="3078" spans="16:16" x14ac:dyDescent="0.25">
      <c r="P3078" s="4"/>
    </row>
    <row r="3079" spans="16:16" x14ac:dyDescent="0.25">
      <c r="P3079" s="4"/>
    </row>
    <row r="3080" spans="16:16" x14ac:dyDescent="0.25">
      <c r="P3080" s="4"/>
    </row>
    <row r="3081" spans="16:16" x14ac:dyDescent="0.25">
      <c r="P3081" s="4"/>
    </row>
    <row r="3082" spans="16:16" x14ac:dyDescent="0.25">
      <c r="P3082" s="4"/>
    </row>
    <row r="3083" spans="16:16" x14ac:dyDescent="0.25">
      <c r="P3083" s="4"/>
    </row>
    <row r="3084" spans="16:16" x14ac:dyDescent="0.25">
      <c r="P3084" s="4"/>
    </row>
    <row r="3085" spans="16:16" x14ac:dyDescent="0.25">
      <c r="P3085" s="4"/>
    </row>
    <row r="3086" spans="16:16" x14ac:dyDescent="0.25">
      <c r="P3086" s="4"/>
    </row>
    <row r="3087" spans="16:16" x14ac:dyDescent="0.25">
      <c r="P3087" s="4"/>
    </row>
    <row r="3088" spans="16:16" x14ac:dyDescent="0.25">
      <c r="P3088" s="4"/>
    </row>
    <row r="3089" spans="16:16" x14ac:dyDescent="0.25">
      <c r="P3089" s="4"/>
    </row>
    <row r="3090" spans="16:16" x14ac:dyDescent="0.25">
      <c r="P3090" s="4"/>
    </row>
    <row r="3091" spans="16:16" x14ac:dyDescent="0.25">
      <c r="P3091" s="4"/>
    </row>
    <row r="3092" spans="16:16" x14ac:dyDescent="0.25">
      <c r="P3092" s="4"/>
    </row>
    <row r="3093" spans="16:16" x14ac:dyDescent="0.25">
      <c r="P3093" s="4"/>
    </row>
    <row r="3094" spans="16:16" x14ac:dyDescent="0.25">
      <c r="P3094" s="4"/>
    </row>
    <row r="3095" spans="16:16" x14ac:dyDescent="0.25">
      <c r="P3095" s="4"/>
    </row>
    <row r="3096" spans="16:16" x14ac:dyDescent="0.25">
      <c r="P3096" s="4"/>
    </row>
    <row r="3097" spans="16:16" x14ac:dyDescent="0.25">
      <c r="P3097" s="4"/>
    </row>
    <row r="3098" spans="16:16" x14ac:dyDescent="0.25">
      <c r="P3098" s="4"/>
    </row>
    <row r="3099" spans="16:16" x14ac:dyDescent="0.25">
      <c r="P3099" s="4"/>
    </row>
    <row r="3100" spans="16:16" x14ac:dyDescent="0.25">
      <c r="P3100" s="4"/>
    </row>
    <row r="3101" spans="16:16" x14ac:dyDescent="0.25">
      <c r="P3101" s="4"/>
    </row>
    <row r="3102" spans="16:16" x14ac:dyDescent="0.25">
      <c r="P3102" s="4"/>
    </row>
    <row r="3103" spans="16:16" x14ac:dyDescent="0.25">
      <c r="P3103" s="4"/>
    </row>
    <row r="3104" spans="16:16" x14ac:dyDescent="0.25">
      <c r="P3104" s="4"/>
    </row>
    <row r="3105" spans="16:16" x14ac:dyDescent="0.25">
      <c r="P3105" s="4"/>
    </row>
    <row r="3106" spans="16:16" x14ac:dyDescent="0.25">
      <c r="P3106" s="4"/>
    </row>
    <row r="3107" spans="16:16" x14ac:dyDescent="0.25">
      <c r="P3107" s="4"/>
    </row>
    <row r="3108" spans="16:16" x14ac:dyDescent="0.25">
      <c r="P3108" s="4"/>
    </row>
    <row r="3109" spans="16:16" x14ac:dyDescent="0.25">
      <c r="P3109" s="4"/>
    </row>
    <row r="3110" spans="16:16" x14ac:dyDescent="0.25">
      <c r="P3110" s="4"/>
    </row>
    <row r="3111" spans="16:16" x14ac:dyDescent="0.25">
      <c r="P3111" s="4"/>
    </row>
    <row r="3112" spans="16:16" x14ac:dyDescent="0.25">
      <c r="P3112" s="4"/>
    </row>
    <row r="3113" spans="16:16" x14ac:dyDescent="0.25">
      <c r="P3113" s="4"/>
    </row>
    <row r="3114" spans="16:16" x14ac:dyDescent="0.25">
      <c r="P3114" s="4"/>
    </row>
    <row r="3115" spans="16:16" x14ac:dyDescent="0.25">
      <c r="P3115" s="4"/>
    </row>
    <row r="3116" spans="16:16" x14ac:dyDescent="0.25">
      <c r="P3116" s="4"/>
    </row>
    <row r="3117" spans="16:16" x14ac:dyDescent="0.25">
      <c r="P3117" s="4"/>
    </row>
    <row r="3118" spans="16:16" x14ac:dyDescent="0.25">
      <c r="P3118" s="4"/>
    </row>
    <row r="3119" spans="16:16" x14ac:dyDescent="0.25">
      <c r="P3119" s="4"/>
    </row>
    <row r="3120" spans="16:16" x14ac:dyDescent="0.25">
      <c r="P3120" s="4"/>
    </row>
    <row r="3121" spans="16:16" x14ac:dyDescent="0.25">
      <c r="P3121" s="4"/>
    </row>
    <row r="3122" spans="16:16" x14ac:dyDescent="0.25">
      <c r="P3122" s="4"/>
    </row>
    <row r="3123" spans="16:16" x14ac:dyDescent="0.25">
      <c r="P3123" s="4"/>
    </row>
    <row r="3124" spans="16:16" x14ac:dyDescent="0.25">
      <c r="P3124" s="4"/>
    </row>
    <row r="3125" spans="16:16" x14ac:dyDescent="0.25">
      <c r="P3125" s="4"/>
    </row>
    <row r="3126" spans="16:16" x14ac:dyDescent="0.25">
      <c r="P3126" s="4"/>
    </row>
    <row r="3127" spans="16:16" x14ac:dyDescent="0.25">
      <c r="P3127" s="4"/>
    </row>
    <row r="3128" spans="16:16" x14ac:dyDescent="0.25">
      <c r="P3128" s="4"/>
    </row>
    <row r="3129" spans="16:16" x14ac:dyDescent="0.25">
      <c r="P3129" s="4"/>
    </row>
    <row r="3130" spans="16:16" x14ac:dyDescent="0.25">
      <c r="P3130" s="4"/>
    </row>
    <row r="3131" spans="16:16" x14ac:dyDescent="0.25">
      <c r="P3131" s="4"/>
    </row>
    <row r="3132" spans="16:16" x14ac:dyDescent="0.25">
      <c r="P3132" s="4"/>
    </row>
    <row r="3133" spans="16:16" x14ac:dyDescent="0.25">
      <c r="P3133" s="4"/>
    </row>
    <row r="3134" spans="16:16" x14ac:dyDescent="0.25">
      <c r="P3134" s="4"/>
    </row>
    <row r="3135" spans="16:16" x14ac:dyDescent="0.25">
      <c r="P3135" s="4"/>
    </row>
    <row r="3136" spans="16:16" x14ac:dyDescent="0.25">
      <c r="P3136" s="4"/>
    </row>
    <row r="3137" spans="16:16" x14ac:dyDescent="0.25">
      <c r="P3137" s="4"/>
    </row>
    <row r="3138" spans="16:16" x14ac:dyDescent="0.25">
      <c r="P3138" s="4"/>
    </row>
    <row r="3139" spans="16:16" x14ac:dyDescent="0.25">
      <c r="P3139" s="4"/>
    </row>
    <row r="3140" spans="16:16" x14ac:dyDescent="0.25">
      <c r="P3140" s="4"/>
    </row>
    <row r="3141" spans="16:16" x14ac:dyDescent="0.25">
      <c r="P3141" s="4"/>
    </row>
    <row r="3142" spans="16:16" x14ac:dyDescent="0.25">
      <c r="P3142" s="4"/>
    </row>
    <row r="3143" spans="16:16" x14ac:dyDescent="0.25">
      <c r="P3143" s="4"/>
    </row>
    <row r="3144" spans="16:16" x14ac:dyDescent="0.25">
      <c r="P3144" s="4"/>
    </row>
    <row r="3145" spans="16:16" x14ac:dyDescent="0.25">
      <c r="P3145" s="4"/>
    </row>
    <row r="3146" spans="16:16" x14ac:dyDescent="0.25">
      <c r="P3146" s="4"/>
    </row>
    <row r="3147" spans="16:16" x14ac:dyDescent="0.25">
      <c r="P3147" s="4"/>
    </row>
    <row r="3148" spans="16:16" x14ac:dyDescent="0.25">
      <c r="P3148" s="4"/>
    </row>
    <row r="3149" spans="16:16" x14ac:dyDescent="0.25">
      <c r="P3149" s="4"/>
    </row>
    <row r="3150" spans="16:16" x14ac:dyDescent="0.25">
      <c r="P3150" s="4"/>
    </row>
    <row r="3151" spans="16:16" x14ac:dyDescent="0.25">
      <c r="P3151" s="4"/>
    </row>
    <row r="3152" spans="16:16" x14ac:dyDescent="0.25">
      <c r="P3152" s="4"/>
    </row>
    <row r="3153" spans="16:16" x14ac:dyDescent="0.25">
      <c r="P3153" s="4"/>
    </row>
    <row r="3154" spans="16:16" x14ac:dyDescent="0.25">
      <c r="P3154" s="4"/>
    </row>
    <row r="3155" spans="16:16" x14ac:dyDescent="0.25">
      <c r="P3155" s="4"/>
    </row>
    <row r="3156" spans="16:16" x14ac:dyDescent="0.25">
      <c r="P3156" s="4"/>
    </row>
    <row r="3157" spans="16:16" x14ac:dyDescent="0.25">
      <c r="P3157" s="4"/>
    </row>
    <row r="3158" spans="16:16" x14ac:dyDescent="0.25">
      <c r="P3158" s="4"/>
    </row>
    <row r="3159" spans="16:16" x14ac:dyDescent="0.25">
      <c r="P3159" s="4"/>
    </row>
    <row r="3160" spans="16:16" x14ac:dyDescent="0.25">
      <c r="P3160" s="4"/>
    </row>
    <row r="3161" spans="16:16" x14ac:dyDescent="0.25">
      <c r="P3161" s="4"/>
    </row>
    <row r="3162" spans="16:16" x14ac:dyDescent="0.25">
      <c r="P3162" s="4"/>
    </row>
    <row r="3163" spans="16:16" x14ac:dyDescent="0.25">
      <c r="P3163" s="4"/>
    </row>
    <row r="3164" spans="16:16" x14ac:dyDescent="0.25">
      <c r="P3164" s="4"/>
    </row>
    <row r="3165" spans="16:16" x14ac:dyDescent="0.25">
      <c r="P3165" s="4"/>
    </row>
    <row r="3166" spans="16:16" x14ac:dyDescent="0.25">
      <c r="P3166" s="4"/>
    </row>
    <row r="3167" spans="16:16" x14ac:dyDescent="0.25">
      <c r="P3167" s="4"/>
    </row>
    <row r="3168" spans="16:16" x14ac:dyDescent="0.25">
      <c r="P3168" s="4"/>
    </row>
    <row r="3169" spans="16:16" x14ac:dyDescent="0.25">
      <c r="P3169" s="4"/>
    </row>
    <row r="3170" spans="16:16" x14ac:dyDescent="0.25">
      <c r="P3170" s="4"/>
    </row>
    <row r="3171" spans="16:16" x14ac:dyDescent="0.25">
      <c r="P3171" s="4"/>
    </row>
    <row r="3172" spans="16:16" x14ac:dyDescent="0.25">
      <c r="P3172" s="4"/>
    </row>
    <row r="3173" spans="16:16" x14ac:dyDescent="0.25">
      <c r="P3173" s="4"/>
    </row>
    <row r="3174" spans="16:16" x14ac:dyDescent="0.25">
      <c r="P3174" s="4"/>
    </row>
    <row r="3175" spans="16:16" x14ac:dyDescent="0.25">
      <c r="P3175" s="4"/>
    </row>
    <row r="3176" spans="16:16" x14ac:dyDescent="0.25">
      <c r="P3176" s="4"/>
    </row>
    <row r="3177" spans="16:16" x14ac:dyDescent="0.25">
      <c r="P3177" s="4"/>
    </row>
    <row r="3178" spans="16:16" x14ac:dyDescent="0.25">
      <c r="P3178" s="4"/>
    </row>
    <row r="3179" spans="16:16" x14ac:dyDescent="0.25">
      <c r="P3179" s="4"/>
    </row>
    <row r="3180" spans="16:16" x14ac:dyDescent="0.25">
      <c r="P3180" s="4"/>
    </row>
    <row r="3181" spans="16:16" x14ac:dyDescent="0.25">
      <c r="P3181" s="4"/>
    </row>
    <row r="3182" spans="16:16" x14ac:dyDescent="0.25">
      <c r="P3182" s="4"/>
    </row>
    <row r="3183" spans="16:16" x14ac:dyDescent="0.25">
      <c r="P3183" s="4"/>
    </row>
    <row r="3184" spans="16:16" x14ac:dyDescent="0.25">
      <c r="P3184" s="4"/>
    </row>
    <row r="3185" spans="16:16" x14ac:dyDescent="0.25">
      <c r="P3185" s="4"/>
    </row>
    <row r="3186" spans="16:16" x14ac:dyDescent="0.25">
      <c r="P3186" s="4"/>
    </row>
    <row r="3187" spans="16:16" x14ac:dyDescent="0.25">
      <c r="P3187" s="4"/>
    </row>
    <row r="3188" spans="16:16" x14ac:dyDescent="0.25">
      <c r="P3188" s="4"/>
    </row>
    <row r="3189" spans="16:16" x14ac:dyDescent="0.25">
      <c r="P3189" s="4"/>
    </row>
    <row r="3190" spans="16:16" x14ac:dyDescent="0.25">
      <c r="P3190" s="4"/>
    </row>
    <row r="3191" spans="16:16" x14ac:dyDescent="0.25">
      <c r="P3191" s="4"/>
    </row>
    <row r="3192" spans="16:16" x14ac:dyDescent="0.25">
      <c r="P3192" s="4"/>
    </row>
    <row r="3193" spans="16:16" x14ac:dyDescent="0.25">
      <c r="P3193" s="4"/>
    </row>
    <row r="3194" spans="16:16" x14ac:dyDescent="0.25">
      <c r="P3194" s="4"/>
    </row>
    <row r="3195" spans="16:16" x14ac:dyDescent="0.25">
      <c r="P3195" s="4"/>
    </row>
    <row r="3196" spans="16:16" x14ac:dyDescent="0.25">
      <c r="P3196" s="4"/>
    </row>
    <row r="3197" spans="16:16" x14ac:dyDescent="0.25">
      <c r="P3197" s="4"/>
    </row>
    <row r="3198" spans="16:16" x14ac:dyDescent="0.25">
      <c r="P3198" s="4"/>
    </row>
    <row r="3199" spans="16:16" x14ac:dyDescent="0.25">
      <c r="P3199" s="4"/>
    </row>
    <row r="3200" spans="16:16" x14ac:dyDescent="0.25">
      <c r="P3200" s="4"/>
    </row>
    <row r="3201" spans="16:16" x14ac:dyDescent="0.25">
      <c r="P3201" s="4"/>
    </row>
    <row r="3202" spans="16:16" x14ac:dyDescent="0.25">
      <c r="P3202" s="4"/>
    </row>
    <row r="3203" spans="16:16" x14ac:dyDescent="0.25">
      <c r="P3203" s="4"/>
    </row>
    <row r="3204" spans="16:16" x14ac:dyDescent="0.25">
      <c r="P3204" s="4"/>
    </row>
    <row r="3205" spans="16:16" x14ac:dyDescent="0.25">
      <c r="P3205" s="4"/>
    </row>
    <row r="3206" spans="16:16" x14ac:dyDescent="0.25">
      <c r="P3206" s="4"/>
    </row>
    <row r="3207" spans="16:16" x14ac:dyDescent="0.25">
      <c r="P3207" s="4"/>
    </row>
    <row r="3208" spans="16:16" x14ac:dyDescent="0.25">
      <c r="P3208" s="4"/>
    </row>
    <row r="3209" spans="16:16" x14ac:dyDescent="0.25">
      <c r="P3209" s="4"/>
    </row>
    <row r="3210" spans="16:16" x14ac:dyDescent="0.25">
      <c r="P3210" s="4"/>
    </row>
    <row r="3211" spans="16:16" x14ac:dyDescent="0.25">
      <c r="P3211" s="4"/>
    </row>
    <row r="3212" spans="16:16" x14ac:dyDescent="0.25">
      <c r="P3212" s="4"/>
    </row>
    <row r="3213" spans="16:16" x14ac:dyDescent="0.25">
      <c r="P3213" s="4"/>
    </row>
    <row r="3214" spans="16:16" x14ac:dyDescent="0.25">
      <c r="P3214" s="4"/>
    </row>
    <row r="3215" spans="16:16" x14ac:dyDescent="0.25">
      <c r="P3215" s="4"/>
    </row>
    <row r="3216" spans="16:16" x14ac:dyDescent="0.25">
      <c r="P3216" s="4"/>
    </row>
    <row r="3217" spans="16:16" x14ac:dyDescent="0.25">
      <c r="P3217" s="4"/>
    </row>
    <row r="3218" spans="16:16" x14ac:dyDescent="0.25">
      <c r="P3218" s="4"/>
    </row>
    <row r="3219" spans="16:16" x14ac:dyDescent="0.25">
      <c r="P3219" s="4"/>
    </row>
    <row r="3220" spans="16:16" x14ac:dyDescent="0.25">
      <c r="P3220" s="4"/>
    </row>
    <row r="3221" spans="16:16" x14ac:dyDescent="0.25">
      <c r="P3221" s="4"/>
    </row>
    <row r="3222" spans="16:16" x14ac:dyDescent="0.25">
      <c r="P3222" s="4"/>
    </row>
    <row r="3223" spans="16:16" x14ac:dyDescent="0.25">
      <c r="P3223" s="4"/>
    </row>
    <row r="3224" spans="16:16" x14ac:dyDescent="0.25">
      <c r="P3224" s="4"/>
    </row>
    <row r="3225" spans="16:16" x14ac:dyDescent="0.25">
      <c r="P3225" s="4"/>
    </row>
    <row r="3226" spans="16:16" x14ac:dyDescent="0.25">
      <c r="P3226" s="4"/>
    </row>
    <row r="3227" spans="16:16" x14ac:dyDescent="0.25">
      <c r="P3227" s="4"/>
    </row>
    <row r="3228" spans="16:16" x14ac:dyDescent="0.25">
      <c r="P3228" s="4"/>
    </row>
    <row r="3229" spans="16:16" x14ac:dyDescent="0.25">
      <c r="P3229" s="4"/>
    </row>
    <row r="3230" spans="16:16" x14ac:dyDescent="0.25">
      <c r="P3230" s="4"/>
    </row>
    <row r="3231" spans="16:16" x14ac:dyDescent="0.25">
      <c r="P3231" s="4"/>
    </row>
    <row r="3232" spans="16:16" x14ac:dyDescent="0.25">
      <c r="P3232" s="4"/>
    </row>
    <row r="3233" spans="16:16" x14ac:dyDescent="0.25">
      <c r="P3233" s="4"/>
    </row>
    <row r="3234" spans="16:16" x14ac:dyDescent="0.25">
      <c r="P3234" s="4"/>
    </row>
    <row r="3235" spans="16:16" x14ac:dyDescent="0.25">
      <c r="P3235" s="4"/>
    </row>
    <row r="3236" spans="16:16" x14ac:dyDescent="0.25">
      <c r="P3236" s="4"/>
    </row>
    <row r="3237" spans="16:16" x14ac:dyDescent="0.25">
      <c r="P3237" s="4"/>
    </row>
    <row r="3238" spans="16:16" x14ac:dyDescent="0.25">
      <c r="P3238" s="4"/>
    </row>
    <row r="3239" spans="16:16" x14ac:dyDescent="0.25">
      <c r="P3239" s="4"/>
    </row>
    <row r="3240" spans="16:16" x14ac:dyDescent="0.25">
      <c r="P3240" s="4"/>
    </row>
    <row r="3241" spans="16:16" x14ac:dyDescent="0.25">
      <c r="P3241" s="4"/>
    </row>
    <row r="3242" spans="16:16" x14ac:dyDescent="0.25">
      <c r="P3242" s="4"/>
    </row>
    <row r="3243" spans="16:16" x14ac:dyDescent="0.25">
      <c r="P3243" s="4"/>
    </row>
    <row r="3244" spans="16:16" x14ac:dyDescent="0.25">
      <c r="P3244" s="4"/>
    </row>
    <row r="3245" spans="16:16" x14ac:dyDescent="0.25">
      <c r="P3245" s="4"/>
    </row>
    <row r="3246" spans="16:16" x14ac:dyDescent="0.25">
      <c r="P3246" s="4"/>
    </row>
    <row r="3247" spans="16:16" x14ac:dyDescent="0.25">
      <c r="P3247" s="4"/>
    </row>
    <row r="3248" spans="16:16" x14ac:dyDescent="0.25">
      <c r="P3248" s="4"/>
    </row>
    <row r="3249" spans="16:16" x14ac:dyDescent="0.25">
      <c r="P3249" s="4"/>
    </row>
    <row r="3250" spans="16:16" x14ac:dyDescent="0.25">
      <c r="P3250" s="4"/>
    </row>
    <row r="3251" spans="16:16" x14ac:dyDescent="0.25">
      <c r="P3251" s="4"/>
    </row>
    <row r="3252" spans="16:16" x14ac:dyDescent="0.25">
      <c r="P3252" s="4"/>
    </row>
    <row r="3253" spans="16:16" x14ac:dyDescent="0.25">
      <c r="P3253" s="4"/>
    </row>
    <row r="3254" spans="16:16" x14ac:dyDescent="0.25">
      <c r="P3254" s="4"/>
    </row>
    <row r="3255" spans="16:16" x14ac:dyDescent="0.25">
      <c r="P3255" s="4"/>
    </row>
    <row r="3256" spans="16:16" x14ac:dyDescent="0.25">
      <c r="P3256" s="4"/>
    </row>
    <row r="3257" spans="16:16" x14ac:dyDescent="0.25">
      <c r="P3257" s="4"/>
    </row>
    <row r="3258" spans="16:16" x14ac:dyDescent="0.25">
      <c r="P3258" s="4"/>
    </row>
    <row r="3259" spans="16:16" x14ac:dyDescent="0.25">
      <c r="P3259" s="4"/>
    </row>
    <row r="3260" spans="16:16" x14ac:dyDescent="0.25">
      <c r="P3260" s="4"/>
    </row>
    <row r="3261" spans="16:16" x14ac:dyDescent="0.25">
      <c r="P3261" s="4"/>
    </row>
    <row r="3262" spans="16:16" x14ac:dyDescent="0.25">
      <c r="P3262" s="4"/>
    </row>
    <row r="3263" spans="16:16" x14ac:dyDescent="0.25">
      <c r="P3263" s="4"/>
    </row>
    <row r="3264" spans="16:16" x14ac:dyDescent="0.25">
      <c r="P3264" s="4"/>
    </row>
    <row r="3265" spans="16:16" x14ac:dyDescent="0.25">
      <c r="P3265" s="4"/>
    </row>
    <row r="3266" spans="16:16" x14ac:dyDescent="0.25">
      <c r="P3266" s="4"/>
    </row>
    <row r="3267" spans="16:16" x14ac:dyDescent="0.25">
      <c r="P3267" s="4"/>
    </row>
    <row r="3268" spans="16:16" x14ac:dyDescent="0.25">
      <c r="P3268" s="4"/>
    </row>
    <row r="3269" spans="16:16" x14ac:dyDescent="0.25">
      <c r="P3269" s="4"/>
    </row>
    <row r="3270" spans="16:16" x14ac:dyDescent="0.25">
      <c r="P3270" s="4"/>
    </row>
    <row r="3271" spans="16:16" x14ac:dyDescent="0.25">
      <c r="P3271" s="4"/>
    </row>
    <row r="3272" spans="16:16" x14ac:dyDescent="0.25">
      <c r="P3272" s="4"/>
    </row>
    <row r="3273" spans="16:16" x14ac:dyDescent="0.25">
      <c r="P3273" s="4"/>
    </row>
    <row r="3274" spans="16:16" x14ac:dyDescent="0.25">
      <c r="P3274" s="4"/>
    </row>
    <row r="3275" spans="16:16" x14ac:dyDescent="0.25">
      <c r="P3275" s="4"/>
    </row>
    <row r="3276" spans="16:16" x14ac:dyDescent="0.25">
      <c r="P3276" s="4"/>
    </row>
    <row r="3277" spans="16:16" x14ac:dyDescent="0.25">
      <c r="P3277" s="4"/>
    </row>
    <row r="3278" spans="16:16" x14ac:dyDescent="0.25">
      <c r="P3278" s="4"/>
    </row>
    <row r="3279" spans="16:16" x14ac:dyDescent="0.25">
      <c r="P3279" s="4"/>
    </row>
    <row r="3280" spans="16:16" x14ac:dyDescent="0.25">
      <c r="P3280" s="4"/>
    </row>
    <row r="3281" spans="16:16" x14ac:dyDescent="0.25">
      <c r="P3281" s="4"/>
    </row>
    <row r="3282" spans="16:16" x14ac:dyDescent="0.25">
      <c r="P3282" s="4"/>
    </row>
    <row r="3283" spans="16:16" x14ac:dyDescent="0.25">
      <c r="P3283" s="4"/>
    </row>
    <row r="3284" spans="16:16" x14ac:dyDescent="0.25">
      <c r="P3284" s="4"/>
    </row>
    <row r="3285" spans="16:16" x14ac:dyDescent="0.25">
      <c r="P3285" s="4"/>
    </row>
    <row r="3286" spans="16:16" x14ac:dyDescent="0.25">
      <c r="P3286" s="4"/>
    </row>
    <row r="3287" spans="16:16" x14ac:dyDescent="0.25">
      <c r="P3287" s="4"/>
    </row>
    <row r="3288" spans="16:16" x14ac:dyDescent="0.25">
      <c r="P3288" s="4"/>
    </row>
    <row r="3289" spans="16:16" x14ac:dyDescent="0.25">
      <c r="P3289" s="4"/>
    </row>
    <row r="3290" spans="16:16" x14ac:dyDescent="0.25">
      <c r="P3290" s="4"/>
    </row>
    <row r="3291" spans="16:16" x14ac:dyDescent="0.25">
      <c r="P3291" s="4"/>
    </row>
    <row r="3292" spans="16:16" x14ac:dyDescent="0.25">
      <c r="P3292" s="4"/>
    </row>
    <row r="3293" spans="16:16" x14ac:dyDescent="0.25">
      <c r="P3293" s="4"/>
    </row>
    <row r="3294" spans="16:16" x14ac:dyDescent="0.25">
      <c r="P3294" s="4"/>
    </row>
    <row r="3295" spans="16:16" x14ac:dyDescent="0.25">
      <c r="P3295" s="4"/>
    </row>
    <row r="3296" spans="16:16" x14ac:dyDescent="0.25">
      <c r="P3296" s="4"/>
    </row>
    <row r="3297" spans="16:16" x14ac:dyDescent="0.25">
      <c r="P3297" s="4"/>
    </row>
    <row r="3298" spans="16:16" x14ac:dyDescent="0.25">
      <c r="P3298" s="4"/>
    </row>
    <row r="3299" spans="16:16" x14ac:dyDescent="0.25">
      <c r="P3299" s="4"/>
    </row>
    <row r="3300" spans="16:16" x14ac:dyDescent="0.25">
      <c r="P3300" s="4"/>
    </row>
    <row r="3301" spans="16:16" x14ac:dyDescent="0.25">
      <c r="P3301" s="4"/>
    </row>
    <row r="3302" spans="16:16" x14ac:dyDescent="0.25">
      <c r="P3302" s="4"/>
    </row>
    <row r="3303" spans="16:16" x14ac:dyDescent="0.25">
      <c r="P3303" s="4"/>
    </row>
    <row r="3304" spans="16:16" x14ac:dyDescent="0.25">
      <c r="P3304" s="4"/>
    </row>
    <row r="3305" spans="16:16" x14ac:dyDescent="0.25">
      <c r="P3305" s="4"/>
    </row>
    <row r="3306" spans="16:16" x14ac:dyDescent="0.25">
      <c r="P3306" s="4"/>
    </row>
    <row r="3307" spans="16:16" x14ac:dyDescent="0.25">
      <c r="P3307" s="4"/>
    </row>
    <row r="3308" spans="16:16" x14ac:dyDescent="0.25">
      <c r="P3308" s="4"/>
    </row>
    <row r="3309" spans="16:16" x14ac:dyDescent="0.25">
      <c r="P3309" s="4"/>
    </row>
    <row r="3310" spans="16:16" x14ac:dyDescent="0.25">
      <c r="P3310" s="4"/>
    </row>
    <row r="3311" spans="16:16" x14ac:dyDescent="0.25">
      <c r="P3311" s="4"/>
    </row>
    <row r="3312" spans="16:16" x14ac:dyDescent="0.25">
      <c r="P3312" s="4"/>
    </row>
    <row r="3313" spans="16:16" x14ac:dyDescent="0.25">
      <c r="P3313" s="4"/>
    </row>
    <row r="3314" spans="16:16" x14ac:dyDescent="0.25">
      <c r="P3314" s="4"/>
    </row>
    <row r="3315" spans="16:16" x14ac:dyDescent="0.25">
      <c r="P3315" s="4"/>
    </row>
    <row r="3316" spans="16:16" x14ac:dyDescent="0.25">
      <c r="P3316" s="4"/>
    </row>
    <row r="3317" spans="16:16" x14ac:dyDescent="0.25">
      <c r="P3317" s="4"/>
    </row>
    <row r="3318" spans="16:16" x14ac:dyDescent="0.25">
      <c r="P3318" s="4"/>
    </row>
    <row r="3319" spans="16:16" x14ac:dyDescent="0.25">
      <c r="P3319" s="4"/>
    </row>
    <row r="3320" spans="16:16" x14ac:dyDescent="0.25">
      <c r="P3320" s="4"/>
    </row>
    <row r="3321" spans="16:16" x14ac:dyDescent="0.25">
      <c r="P3321" s="4"/>
    </row>
    <row r="3322" spans="16:16" x14ac:dyDescent="0.25">
      <c r="P3322" s="4"/>
    </row>
    <row r="3323" spans="16:16" x14ac:dyDescent="0.25">
      <c r="P3323" s="4"/>
    </row>
    <row r="3324" spans="16:16" x14ac:dyDescent="0.25">
      <c r="P3324" s="4"/>
    </row>
    <row r="3325" spans="16:16" x14ac:dyDescent="0.25">
      <c r="P3325" s="4"/>
    </row>
    <row r="3326" spans="16:16" x14ac:dyDescent="0.25">
      <c r="P3326" s="4"/>
    </row>
    <row r="3327" spans="16:16" x14ac:dyDescent="0.25">
      <c r="P3327" s="4"/>
    </row>
    <row r="3328" spans="16:16" x14ac:dyDescent="0.25">
      <c r="P3328" s="4"/>
    </row>
    <row r="3329" spans="16:16" x14ac:dyDescent="0.25">
      <c r="P3329" s="4"/>
    </row>
    <row r="3330" spans="16:16" x14ac:dyDescent="0.25">
      <c r="P3330" s="4"/>
    </row>
    <row r="3331" spans="16:16" x14ac:dyDescent="0.25">
      <c r="P3331" s="4"/>
    </row>
    <row r="3332" spans="16:16" x14ac:dyDescent="0.25">
      <c r="P3332" s="4"/>
    </row>
    <row r="3333" spans="16:16" x14ac:dyDescent="0.25">
      <c r="P3333" s="4"/>
    </row>
    <row r="3334" spans="16:16" x14ac:dyDescent="0.25">
      <c r="P3334" s="4"/>
    </row>
    <row r="3335" spans="16:16" x14ac:dyDescent="0.25">
      <c r="P3335" s="4"/>
    </row>
    <row r="3336" spans="16:16" x14ac:dyDescent="0.25">
      <c r="P3336" s="4"/>
    </row>
    <row r="3337" spans="16:16" x14ac:dyDescent="0.25">
      <c r="P3337" s="4"/>
    </row>
    <row r="3338" spans="16:16" x14ac:dyDescent="0.25">
      <c r="P3338" s="4"/>
    </row>
    <row r="3339" spans="16:16" x14ac:dyDescent="0.25">
      <c r="P3339" s="4"/>
    </row>
    <row r="3340" spans="16:16" x14ac:dyDescent="0.25">
      <c r="P3340" s="4"/>
    </row>
    <row r="3341" spans="16:16" x14ac:dyDescent="0.25">
      <c r="P3341" s="4"/>
    </row>
    <row r="3342" spans="16:16" x14ac:dyDescent="0.25">
      <c r="P3342" s="4"/>
    </row>
    <row r="3343" spans="16:16" x14ac:dyDescent="0.25">
      <c r="P3343" s="4"/>
    </row>
    <row r="3344" spans="16:16" x14ac:dyDescent="0.25">
      <c r="P3344" s="4"/>
    </row>
    <row r="3345" spans="16:16" x14ac:dyDescent="0.25">
      <c r="P3345" s="4"/>
    </row>
    <row r="3346" spans="16:16" x14ac:dyDescent="0.25">
      <c r="P3346" s="4"/>
    </row>
    <row r="3347" spans="16:16" x14ac:dyDescent="0.25">
      <c r="P3347" s="4"/>
    </row>
    <row r="3348" spans="16:16" x14ac:dyDescent="0.25">
      <c r="P3348" s="4"/>
    </row>
    <row r="3349" spans="16:16" x14ac:dyDescent="0.25">
      <c r="P3349" s="4"/>
    </row>
    <row r="3350" spans="16:16" x14ac:dyDescent="0.25">
      <c r="P3350" s="4"/>
    </row>
    <row r="3351" spans="16:16" x14ac:dyDescent="0.25">
      <c r="P3351" s="4"/>
    </row>
    <row r="3352" spans="16:16" x14ac:dyDescent="0.25">
      <c r="P3352" s="4"/>
    </row>
    <row r="3353" spans="16:16" x14ac:dyDescent="0.25">
      <c r="P3353" s="4"/>
    </row>
    <row r="3354" spans="16:16" x14ac:dyDescent="0.25">
      <c r="P3354" s="4"/>
    </row>
    <row r="3355" spans="16:16" x14ac:dyDescent="0.25">
      <c r="P3355" s="4"/>
    </row>
    <row r="3356" spans="16:16" x14ac:dyDescent="0.25">
      <c r="P3356" s="4"/>
    </row>
    <row r="3357" spans="16:16" x14ac:dyDescent="0.25">
      <c r="P3357" s="4"/>
    </row>
    <row r="3358" spans="16:16" x14ac:dyDescent="0.25">
      <c r="P3358" s="4"/>
    </row>
    <row r="3359" spans="16:16" x14ac:dyDescent="0.25">
      <c r="P3359" s="4"/>
    </row>
    <row r="3360" spans="16:16" x14ac:dyDescent="0.25">
      <c r="P3360" s="4"/>
    </row>
    <row r="3361" spans="16:16" x14ac:dyDescent="0.25">
      <c r="P3361" s="4"/>
    </row>
    <row r="3362" spans="16:16" x14ac:dyDescent="0.25">
      <c r="P3362" s="4"/>
    </row>
    <row r="3363" spans="16:16" x14ac:dyDescent="0.25">
      <c r="P3363" s="4"/>
    </row>
    <row r="3364" spans="16:16" x14ac:dyDescent="0.25">
      <c r="P3364" s="4"/>
    </row>
    <row r="3365" spans="16:16" x14ac:dyDescent="0.25">
      <c r="P3365" s="4"/>
    </row>
    <row r="3366" spans="16:16" x14ac:dyDescent="0.25">
      <c r="P3366" s="4"/>
    </row>
    <row r="3367" spans="16:16" x14ac:dyDescent="0.25">
      <c r="P3367" s="4"/>
    </row>
    <row r="3368" spans="16:16" x14ac:dyDescent="0.25">
      <c r="P3368" s="4"/>
    </row>
    <row r="3369" spans="16:16" x14ac:dyDescent="0.25">
      <c r="P3369" s="4"/>
    </row>
    <row r="3370" spans="16:16" x14ac:dyDescent="0.25">
      <c r="P3370" s="4"/>
    </row>
    <row r="3371" spans="16:16" x14ac:dyDescent="0.25">
      <c r="P3371" s="4"/>
    </row>
    <row r="3372" spans="16:16" x14ac:dyDescent="0.25">
      <c r="P3372" s="4"/>
    </row>
    <row r="3373" spans="16:16" x14ac:dyDescent="0.25">
      <c r="P3373" s="4"/>
    </row>
    <row r="3374" spans="16:16" x14ac:dyDescent="0.25">
      <c r="P3374" s="4"/>
    </row>
    <row r="3375" spans="16:16" x14ac:dyDescent="0.25">
      <c r="P3375" s="4"/>
    </row>
    <row r="3376" spans="16:16" x14ac:dyDescent="0.25">
      <c r="P3376" s="4"/>
    </row>
    <row r="3377" spans="16:16" x14ac:dyDescent="0.25">
      <c r="P3377" s="4"/>
    </row>
    <row r="3378" spans="16:16" x14ac:dyDescent="0.25">
      <c r="P3378" s="4"/>
    </row>
    <row r="3379" spans="16:16" x14ac:dyDescent="0.25">
      <c r="P3379" s="4"/>
    </row>
    <row r="3380" spans="16:16" x14ac:dyDescent="0.25">
      <c r="P3380" s="4"/>
    </row>
    <row r="3381" spans="16:16" x14ac:dyDescent="0.25">
      <c r="P3381" s="4"/>
    </row>
    <row r="3382" spans="16:16" x14ac:dyDescent="0.25">
      <c r="P3382" s="4"/>
    </row>
    <row r="3383" spans="16:16" x14ac:dyDescent="0.25">
      <c r="P3383" s="4"/>
    </row>
    <row r="3384" spans="16:16" x14ac:dyDescent="0.25">
      <c r="P3384" s="4"/>
    </row>
    <row r="3385" spans="16:16" x14ac:dyDescent="0.25">
      <c r="P3385" s="4"/>
    </row>
    <row r="3386" spans="16:16" x14ac:dyDescent="0.25">
      <c r="P3386" s="4"/>
    </row>
    <row r="3387" spans="16:16" x14ac:dyDescent="0.25">
      <c r="P3387" s="4"/>
    </row>
    <row r="3388" spans="16:16" x14ac:dyDescent="0.25">
      <c r="P3388" s="4"/>
    </row>
    <row r="3389" spans="16:16" x14ac:dyDescent="0.25">
      <c r="P3389" s="4"/>
    </row>
    <row r="3390" spans="16:16" x14ac:dyDescent="0.25">
      <c r="P3390" s="4"/>
    </row>
    <row r="3391" spans="16:16" x14ac:dyDescent="0.25">
      <c r="P3391" s="4"/>
    </row>
    <row r="3392" spans="16:16" x14ac:dyDescent="0.25">
      <c r="P3392" s="4"/>
    </row>
    <row r="3393" spans="16:16" x14ac:dyDescent="0.25">
      <c r="P3393" s="4"/>
    </row>
    <row r="3394" spans="16:16" x14ac:dyDescent="0.25">
      <c r="P3394" s="4"/>
    </row>
    <row r="3395" spans="16:16" x14ac:dyDescent="0.25">
      <c r="P3395" s="4"/>
    </row>
    <row r="3396" spans="16:16" x14ac:dyDescent="0.25">
      <c r="P3396" s="4"/>
    </row>
    <row r="3397" spans="16:16" x14ac:dyDescent="0.25">
      <c r="P3397" s="4"/>
    </row>
    <row r="3398" spans="16:16" x14ac:dyDescent="0.25">
      <c r="P3398" s="4"/>
    </row>
    <row r="3399" spans="16:16" x14ac:dyDescent="0.25">
      <c r="P3399" s="4"/>
    </row>
    <row r="3400" spans="16:16" x14ac:dyDescent="0.25">
      <c r="P3400" s="4"/>
    </row>
    <row r="3401" spans="16:16" x14ac:dyDescent="0.25">
      <c r="P3401" s="4"/>
    </row>
    <row r="3402" spans="16:16" x14ac:dyDescent="0.25">
      <c r="P3402" s="4"/>
    </row>
    <row r="3403" spans="16:16" x14ac:dyDescent="0.25">
      <c r="P3403" s="4"/>
    </row>
    <row r="3404" spans="16:16" x14ac:dyDescent="0.25">
      <c r="P3404" s="4"/>
    </row>
    <row r="3405" spans="16:16" x14ac:dyDescent="0.25">
      <c r="P3405" s="4"/>
    </row>
    <row r="3406" spans="16:16" x14ac:dyDescent="0.25">
      <c r="P3406" s="4"/>
    </row>
    <row r="3407" spans="16:16" x14ac:dyDescent="0.25">
      <c r="P3407" s="4"/>
    </row>
    <row r="3408" spans="16:16" x14ac:dyDescent="0.25">
      <c r="P3408" s="4"/>
    </row>
    <row r="3409" spans="16:16" x14ac:dyDescent="0.25">
      <c r="P3409" s="4"/>
    </row>
    <row r="3410" spans="16:16" x14ac:dyDescent="0.25">
      <c r="P3410" s="4"/>
    </row>
    <row r="3411" spans="16:16" x14ac:dyDescent="0.25">
      <c r="P3411" s="4"/>
    </row>
    <row r="3412" spans="16:16" x14ac:dyDescent="0.25">
      <c r="P3412" s="4"/>
    </row>
    <row r="3413" spans="16:16" x14ac:dyDescent="0.25">
      <c r="P3413" s="4"/>
    </row>
    <row r="3414" spans="16:16" x14ac:dyDescent="0.25">
      <c r="P3414" s="4"/>
    </row>
    <row r="3415" spans="16:16" x14ac:dyDescent="0.25">
      <c r="P3415" s="4"/>
    </row>
    <row r="3416" spans="16:16" x14ac:dyDescent="0.25">
      <c r="P3416" s="4"/>
    </row>
    <row r="3417" spans="16:16" x14ac:dyDescent="0.25">
      <c r="P3417" s="4"/>
    </row>
    <row r="3418" spans="16:16" x14ac:dyDescent="0.25">
      <c r="P3418" s="4"/>
    </row>
    <row r="3419" spans="16:16" x14ac:dyDescent="0.25">
      <c r="P3419" s="4"/>
    </row>
    <row r="3420" spans="16:16" x14ac:dyDescent="0.25">
      <c r="P3420" s="4"/>
    </row>
    <row r="3421" spans="16:16" x14ac:dyDescent="0.25">
      <c r="P3421" s="4"/>
    </row>
    <row r="3422" spans="16:16" x14ac:dyDescent="0.25">
      <c r="P3422" s="4"/>
    </row>
    <row r="3423" spans="16:16" x14ac:dyDescent="0.25">
      <c r="P3423" s="4"/>
    </row>
    <row r="3424" spans="16:16" x14ac:dyDescent="0.25">
      <c r="P3424" s="4"/>
    </row>
    <row r="3425" spans="16:16" x14ac:dyDescent="0.25">
      <c r="P3425" s="4"/>
    </row>
    <row r="3426" spans="16:16" x14ac:dyDescent="0.25">
      <c r="P3426" s="4"/>
    </row>
    <row r="3427" spans="16:16" x14ac:dyDescent="0.25">
      <c r="P3427" s="4"/>
    </row>
    <row r="3428" spans="16:16" x14ac:dyDescent="0.25">
      <c r="P3428" s="4"/>
    </row>
    <row r="3429" spans="16:16" x14ac:dyDescent="0.25">
      <c r="P3429" s="4"/>
    </row>
    <row r="3430" spans="16:16" x14ac:dyDescent="0.25">
      <c r="P3430" s="4"/>
    </row>
    <row r="3431" spans="16:16" x14ac:dyDescent="0.25">
      <c r="P3431" s="4"/>
    </row>
    <row r="3432" spans="16:16" x14ac:dyDescent="0.25">
      <c r="P3432" s="4"/>
    </row>
    <row r="3433" spans="16:16" x14ac:dyDescent="0.25">
      <c r="P3433" s="4"/>
    </row>
    <row r="3434" spans="16:16" x14ac:dyDescent="0.25">
      <c r="P3434" s="4"/>
    </row>
    <row r="3435" spans="16:16" x14ac:dyDescent="0.25">
      <c r="P3435" s="4"/>
    </row>
    <row r="3436" spans="16:16" x14ac:dyDescent="0.25">
      <c r="P3436" s="4"/>
    </row>
    <row r="3437" spans="16:16" x14ac:dyDescent="0.25">
      <c r="P3437" s="4"/>
    </row>
    <row r="3438" spans="16:16" x14ac:dyDescent="0.25">
      <c r="P3438" s="4"/>
    </row>
    <row r="3439" spans="16:16" x14ac:dyDescent="0.25">
      <c r="P3439" s="4"/>
    </row>
    <row r="3440" spans="16:16" x14ac:dyDescent="0.25">
      <c r="P3440" s="4"/>
    </row>
    <row r="3441" spans="16:16" x14ac:dyDescent="0.25">
      <c r="P3441" s="4"/>
    </row>
    <row r="3442" spans="16:16" x14ac:dyDescent="0.25">
      <c r="P3442" s="4"/>
    </row>
    <row r="3443" spans="16:16" x14ac:dyDescent="0.25">
      <c r="P3443" s="4"/>
    </row>
    <row r="3444" spans="16:16" x14ac:dyDescent="0.25">
      <c r="P3444" s="4"/>
    </row>
    <row r="3445" spans="16:16" x14ac:dyDescent="0.25">
      <c r="P3445" s="4"/>
    </row>
    <row r="3446" spans="16:16" x14ac:dyDescent="0.25">
      <c r="P3446" s="4"/>
    </row>
    <row r="3447" spans="16:16" x14ac:dyDescent="0.25">
      <c r="P3447" s="4"/>
    </row>
    <row r="3448" spans="16:16" x14ac:dyDescent="0.25">
      <c r="P3448" s="4"/>
    </row>
    <row r="3449" spans="16:16" x14ac:dyDescent="0.25">
      <c r="P3449" s="4"/>
    </row>
    <row r="3450" spans="16:16" x14ac:dyDescent="0.25">
      <c r="P3450" s="4"/>
    </row>
    <row r="3451" spans="16:16" x14ac:dyDescent="0.25">
      <c r="P3451" s="4"/>
    </row>
    <row r="3452" spans="16:16" x14ac:dyDescent="0.25">
      <c r="P3452" s="4"/>
    </row>
    <row r="3453" spans="16:16" x14ac:dyDescent="0.25">
      <c r="P3453" s="4"/>
    </row>
    <row r="3454" spans="16:16" x14ac:dyDescent="0.25">
      <c r="P3454" s="4"/>
    </row>
    <row r="3455" spans="16:16" x14ac:dyDescent="0.25">
      <c r="P3455" s="4"/>
    </row>
    <row r="3456" spans="16:16" x14ac:dyDescent="0.25">
      <c r="P3456" s="4"/>
    </row>
    <row r="3457" spans="16:16" x14ac:dyDescent="0.25">
      <c r="P3457" s="4"/>
    </row>
    <row r="3458" spans="16:16" x14ac:dyDescent="0.25">
      <c r="P3458" s="4"/>
    </row>
    <row r="3459" spans="16:16" x14ac:dyDescent="0.25">
      <c r="P3459" s="4"/>
    </row>
    <row r="3460" spans="16:16" x14ac:dyDescent="0.25">
      <c r="P3460" s="4"/>
    </row>
    <row r="3461" spans="16:16" x14ac:dyDescent="0.25">
      <c r="P3461" s="4"/>
    </row>
    <row r="3462" spans="16:16" x14ac:dyDescent="0.25">
      <c r="P3462" s="4"/>
    </row>
    <row r="3463" spans="16:16" x14ac:dyDescent="0.25">
      <c r="P3463" s="4"/>
    </row>
    <row r="3464" spans="16:16" x14ac:dyDescent="0.25">
      <c r="P3464" s="4"/>
    </row>
    <row r="3465" spans="16:16" x14ac:dyDescent="0.25">
      <c r="P3465" s="4"/>
    </row>
    <row r="3466" spans="16:16" x14ac:dyDescent="0.25">
      <c r="P3466" s="4"/>
    </row>
    <row r="3467" spans="16:16" x14ac:dyDescent="0.25">
      <c r="P3467" s="4"/>
    </row>
    <row r="3468" spans="16:16" x14ac:dyDescent="0.25">
      <c r="P3468" s="4"/>
    </row>
    <row r="3469" spans="16:16" x14ac:dyDescent="0.25">
      <c r="P3469" s="4"/>
    </row>
    <row r="3470" spans="16:16" x14ac:dyDescent="0.25">
      <c r="P3470" s="4"/>
    </row>
    <row r="3471" spans="16:16" x14ac:dyDescent="0.25">
      <c r="P3471" s="4"/>
    </row>
    <row r="3472" spans="16:16" x14ac:dyDescent="0.25">
      <c r="P3472" s="4"/>
    </row>
    <row r="3473" spans="16:16" x14ac:dyDescent="0.25">
      <c r="P3473" s="4"/>
    </row>
    <row r="3474" spans="16:16" x14ac:dyDescent="0.25">
      <c r="P3474" s="4"/>
    </row>
    <row r="3475" spans="16:16" x14ac:dyDescent="0.25">
      <c r="P3475" s="4"/>
    </row>
    <row r="3476" spans="16:16" x14ac:dyDescent="0.25">
      <c r="P3476" s="4"/>
    </row>
    <row r="3477" spans="16:16" x14ac:dyDescent="0.25">
      <c r="P3477" s="4"/>
    </row>
    <row r="3478" spans="16:16" x14ac:dyDescent="0.25">
      <c r="P3478" s="4"/>
    </row>
    <row r="3479" spans="16:16" x14ac:dyDescent="0.25">
      <c r="P3479" s="4"/>
    </row>
    <row r="3480" spans="16:16" x14ac:dyDescent="0.25">
      <c r="P3480" s="4"/>
    </row>
    <row r="3481" spans="16:16" x14ac:dyDescent="0.25">
      <c r="P3481" s="4"/>
    </row>
    <row r="3482" spans="16:16" x14ac:dyDescent="0.25">
      <c r="P3482" s="4"/>
    </row>
    <row r="3483" spans="16:16" x14ac:dyDescent="0.25">
      <c r="P3483" s="4"/>
    </row>
    <row r="3484" spans="16:16" x14ac:dyDescent="0.25">
      <c r="P3484" s="4"/>
    </row>
    <row r="3485" spans="16:16" x14ac:dyDescent="0.25">
      <c r="P3485" s="4"/>
    </row>
    <row r="3486" spans="16:16" x14ac:dyDescent="0.25">
      <c r="P3486" s="4"/>
    </row>
    <row r="3487" spans="16:16" x14ac:dyDescent="0.25">
      <c r="P3487" s="4"/>
    </row>
    <row r="3488" spans="16:16" x14ac:dyDescent="0.25">
      <c r="P3488" s="4"/>
    </row>
    <row r="3489" spans="16:16" x14ac:dyDescent="0.25">
      <c r="P3489" s="4"/>
    </row>
    <row r="3490" spans="16:16" x14ac:dyDescent="0.25">
      <c r="P3490" s="4"/>
    </row>
    <row r="3491" spans="16:16" x14ac:dyDescent="0.25">
      <c r="P3491" s="4"/>
    </row>
    <row r="3492" spans="16:16" x14ac:dyDescent="0.25">
      <c r="P3492" s="4"/>
    </row>
    <row r="3493" spans="16:16" x14ac:dyDescent="0.25">
      <c r="P3493" s="4"/>
    </row>
    <row r="3494" spans="16:16" x14ac:dyDescent="0.25">
      <c r="P3494" s="4"/>
    </row>
    <row r="3495" spans="16:16" x14ac:dyDescent="0.25">
      <c r="P3495" s="4"/>
    </row>
    <row r="3496" spans="16:16" x14ac:dyDescent="0.25">
      <c r="P3496" s="4"/>
    </row>
    <row r="3497" spans="16:16" x14ac:dyDescent="0.25">
      <c r="P3497" s="4"/>
    </row>
    <row r="3498" spans="16:16" x14ac:dyDescent="0.25">
      <c r="P3498" s="4"/>
    </row>
    <row r="3499" spans="16:16" x14ac:dyDescent="0.25">
      <c r="P3499" s="4"/>
    </row>
    <row r="3500" spans="16:16" x14ac:dyDescent="0.25">
      <c r="P3500" s="4"/>
    </row>
    <row r="3501" spans="16:16" x14ac:dyDescent="0.25">
      <c r="P3501" s="4"/>
    </row>
    <row r="3502" spans="16:16" x14ac:dyDescent="0.25">
      <c r="P3502" s="4"/>
    </row>
    <row r="3503" spans="16:16" x14ac:dyDescent="0.25">
      <c r="P3503" s="4"/>
    </row>
    <row r="3504" spans="16:16" x14ac:dyDescent="0.25">
      <c r="P3504" s="4"/>
    </row>
    <row r="3505" spans="16:16" x14ac:dyDescent="0.25">
      <c r="P3505" s="4"/>
    </row>
    <row r="3506" spans="16:16" x14ac:dyDescent="0.25">
      <c r="P3506" s="4"/>
    </row>
    <row r="3507" spans="16:16" x14ac:dyDescent="0.25">
      <c r="P3507" s="4"/>
    </row>
    <row r="3508" spans="16:16" x14ac:dyDescent="0.25">
      <c r="P3508" s="4"/>
    </row>
    <row r="3509" spans="16:16" x14ac:dyDescent="0.25">
      <c r="P3509" s="4"/>
    </row>
    <row r="3510" spans="16:16" x14ac:dyDescent="0.25">
      <c r="P3510" s="4"/>
    </row>
    <row r="3511" spans="16:16" x14ac:dyDescent="0.25">
      <c r="P3511" s="4"/>
    </row>
    <row r="3512" spans="16:16" x14ac:dyDescent="0.25">
      <c r="P3512" s="4"/>
    </row>
    <row r="3513" spans="16:16" x14ac:dyDescent="0.25">
      <c r="P3513" s="4"/>
    </row>
    <row r="3514" spans="16:16" x14ac:dyDescent="0.25">
      <c r="P3514" s="4"/>
    </row>
    <row r="3515" spans="16:16" x14ac:dyDescent="0.25">
      <c r="P3515" s="4"/>
    </row>
    <row r="3516" spans="16:16" x14ac:dyDescent="0.25">
      <c r="P3516" s="4"/>
    </row>
    <row r="3517" spans="16:16" x14ac:dyDescent="0.25">
      <c r="P3517" s="4"/>
    </row>
    <row r="3518" spans="16:16" x14ac:dyDescent="0.25">
      <c r="P3518" s="4"/>
    </row>
    <row r="3519" spans="16:16" x14ac:dyDescent="0.25">
      <c r="P3519" s="4"/>
    </row>
    <row r="3520" spans="16:16" x14ac:dyDescent="0.25">
      <c r="P3520" s="4"/>
    </row>
    <row r="3521" spans="16:16" x14ac:dyDescent="0.25">
      <c r="P3521" s="4"/>
    </row>
    <row r="3522" spans="16:16" x14ac:dyDescent="0.25">
      <c r="P3522" s="4"/>
    </row>
    <row r="3523" spans="16:16" x14ac:dyDescent="0.25">
      <c r="P3523" s="4"/>
    </row>
    <row r="3524" spans="16:16" x14ac:dyDescent="0.25">
      <c r="P3524" s="4"/>
    </row>
    <row r="3525" spans="16:16" x14ac:dyDescent="0.25">
      <c r="P3525" s="4"/>
    </row>
    <row r="3526" spans="16:16" x14ac:dyDescent="0.25">
      <c r="P3526" s="4"/>
    </row>
    <row r="3527" spans="16:16" x14ac:dyDescent="0.25">
      <c r="P3527" s="4"/>
    </row>
    <row r="3528" spans="16:16" x14ac:dyDescent="0.25">
      <c r="P3528" s="4"/>
    </row>
    <row r="3529" spans="16:16" x14ac:dyDescent="0.25">
      <c r="P3529" s="4"/>
    </row>
    <row r="3530" spans="16:16" x14ac:dyDescent="0.25">
      <c r="P3530" s="4"/>
    </row>
    <row r="3531" spans="16:16" x14ac:dyDescent="0.25">
      <c r="P3531" s="4"/>
    </row>
    <row r="3532" spans="16:16" x14ac:dyDescent="0.25">
      <c r="P3532" s="4"/>
    </row>
    <row r="3533" spans="16:16" x14ac:dyDescent="0.25">
      <c r="P3533" s="4"/>
    </row>
    <row r="3534" spans="16:16" x14ac:dyDescent="0.25">
      <c r="P3534" s="4"/>
    </row>
    <row r="3535" spans="16:16" x14ac:dyDescent="0.25">
      <c r="P3535" s="4"/>
    </row>
    <row r="3536" spans="16:16" x14ac:dyDescent="0.25">
      <c r="P3536" s="4"/>
    </row>
    <row r="3537" spans="16:16" x14ac:dyDescent="0.25">
      <c r="P3537" s="4"/>
    </row>
    <row r="3538" spans="16:16" x14ac:dyDescent="0.25">
      <c r="P3538" s="4"/>
    </row>
    <row r="3539" spans="16:16" x14ac:dyDescent="0.25">
      <c r="P3539" s="4"/>
    </row>
    <row r="3540" spans="16:16" x14ac:dyDescent="0.25">
      <c r="P3540" s="4"/>
    </row>
    <row r="3541" spans="16:16" x14ac:dyDescent="0.25">
      <c r="P3541" s="4"/>
    </row>
    <row r="3542" spans="16:16" x14ac:dyDescent="0.25">
      <c r="P3542" s="4"/>
    </row>
    <row r="3543" spans="16:16" x14ac:dyDescent="0.25">
      <c r="P3543" s="4"/>
    </row>
    <row r="3544" spans="16:16" x14ac:dyDescent="0.25">
      <c r="P3544" s="4"/>
    </row>
    <row r="3545" spans="16:16" x14ac:dyDescent="0.25">
      <c r="P3545" s="4"/>
    </row>
    <row r="3546" spans="16:16" x14ac:dyDescent="0.25">
      <c r="P3546" s="4"/>
    </row>
    <row r="3547" spans="16:16" x14ac:dyDescent="0.25">
      <c r="P3547" s="4"/>
    </row>
    <row r="3548" spans="16:16" x14ac:dyDescent="0.25">
      <c r="P3548" s="4"/>
    </row>
    <row r="3549" spans="16:16" x14ac:dyDescent="0.25">
      <c r="P3549" s="4"/>
    </row>
    <row r="3550" spans="16:16" x14ac:dyDescent="0.25">
      <c r="P3550" s="4"/>
    </row>
    <row r="3551" spans="16:16" x14ac:dyDescent="0.25">
      <c r="P3551" s="4"/>
    </row>
    <row r="3552" spans="16:16" x14ac:dyDescent="0.25">
      <c r="P3552" s="4"/>
    </row>
    <row r="3553" spans="16:16" x14ac:dyDescent="0.25">
      <c r="P3553" s="4"/>
    </row>
    <row r="3554" spans="16:16" x14ac:dyDescent="0.25">
      <c r="P3554" s="4"/>
    </row>
    <row r="3555" spans="16:16" x14ac:dyDescent="0.25">
      <c r="P3555" s="4"/>
    </row>
    <row r="3556" spans="16:16" x14ac:dyDescent="0.25">
      <c r="P3556" s="4"/>
    </row>
    <row r="3557" spans="16:16" x14ac:dyDescent="0.25">
      <c r="P3557" s="4"/>
    </row>
    <row r="3558" spans="16:16" x14ac:dyDescent="0.25">
      <c r="P3558" s="4"/>
    </row>
    <row r="3559" spans="16:16" x14ac:dyDescent="0.25">
      <c r="P3559" s="4"/>
    </row>
    <row r="3560" spans="16:16" x14ac:dyDescent="0.25">
      <c r="P3560" s="4"/>
    </row>
    <row r="3561" spans="16:16" x14ac:dyDescent="0.25">
      <c r="P3561" s="4"/>
    </row>
    <row r="3562" spans="16:16" x14ac:dyDescent="0.25">
      <c r="P3562" s="4"/>
    </row>
    <row r="3563" spans="16:16" x14ac:dyDescent="0.25">
      <c r="P3563" s="4"/>
    </row>
    <row r="3564" spans="16:16" x14ac:dyDescent="0.25">
      <c r="P3564" s="4"/>
    </row>
    <row r="3565" spans="16:16" x14ac:dyDescent="0.25">
      <c r="P3565" s="4"/>
    </row>
    <row r="3566" spans="16:16" x14ac:dyDescent="0.25">
      <c r="P3566" s="4"/>
    </row>
    <row r="3567" spans="16:16" x14ac:dyDescent="0.25">
      <c r="P3567" s="4"/>
    </row>
    <row r="3568" spans="16:16" x14ac:dyDescent="0.25">
      <c r="P3568" s="4"/>
    </row>
    <row r="3569" spans="16:16" x14ac:dyDescent="0.25">
      <c r="P3569" s="4"/>
    </row>
    <row r="3570" spans="16:16" x14ac:dyDescent="0.25">
      <c r="P3570" s="4"/>
    </row>
    <row r="3571" spans="16:16" x14ac:dyDescent="0.25">
      <c r="P3571" s="4"/>
    </row>
    <row r="3572" spans="16:16" x14ac:dyDescent="0.25">
      <c r="P3572" s="4"/>
    </row>
    <row r="3573" spans="16:16" x14ac:dyDescent="0.25">
      <c r="P3573" s="4"/>
    </row>
    <row r="3574" spans="16:16" x14ac:dyDescent="0.25">
      <c r="P3574" s="4"/>
    </row>
    <row r="3575" spans="16:16" x14ac:dyDescent="0.25">
      <c r="P3575" s="4"/>
    </row>
    <row r="3576" spans="16:16" x14ac:dyDescent="0.25">
      <c r="P3576" s="4"/>
    </row>
    <row r="3577" spans="16:16" x14ac:dyDescent="0.25">
      <c r="P3577" s="4"/>
    </row>
    <row r="3578" spans="16:16" x14ac:dyDescent="0.25">
      <c r="P3578" s="4"/>
    </row>
    <row r="3579" spans="16:16" x14ac:dyDescent="0.25">
      <c r="P3579" s="4"/>
    </row>
    <row r="3580" spans="16:16" x14ac:dyDescent="0.25">
      <c r="P3580" s="4"/>
    </row>
    <row r="3581" spans="16:16" x14ac:dyDescent="0.25">
      <c r="P3581" s="4"/>
    </row>
    <row r="3582" spans="16:16" x14ac:dyDescent="0.25">
      <c r="P3582" s="4"/>
    </row>
    <row r="3583" spans="16:16" x14ac:dyDescent="0.25">
      <c r="P3583" s="4"/>
    </row>
    <row r="3584" spans="16:16" x14ac:dyDescent="0.25">
      <c r="P3584" s="4"/>
    </row>
    <row r="3585" spans="16:16" x14ac:dyDescent="0.25">
      <c r="P3585" s="4"/>
    </row>
    <row r="3586" spans="16:16" x14ac:dyDescent="0.25">
      <c r="P3586" s="4"/>
    </row>
    <row r="3587" spans="16:16" x14ac:dyDescent="0.25">
      <c r="P3587" s="4"/>
    </row>
    <row r="3588" spans="16:16" x14ac:dyDescent="0.25">
      <c r="P3588" s="4"/>
    </row>
    <row r="3589" spans="16:16" x14ac:dyDescent="0.25">
      <c r="P3589" s="4"/>
    </row>
    <row r="3590" spans="16:16" x14ac:dyDescent="0.25">
      <c r="P3590" s="4"/>
    </row>
    <row r="3591" spans="16:16" x14ac:dyDescent="0.25">
      <c r="P3591" s="4"/>
    </row>
    <row r="3592" spans="16:16" x14ac:dyDescent="0.25">
      <c r="P3592" s="4"/>
    </row>
    <row r="3593" spans="16:16" x14ac:dyDescent="0.25">
      <c r="P3593" s="4"/>
    </row>
    <row r="3594" spans="16:16" x14ac:dyDescent="0.25">
      <c r="P3594" s="4"/>
    </row>
    <row r="3595" spans="16:16" x14ac:dyDescent="0.25">
      <c r="P3595" s="4"/>
    </row>
    <row r="3596" spans="16:16" x14ac:dyDescent="0.25">
      <c r="P3596" s="4"/>
    </row>
    <row r="3597" spans="16:16" x14ac:dyDescent="0.25">
      <c r="P3597" s="4"/>
    </row>
    <row r="3598" spans="16:16" x14ac:dyDescent="0.25">
      <c r="P3598" s="4"/>
    </row>
    <row r="3599" spans="16:16" x14ac:dyDescent="0.25">
      <c r="P3599" s="4"/>
    </row>
    <row r="3600" spans="16:16" x14ac:dyDescent="0.25">
      <c r="P3600" s="4"/>
    </row>
    <row r="3601" spans="16:16" x14ac:dyDescent="0.25">
      <c r="P3601" s="4"/>
    </row>
    <row r="3602" spans="16:16" x14ac:dyDescent="0.25">
      <c r="P3602" s="4"/>
    </row>
    <row r="3603" spans="16:16" x14ac:dyDescent="0.25">
      <c r="P3603" s="4"/>
    </row>
    <row r="3604" spans="16:16" x14ac:dyDescent="0.25">
      <c r="P3604" s="4"/>
    </row>
    <row r="3605" spans="16:16" x14ac:dyDescent="0.25">
      <c r="P3605" s="4"/>
    </row>
    <row r="3606" spans="16:16" x14ac:dyDescent="0.25">
      <c r="P3606" s="4"/>
    </row>
    <row r="3607" spans="16:16" x14ac:dyDescent="0.25">
      <c r="P3607" s="4"/>
    </row>
    <row r="3608" spans="16:16" x14ac:dyDescent="0.25">
      <c r="P3608" s="4"/>
    </row>
    <row r="3609" spans="16:16" x14ac:dyDescent="0.25">
      <c r="P3609" s="4"/>
    </row>
    <row r="3610" spans="16:16" x14ac:dyDescent="0.25">
      <c r="P3610" s="4"/>
    </row>
    <row r="3611" spans="16:16" x14ac:dyDescent="0.25">
      <c r="P3611" s="4"/>
    </row>
    <row r="3612" spans="16:16" x14ac:dyDescent="0.25">
      <c r="P3612" s="4"/>
    </row>
    <row r="3613" spans="16:16" x14ac:dyDescent="0.25">
      <c r="P3613" s="4"/>
    </row>
    <row r="3614" spans="16:16" x14ac:dyDescent="0.25">
      <c r="P3614" s="4"/>
    </row>
    <row r="3615" spans="16:16" x14ac:dyDescent="0.25">
      <c r="P3615" s="4"/>
    </row>
    <row r="3616" spans="16:16" x14ac:dyDescent="0.25">
      <c r="P3616" s="4"/>
    </row>
    <row r="3617" spans="16:16" x14ac:dyDescent="0.25">
      <c r="P3617" s="4"/>
    </row>
    <row r="3618" spans="16:16" x14ac:dyDescent="0.25">
      <c r="P3618" s="4"/>
    </row>
    <row r="3619" spans="16:16" x14ac:dyDescent="0.25">
      <c r="P3619" s="4"/>
    </row>
    <row r="3620" spans="16:16" x14ac:dyDescent="0.25">
      <c r="P3620" s="4"/>
    </row>
    <row r="3621" spans="16:16" x14ac:dyDescent="0.25">
      <c r="P3621" s="4"/>
    </row>
    <row r="3622" spans="16:16" x14ac:dyDescent="0.25">
      <c r="P3622" s="4"/>
    </row>
    <row r="3623" spans="16:16" x14ac:dyDescent="0.25">
      <c r="P3623" s="4"/>
    </row>
    <row r="3624" spans="16:16" x14ac:dyDescent="0.25">
      <c r="P3624" s="4"/>
    </row>
    <row r="3625" spans="16:16" x14ac:dyDescent="0.25">
      <c r="P3625" s="4"/>
    </row>
    <row r="3626" spans="16:16" x14ac:dyDescent="0.25">
      <c r="P3626" s="4"/>
    </row>
    <row r="3627" spans="16:16" x14ac:dyDescent="0.25">
      <c r="P3627" s="4"/>
    </row>
    <row r="3628" spans="16:16" x14ac:dyDescent="0.25">
      <c r="P3628" s="4"/>
    </row>
    <row r="3629" spans="16:16" x14ac:dyDescent="0.25">
      <c r="P3629" s="4"/>
    </row>
    <row r="3630" spans="16:16" x14ac:dyDescent="0.25">
      <c r="P3630" s="4"/>
    </row>
    <row r="3631" spans="16:16" x14ac:dyDescent="0.25">
      <c r="P3631" s="4"/>
    </row>
    <row r="3632" spans="16:16" x14ac:dyDescent="0.25">
      <c r="P3632" s="4"/>
    </row>
    <row r="3633" spans="16:16" x14ac:dyDescent="0.25">
      <c r="P3633" s="4"/>
    </row>
    <row r="3634" spans="16:16" x14ac:dyDescent="0.25">
      <c r="P3634" s="4"/>
    </row>
    <row r="3635" spans="16:16" x14ac:dyDescent="0.25">
      <c r="P3635" s="4"/>
    </row>
    <row r="3636" spans="16:16" x14ac:dyDescent="0.25">
      <c r="P3636" s="4"/>
    </row>
    <row r="3637" spans="16:16" x14ac:dyDescent="0.25">
      <c r="P3637" s="4"/>
    </row>
    <row r="3638" spans="16:16" x14ac:dyDescent="0.25">
      <c r="P3638" s="4"/>
    </row>
    <row r="3639" spans="16:16" x14ac:dyDescent="0.25">
      <c r="P3639" s="4"/>
    </row>
    <row r="3640" spans="16:16" x14ac:dyDescent="0.25">
      <c r="P3640" s="4"/>
    </row>
    <row r="3641" spans="16:16" x14ac:dyDescent="0.25">
      <c r="P3641" s="4"/>
    </row>
    <row r="3642" spans="16:16" x14ac:dyDescent="0.25">
      <c r="P3642" s="4"/>
    </row>
    <row r="3643" spans="16:16" x14ac:dyDescent="0.25">
      <c r="P3643" s="4"/>
    </row>
    <row r="3644" spans="16:16" x14ac:dyDescent="0.25">
      <c r="P3644" s="4"/>
    </row>
    <row r="3645" spans="16:16" x14ac:dyDescent="0.25">
      <c r="P3645" s="4"/>
    </row>
    <row r="3646" spans="16:16" x14ac:dyDescent="0.25">
      <c r="P3646" s="4"/>
    </row>
    <row r="3647" spans="16:16" x14ac:dyDescent="0.25">
      <c r="P3647" s="4"/>
    </row>
    <row r="3648" spans="16:16" x14ac:dyDescent="0.25">
      <c r="P3648" s="4"/>
    </row>
    <row r="3649" spans="16:16" x14ac:dyDescent="0.25">
      <c r="P3649" s="4"/>
    </row>
    <row r="3650" spans="16:16" x14ac:dyDescent="0.25">
      <c r="P3650" s="4"/>
    </row>
    <row r="3651" spans="16:16" x14ac:dyDescent="0.25">
      <c r="P3651" s="4"/>
    </row>
    <row r="3652" spans="16:16" x14ac:dyDescent="0.25">
      <c r="P3652" s="4"/>
    </row>
    <row r="3653" spans="16:16" x14ac:dyDescent="0.25">
      <c r="P3653" s="4"/>
    </row>
    <row r="3654" spans="16:16" x14ac:dyDescent="0.25">
      <c r="P3654" s="4"/>
    </row>
    <row r="3655" spans="16:16" x14ac:dyDescent="0.25">
      <c r="P3655" s="4"/>
    </row>
    <row r="3656" spans="16:16" x14ac:dyDescent="0.25">
      <c r="P3656" s="4"/>
    </row>
    <row r="3657" spans="16:16" x14ac:dyDescent="0.25">
      <c r="P3657" s="4"/>
    </row>
    <row r="3658" spans="16:16" x14ac:dyDescent="0.25">
      <c r="P3658" s="4"/>
    </row>
    <row r="3659" spans="16:16" x14ac:dyDescent="0.25">
      <c r="P3659" s="4"/>
    </row>
    <row r="3660" spans="16:16" x14ac:dyDescent="0.25">
      <c r="P3660" s="4"/>
    </row>
    <row r="3661" spans="16:16" x14ac:dyDescent="0.25">
      <c r="P3661" s="4"/>
    </row>
    <row r="3662" spans="16:16" x14ac:dyDescent="0.25">
      <c r="P3662" s="4"/>
    </row>
    <row r="3663" spans="16:16" x14ac:dyDescent="0.25">
      <c r="P3663" s="4"/>
    </row>
    <row r="3664" spans="16:16" x14ac:dyDescent="0.25">
      <c r="P3664" s="4"/>
    </row>
    <row r="3665" spans="16:16" x14ac:dyDescent="0.25">
      <c r="P3665" s="4"/>
    </row>
    <row r="3666" spans="16:16" x14ac:dyDescent="0.25">
      <c r="P3666" s="4"/>
    </row>
    <row r="3667" spans="16:16" x14ac:dyDescent="0.25">
      <c r="P3667" s="4"/>
    </row>
    <row r="3668" spans="16:16" x14ac:dyDescent="0.25">
      <c r="P3668" s="4"/>
    </row>
    <row r="3669" spans="16:16" x14ac:dyDescent="0.25">
      <c r="P3669" s="4"/>
    </row>
    <row r="3670" spans="16:16" x14ac:dyDescent="0.25">
      <c r="P3670" s="4"/>
    </row>
    <row r="3671" spans="16:16" x14ac:dyDescent="0.25">
      <c r="P3671" s="4"/>
    </row>
    <row r="3672" spans="16:16" x14ac:dyDescent="0.25">
      <c r="P3672" s="4"/>
    </row>
    <row r="3673" spans="16:16" x14ac:dyDescent="0.25">
      <c r="P3673" s="4"/>
    </row>
    <row r="3674" spans="16:16" x14ac:dyDescent="0.25">
      <c r="P3674" s="4"/>
    </row>
    <row r="3675" spans="16:16" x14ac:dyDescent="0.25">
      <c r="P3675" s="4"/>
    </row>
    <row r="3676" spans="16:16" x14ac:dyDescent="0.25">
      <c r="P3676" s="4"/>
    </row>
    <row r="3677" spans="16:16" x14ac:dyDescent="0.25">
      <c r="P3677" s="4"/>
    </row>
    <row r="3678" spans="16:16" x14ac:dyDescent="0.25">
      <c r="P3678" s="4"/>
    </row>
    <row r="3679" spans="16:16" x14ac:dyDescent="0.25">
      <c r="P3679" s="4"/>
    </row>
    <row r="3680" spans="16:16" x14ac:dyDescent="0.25">
      <c r="P3680" s="4"/>
    </row>
    <row r="3681" spans="16:16" x14ac:dyDescent="0.25">
      <c r="P3681" s="4"/>
    </row>
    <row r="3682" spans="16:16" x14ac:dyDescent="0.25">
      <c r="P3682" s="4"/>
    </row>
    <row r="3683" spans="16:16" x14ac:dyDescent="0.25">
      <c r="P3683" s="4"/>
    </row>
    <row r="3684" spans="16:16" x14ac:dyDescent="0.25">
      <c r="P3684" s="4"/>
    </row>
    <row r="3685" spans="16:16" x14ac:dyDescent="0.25">
      <c r="P3685" s="4"/>
    </row>
    <row r="3686" spans="16:16" x14ac:dyDescent="0.25">
      <c r="P3686" s="4"/>
    </row>
    <row r="3687" spans="16:16" x14ac:dyDescent="0.25">
      <c r="P3687" s="4"/>
    </row>
    <row r="3688" spans="16:16" x14ac:dyDescent="0.25">
      <c r="P3688" s="4"/>
    </row>
    <row r="3689" spans="16:16" x14ac:dyDescent="0.25">
      <c r="P3689" s="4"/>
    </row>
    <row r="3690" spans="16:16" x14ac:dyDescent="0.25">
      <c r="P3690" s="4"/>
    </row>
    <row r="3691" spans="16:16" x14ac:dyDescent="0.25">
      <c r="P3691" s="4"/>
    </row>
    <row r="3692" spans="16:16" x14ac:dyDescent="0.25">
      <c r="P3692" s="4"/>
    </row>
    <row r="3693" spans="16:16" x14ac:dyDescent="0.25">
      <c r="P3693" s="4"/>
    </row>
    <row r="3694" spans="16:16" x14ac:dyDescent="0.25">
      <c r="P3694" s="4"/>
    </row>
    <row r="3695" spans="16:16" x14ac:dyDescent="0.25">
      <c r="P3695" s="4"/>
    </row>
    <row r="3696" spans="16:16" x14ac:dyDescent="0.25">
      <c r="P3696" s="4"/>
    </row>
    <row r="3697" spans="16:16" x14ac:dyDescent="0.25">
      <c r="P3697" s="4"/>
    </row>
    <row r="3698" spans="16:16" x14ac:dyDescent="0.25">
      <c r="P3698" s="4"/>
    </row>
    <row r="3699" spans="16:16" x14ac:dyDescent="0.25">
      <c r="P3699" s="4"/>
    </row>
    <row r="3700" spans="16:16" x14ac:dyDescent="0.25">
      <c r="P3700" s="4"/>
    </row>
    <row r="3701" spans="16:16" x14ac:dyDescent="0.25">
      <c r="P3701" s="4"/>
    </row>
    <row r="3702" spans="16:16" x14ac:dyDescent="0.25">
      <c r="P3702" s="4"/>
    </row>
    <row r="3703" spans="16:16" x14ac:dyDescent="0.25">
      <c r="P3703" s="4"/>
    </row>
    <row r="3704" spans="16:16" x14ac:dyDescent="0.25">
      <c r="P3704" s="4"/>
    </row>
    <row r="3705" spans="16:16" x14ac:dyDescent="0.25">
      <c r="P3705" s="4"/>
    </row>
    <row r="3706" spans="16:16" x14ac:dyDescent="0.25">
      <c r="P3706" s="4"/>
    </row>
    <row r="3707" spans="16:16" x14ac:dyDescent="0.25">
      <c r="P3707" s="4"/>
    </row>
    <row r="3708" spans="16:16" x14ac:dyDescent="0.25">
      <c r="P3708" s="4"/>
    </row>
    <row r="3709" spans="16:16" x14ac:dyDescent="0.25">
      <c r="P3709" s="4"/>
    </row>
    <row r="3710" spans="16:16" x14ac:dyDescent="0.25">
      <c r="P3710" s="4"/>
    </row>
    <row r="3711" spans="16:16" x14ac:dyDescent="0.25">
      <c r="P3711" s="4"/>
    </row>
    <row r="3712" spans="16:16" x14ac:dyDescent="0.25">
      <c r="P3712" s="4"/>
    </row>
    <row r="3713" spans="16:16" x14ac:dyDescent="0.25">
      <c r="P3713" s="4"/>
    </row>
    <row r="3714" spans="16:16" x14ac:dyDescent="0.25">
      <c r="P3714" s="4"/>
    </row>
    <row r="3715" spans="16:16" x14ac:dyDescent="0.25">
      <c r="P3715" s="4"/>
    </row>
    <row r="3716" spans="16:16" x14ac:dyDescent="0.25">
      <c r="P3716" s="4"/>
    </row>
    <row r="3717" spans="16:16" x14ac:dyDescent="0.25">
      <c r="P3717" s="4"/>
    </row>
    <row r="3718" spans="16:16" x14ac:dyDescent="0.25">
      <c r="P3718" s="4"/>
    </row>
    <row r="3719" spans="16:16" x14ac:dyDescent="0.25">
      <c r="P3719" s="4"/>
    </row>
    <row r="3720" spans="16:16" x14ac:dyDescent="0.25">
      <c r="P3720" s="4"/>
    </row>
    <row r="3721" spans="16:16" x14ac:dyDescent="0.25">
      <c r="P3721" s="4"/>
    </row>
    <row r="3722" spans="16:16" x14ac:dyDescent="0.25">
      <c r="P3722" s="4"/>
    </row>
    <row r="3723" spans="16:16" x14ac:dyDescent="0.25">
      <c r="P3723" s="4"/>
    </row>
    <row r="3724" spans="16:16" x14ac:dyDescent="0.25">
      <c r="P3724" s="4"/>
    </row>
    <row r="3725" spans="16:16" x14ac:dyDescent="0.25">
      <c r="P3725" s="4"/>
    </row>
    <row r="3726" spans="16:16" x14ac:dyDescent="0.25">
      <c r="P3726" s="4"/>
    </row>
    <row r="3727" spans="16:16" x14ac:dyDescent="0.25">
      <c r="P3727" s="4"/>
    </row>
    <row r="3728" spans="16:16" x14ac:dyDescent="0.25">
      <c r="P3728" s="4"/>
    </row>
    <row r="3729" spans="16:16" x14ac:dyDescent="0.25">
      <c r="P3729" s="4"/>
    </row>
    <row r="3730" spans="16:16" x14ac:dyDescent="0.25">
      <c r="P3730" s="4"/>
    </row>
    <row r="3731" spans="16:16" x14ac:dyDescent="0.25">
      <c r="P3731" s="4"/>
    </row>
    <row r="3732" spans="16:16" x14ac:dyDescent="0.25">
      <c r="P3732" s="4"/>
    </row>
    <row r="3733" spans="16:16" x14ac:dyDescent="0.25">
      <c r="P3733" s="4"/>
    </row>
    <row r="3734" spans="16:16" x14ac:dyDescent="0.25">
      <c r="P3734" s="4"/>
    </row>
    <row r="3735" spans="16:16" x14ac:dyDescent="0.25">
      <c r="P3735" s="4"/>
    </row>
    <row r="3736" spans="16:16" x14ac:dyDescent="0.25">
      <c r="P3736" s="4"/>
    </row>
    <row r="3737" spans="16:16" x14ac:dyDescent="0.25">
      <c r="P3737" s="4"/>
    </row>
    <row r="3738" spans="16:16" x14ac:dyDescent="0.25">
      <c r="P3738" s="4"/>
    </row>
    <row r="3739" spans="16:16" x14ac:dyDescent="0.25">
      <c r="P3739" s="4"/>
    </row>
    <row r="3740" spans="16:16" x14ac:dyDescent="0.25">
      <c r="P3740" s="4"/>
    </row>
    <row r="3741" spans="16:16" x14ac:dyDescent="0.25">
      <c r="P3741" s="4"/>
    </row>
    <row r="3742" spans="16:16" x14ac:dyDescent="0.25">
      <c r="P3742" s="4"/>
    </row>
    <row r="3743" spans="16:16" x14ac:dyDescent="0.25">
      <c r="P3743" s="4"/>
    </row>
    <row r="3744" spans="16:16" x14ac:dyDescent="0.25">
      <c r="P3744" s="4"/>
    </row>
    <row r="3745" spans="16:16" x14ac:dyDescent="0.25">
      <c r="P3745" s="4"/>
    </row>
    <row r="3746" spans="16:16" x14ac:dyDescent="0.25">
      <c r="P3746" s="4"/>
    </row>
    <row r="3747" spans="16:16" x14ac:dyDescent="0.25">
      <c r="P3747" s="4"/>
    </row>
    <row r="3748" spans="16:16" x14ac:dyDescent="0.25">
      <c r="P3748" s="4"/>
    </row>
    <row r="3749" spans="16:16" x14ac:dyDescent="0.25">
      <c r="P3749" s="4"/>
    </row>
    <row r="3750" spans="16:16" x14ac:dyDescent="0.25">
      <c r="P3750" s="4"/>
    </row>
    <row r="3751" spans="16:16" x14ac:dyDescent="0.25">
      <c r="P3751" s="4"/>
    </row>
    <row r="3752" spans="16:16" x14ac:dyDescent="0.25">
      <c r="P3752" s="4"/>
    </row>
    <row r="3753" spans="16:16" x14ac:dyDescent="0.25">
      <c r="P3753" s="4"/>
    </row>
    <row r="3754" spans="16:16" x14ac:dyDescent="0.25">
      <c r="P3754" s="4"/>
    </row>
    <row r="3755" spans="16:16" x14ac:dyDescent="0.25">
      <c r="P3755" s="4"/>
    </row>
    <row r="3756" spans="16:16" x14ac:dyDescent="0.25">
      <c r="P3756" s="4"/>
    </row>
    <row r="3757" spans="16:16" x14ac:dyDescent="0.25">
      <c r="P3757" s="4"/>
    </row>
    <row r="3758" spans="16:16" x14ac:dyDescent="0.25">
      <c r="P3758" s="4"/>
    </row>
    <row r="3759" spans="16:16" x14ac:dyDescent="0.25">
      <c r="P3759" s="4"/>
    </row>
    <row r="3760" spans="16:16" x14ac:dyDescent="0.25">
      <c r="P3760" s="4"/>
    </row>
    <row r="3761" spans="16:16" x14ac:dyDescent="0.25">
      <c r="P3761" s="4"/>
    </row>
    <row r="3762" spans="16:16" x14ac:dyDescent="0.25">
      <c r="P3762" s="4"/>
    </row>
    <row r="3763" spans="16:16" x14ac:dyDescent="0.25">
      <c r="P3763" s="4"/>
    </row>
    <row r="3764" spans="16:16" x14ac:dyDescent="0.25">
      <c r="P3764" s="4"/>
    </row>
    <row r="3765" spans="16:16" x14ac:dyDescent="0.25">
      <c r="P3765" s="4"/>
    </row>
    <row r="3766" spans="16:16" x14ac:dyDescent="0.25">
      <c r="P3766" s="4"/>
    </row>
    <row r="3767" spans="16:16" x14ac:dyDescent="0.25">
      <c r="P3767" s="4"/>
    </row>
    <row r="3768" spans="16:16" x14ac:dyDescent="0.25">
      <c r="P3768" s="4"/>
    </row>
    <row r="3769" spans="16:16" x14ac:dyDescent="0.25">
      <c r="P3769" s="4"/>
    </row>
    <row r="3770" spans="16:16" x14ac:dyDescent="0.25">
      <c r="P3770" s="4"/>
    </row>
    <row r="3771" spans="16:16" x14ac:dyDescent="0.25">
      <c r="P3771" s="4"/>
    </row>
    <row r="3772" spans="16:16" x14ac:dyDescent="0.25">
      <c r="P3772" s="4"/>
    </row>
    <row r="3773" spans="16:16" x14ac:dyDescent="0.25">
      <c r="P3773" s="4"/>
    </row>
    <row r="3774" spans="16:16" x14ac:dyDescent="0.25">
      <c r="P3774" s="4"/>
    </row>
    <row r="3775" spans="16:16" x14ac:dyDescent="0.25">
      <c r="P3775" s="4"/>
    </row>
    <row r="3776" spans="16:16" x14ac:dyDescent="0.25">
      <c r="P3776" s="4"/>
    </row>
    <row r="3777" spans="16:16" x14ac:dyDescent="0.25">
      <c r="P3777" s="4"/>
    </row>
    <row r="3778" spans="16:16" x14ac:dyDescent="0.25">
      <c r="P3778" s="4"/>
    </row>
    <row r="3779" spans="16:16" x14ac:dyDescent="0.25">
      <c r="P3779" s="4"/>
    </row>
    <row r="3780" spans="16:16" x14ac:dyDescent="0.25">
      <c r="P3780" s="4"/>
    </row>
    <row r="3781" spans="16:16" x14ac:dyDescent="0.25">
      <c r="P3781" s="4"/>
    </row>
    <row r="3782" spans="16:16" x14ac:dyDescent="0.25">
      <c r="P3782" s="4"/>
    </row>
    <row r="3783" spans="16:16" x14ac:dyDescent="0.25">
      <c r="P3783" s="4"/>
    </row>
    <row r="3784" spans="16:16" x14ac:dyDescent="0.25">
      <c r="P3784" s="4"/>
    </row>
    <row r="3785" spans="16:16" x14ac:dyDescent="0.25">
      <c r="P3785" s="4"/>
    </row>
    <row r="3786" spans="16:16" x14ac:dyDescent="0.25">
      <c r="P3786" s="4"/>
    </row>
    <row r="3787" spans="16:16" x14ac:dyDescent="0.25">
      <c r="P3787" s="4"/>
    </row>
    <row r="3788" spans="16:16" x14ac:dyDescent="0.25">
      <c r="P3788" s="4"/>
    </row>
    <row r="3789" spans="16:16" x14ac:dyDescent="0.25">
      <c r="P3789" s="4"/>
    </row>
    <row r="3790" spans="16:16" x14ac:dyDescent="0.25">
      <c r="P3790" s="4"/>
    </row>
    <row r="3791" spans="16:16" x14ac:dyDescent="0.25">
      <c r="P3791" s="4"/>
    </row>
    <row r="3792" spans="16:16" x14ac:dyDescent="0.25">
      <c r="P3792" s="4"/>
    </row>
    <row r="3793" spans="16:16" x14ac:dyDescent="0.25">
      <c r="P3793" s="4"/>
    </row>
    <row r="3794" spans="16:16" x14ac:dyDescent="0.25">
      <c r="P3794" s="4"/>
    </row>
    <row r="3795" spans="16:16" x14ac:dyDescent="0.25">
      <c r="P3795" s="4"/>
    </row>
    <row r="3796" spans="16:16" x14ac:dyDescent="0.25">
      <c r="P3796" s="4"/>
    </row>
    <row r="3797" spans="16:16" x14ac:dyDescent="0.25">
      <c r="P3797" s="4"/>
    </row>
    <row r="3798" spans="16:16" x14ac:dyDescent="0.25">
      <c r="P3798" s="4"/>
    </row>
    <row r="3799" spans="16:16" x14ac:dyDescent="0.25">
      <c r="P3799" s="4"/>
    </row>
    <row r="3800" spans="16:16" x14ac:dyDescent="0.25">
      <c r="P3800" s="4"/>
    </row>
    <row r="3801" spans="16:16" x14ac:dyDescent="0.25">
      <c r="P3801" s="4"/>
    </row>
    <row r="3802" spans="16:16" x14ac:dyDescent="0.25">
      <c r="P3802" s="4"/>
    </row>
    <row r="3803" spans="16:16" x14ac:dyDescent="0.25">
      <c r="P3803" s="4"/>
    </row>
    <row r="3804" spans="16:16" x14ac:dyDescent="0.25">
      <c r="P3804" s="4"/>
    </row>
    <row r="3805" spans="16:16" x14ac:dyDescent="0.25">
      <c r="P3805" s="4"/>
    </row>
    <row r="3806" spans="16:16" x14ac:dyDescent="0.25">
      <c r="P3806" s="4"/>
    </row>
    <row r="3807" spans="16:16" x14ac:dyDescent="0.25">
      <c r="P3807" s="4"/>
    </row>
    <row r="3808" spans="16:16" x14ac:dyDescent="0.25">
      <c r="P3808" s="4"/>
    </row>
    <row r="3809" spans="16:16" x14ac:dyDescent="0.25">
      <c r="P3809" s="4"/>
    </row>
    <row r="3810" spans="16:16" x14ac:dyDescent="0.25">
      <c r="P3810" s="4"/>
    </row>
    <row r="3811" spans="16:16" x14ac:dyDescent="0.25">
      <c r="P3811" s="4"/>
    </row>
    <row r="3812" spans="16:16" x14ac:dyDescent="0.25">
      <c r="P3812" s="4"/>
    </row>
    <row r="3813" spans="16:16" x14ac:dyDescent="0.25">
      <c r="P3813" s="4"/>
    </row>
    <row r="3814" spans="16:16" x14ac:dyDescent="0.25">
      <c r="P3814" s="4"/>
    </row>
    <row r="3815" spans="16:16" x14ac:dyDescent="0.25">
      <c r="P3815" s="4"/>
    </row>
    <row r="3816" spans="16:16" x14ac:dyDescent="0.25">
      <c r="P3816" s="4"/>
    </row>
    <row r="3817" spans="16:16" x14ac:dyDescent="0.25">
      <c r="P3817" s="4"/>
    </row>
    <row r="3818" spans="16:16" x14ac:dyDescent="0.25">
      <c r="P3818" s="4"/>
    </row>
    <row r="3819" spans="16:16" x14ac:dyDescent="0.25">
      <c r="P3819" s="4"/>
    </row>
    <row r="3820" spans="16:16" x14ac:dyDescent="0.25">
      <c r="P3820" s="4"/>
    </row>
    <row r="3821" spans="16:16" x14ac:dyDescent="0.25">
      <c r="P3821" s="4"/>
    </row>
    <row r="3822" spans="16:16" x14ac:dyDescent="0.25">
      <c r="P3822" s="4"/>
    </row>
    <row r="3823" spans="16:16" x14ac:dyDescent="0.25">
      <c r="P3823" s="4"/>
    </row>
    <row r="3824" spans="16:16" x14ac:dyDescent="0.25">
      <c r="P3824" s="4"/>
    </row>
    <row r="3825" spans="16:16" x14ac:dyDescent="0.25">
      <c r="P3825" s="4"/>
    </row>
    <row r="3826" spans="16:16" x14ac:dyDescent="0.25">
      <c r="P3826" s="4"/>
    </row>
    <row r="3827" spans="16:16" x14ac:dyDescent="0.25">
      <c r="P3827" s="4"/>
    </row>
    <row r="3828" spans="16:16" x14ac:dyDescent="0.25">
      <c r="P3828" s="4"/>
    </row>
    <row r="3829" spans="16:16" x14ac:dyDescent="0.25">
      <c r="P3829" s="4"/>
    </row>
    <row r="3830" spans="16:16" x14ac:dyDescent="0.25">
      <c r="P3830" s="4"/>
    </row>
    <row r="3831" spans="16:16" x14ac:dyDescent="0.25">
      <c r="P3831" s="4"/>
    </row>
    <row r="3832" spans="16:16" x14ac:dyDescent="0.25">
      <c r="P3832" s="4"/>
    </row>
    <row r="3833" spans="16:16" x14ac:dyDescent="0.25">
      <c r="P3833" s="4"/>
    </row>
    <row r="3834" spans="16:16" x14ac:dyDescent="0.25">
      <c r="P3834" s="4"/>
    </row>
    <row r="3835" spans="16:16" x14ac:dyDescent="0.25">
      <c r="P3835" s="4"/>
    </row>
    <row r="3836" spans="16:16" x14ac:dyDescent="0.25">
      <c r="P3836" s="4"/>
    </row>
    <row r="3837" spans="16:16" x14ac:dyDescent="0.25">
      <c r="P3837" s="4"/>
    </row>
    <row r="3838" spans="16:16" x14ac:dyDescent="0.25">
      <c r="P3838" s="4"/>
    </row>
    <row r="3839" spans="16:16" x14ac:dyDescent="0.25">
      <c r="P3839" s="4"/>
    </row>
    <row r="3840" spans="16:16" x14ac:dyDescent="0.25">
      <c r="P3840" s="4"/>
    </row>
    <row r="3841" spans="16:16" x14ac:dyDescent="0.25">
      <c r="P3841" s="4"/>
    </row>
    <row r="3842" spans="16:16" x14ac:dyDescent="0.25">
      <c r="P3842" s="4"/>
    </row>
    <row r="3843" spans="16:16" x14ac:dyDescent="0.25">
      <c r="P3843" s="4"/>
    </row>
    <row r="3844" spans="16:16" x14ac:dyDescent="0.25">
      <c r="P3844" s="4"/>
    </row>
    <row r="3845" spans="16:16" x14ac:dyDescent="0.25">
      <c r="P3845" s="4"/>
    </row>
    <row r="3846" spans="16:16" x14ac:dyDescent="0.25">
      <c r="P3846" s="4"/>
    </row>
    <row r="3847" spans="16:16" x14ac:dyDescent="0.25">
      <c r="P3847" s="4"/>
    </row>
    <row r="3848" spans="16:16" x14ac:dyDescent="0.25">
      <c r="P3848" s="4"/>
    </row>
    <row r="3849" spans="16:16" x14ac:dyDescent="0.25">
      <c r="P3849" s="4"/>
    </row>
    <row r="3850" spans="16:16" x14ac:dyDescent="0.25">
      <c r="P3850" s="4"/>
    </row>
    <row r="3851" spans="16:16" x14ac:dyDescent="0.25">
      <c r="P3851" s="4"/>
    </row>
    <row r="3852" spans="16:16" x14ac:dyDescent="0.25">
      <c r="P3852" s="4"/>
    </row>
    <row r="3853" spans="16:16" x14ac:dyDescent="0.25">
      <c r="P3853" s="4"/>
    </row>
    <row r="3854" spans="16:16" x14ac:dyDescent="0.25">
      <c r="P3854" s="4"/>
    </row>
    <row r="3855" spans="16:16" x14ac:dyDescent="0.25">
      <c r="P3855" s="4"/>
    </row>
    <row r="3856" spans="16:16" x14ac:dyDescent="0.25">
      <c r="P3856" s="4"/>
    </row>
    <row r="3857" spans="16:16" x14ac:dyDescent="0.25">
      <c r="P3857" s="4"/>
    </row>
    <row r="3858" spans="16:16" x14ac:dyDescent="0.25">
      <c r="P3858" s="4"/>
    </row>
    <row r="3859" spans="16:16" x14ac:dyDescent="0.25">
      <c r="P3859" s="4"/>
    </row>
    <row r="3860" spans="16:16" x14ac:dyDescent="0.25">
      <c r="P3860" s="4"/>
    </row>
    <row r="3861" spans="16:16" x14ac:dyDescent="0.25">
      <c r="P3861" s="4"/>
    </row>
    <row r="3862" spans="16:16" x14ac:dyDescent="0.25">
      <c r="P3862" s="4"/>
    </row>
    <row r="3863" spans="16:16" x14ac:dyDescent="0.25">
      <c r="P3863" s="4"/>
    </row>
    <row r="3864" spans="16:16" x14ac:dyDescent="0.25">
      <c r="P3864" s="4"/>
    </row>
    <row r="3865" spans="16:16" x14ac:dyDescent="0.25">
      <c r="P3865" s="4"/>
    </row>
    <row r="3866" spans="16:16" x14ac:dyDescent="0.25">
      <c r="P3866" s="4"/>
    </row>
    <row r="3867" spans="16:16" x14ac:dyDescent="0.25">
      <c r="P3867" s="4"/>
    </row>
    <row r="3868" spans="16:16" x14ac:dyDescent="0.25">
      <c r="P3868" s="4"/>
    </row>
    <row r="3869" spans="16:16" x14ac:dyDescent="0.25">
      <c r="P3869" s="4"/>
    </row>
    <row r="3870" spans="16:16" x14ac:dyDescent="0.25">
      <c r="P3870" s="4"/>
    </row>
    <row r="3871" spans="16:16" x14ac:dyDescent="0.25">
      <c r="P3871" s="4"/>
    </row>
    <row r="3872" spans="16:16" x14ac:dyDescent="0.25">
      <c r="P3872" s="4"/>
    </row>
    <row r="3873" spans="16:16" x14ac:dyDescent="0.25">
      <c r="P3873" s="4"/>
    </row>
    <row r="3874" spans="16:16" x14ac:dyDescent="0.25">
      <c r="P3874" s="4"/>
    </row>
    <row r="3875" spans="16:16" x14ac:dyDescent="0.25">
      <c r="P3875" s="4"/>
    </row>
    <row r="3876" spans="16:16" x14ac:dyDescent="0.25">
      <c r="P3876" s="4"/>
    </row>
    <row r="3877" spans="16:16" x14ac:dyDescent="0.25">
      <c r="P3877" s="4"/>
    </row>
    <row r="3878" spans="16:16" x14ac:dyDescent="0.25">
      <c r="P3878" s="4"/>
    </row>
    <row r="3879" spans="16:16" x14ac:dyDescent="0.25">
      <c r="P3879" s="4"/>
    </row>
    <row r="3880" spans="16:16" x14ac:dyDescent="0.25">
      <c r="P3880" s="4"/>
    </row>
    <row r="3881" spans="16:16" x14ac:dyDescent="0.25">
      <c r="P3881" s="4"/>
    </row>
    <row r="3882" spans="16:16" x14ac:dyDescent="0.25">
      <c r="P3882" s="4"/>
    </row>
    <row r="3883" spans="16:16" x14ac:dyDescent="0.25">
      <c r="P3883" s="4"/>
    </row>
    <row r="3884" spans="16:16" x14ac:dyDescent="0.25">
      <c r="P3884" s="4"/>
    </row>
    <row r="3885" spans="16:16" x14ac:dyDescent="0.25">
      <c r="P3885" s="4"/>
    </row>
    <row r="3886" spans="16:16" x14ac:dyDescent="0.25">
      <c r="P3886" s="4"/>
    </row>
    <row r="3887" spans="16:16" x14ac:dyDescent="0.25">
      <c r="P3887" s="4"/>
    </row>
    <row r="3888" spans="16:16" x14ac:dyDescent="0.25">
      <c r="P3888" s="4"/>
    </row>
    <row r="3889" spans="16:16" x14ac:dyDescent="0.25">
      <c r="P3889" s="4"/>
    </row>
    <row r="3890" spans="16:16" x14ac:dyDescent="0.25">
      <c r="P3890" s="4"/>
    </row>
    <row r="3891" spans="16:16" x14ac:dyDescent="0.25">
      <c r="P3891" s="4"/>
    </row>
    <row r="3892" spans="16:16" x14ac:dyDescent="0.25">
      <c r="P3892" s="4"/>
    </row>
    <row r="3893" spans="16:16" x14ac:dyDescent="0.25">
      <c r="P3893" s="4"/>
    </row>
    <row r="3894" spans="16:16" x14ac:dyDescent="0.25">
      <c r="P3894" s="4"/>
    </row>
    <row r="3895" spans="16:16" x14ac:dyDescent="0.25">
      <c r="P3895" s="4"/>
    </row>
    <row r="3896" spans="16:16" x14ac:dyDescent="0.25">
      <c r="P3896" s="4"/>
    </row>
    <row r="3897" spans="16:16" x14ac:dyDescent="0.25">
      <c r="P3897" s="4"/>
    </row>
    <row r="3898" spans="16:16" x14ac:dyDescent="0.25">
      <c r="P3898" s="4"/>
    </row>
    <row r="3899" spans="16:16" x14ac:dyDescent="0.25">
      <c r="P3899" s="4"/>
    </row>
    <row r="3900" spans="16:16" x14ac:dyDescent="0.25">
      <c r="P3900" s="4"/>
    </row>
    <row r="3901" spans="16:16" x14ac:dyDescent="0.25">
      <c r="P3901" s="4"/>
    </row>
    <row r="3902" spans="16:16" x14ac:dyDescent="0.25">
      <c r="P3902" s="4"/>
    </row>
    <row r="3903" spans="16:16" x14ac:dyDescent="0.25">
      <c r="P3903" s="4"/>
    </row>
    <row r="3904" spans="16:16" x14ac:dyDescent="0.25">
      <c r="P3904" s="4"/>
    </row>
    <row r="3905" spans="16:16" x14ac:dyDescent="0.25">
      <c r="P3905" s="4"/>
    </row>
    <row r="3906" spans="16:16" x14ac:dyDescent="0.25">
      <c r="P3906" s="4"/>
    </row>
    <row r="3907" spans="16:16" x14ac:dyDescent="0.25">
      <c r="P3907" s="4"/>
    </row>
    <row r="3908" spans="16:16" x14ac:dyDescent="0.25">
      <c r="P3908" s="4"/>
    </row>
    <row r="3909" spans="16:16" x14ac:dyDescent="0.25">
      <c r="P3909" s="4"/>
    </row>
    <row r="3910" spans="16:16" x14ac:dyDescent="0.25">
      <c r="P3910" s="4"/>
    </row>
    <row r="3911" spans="16:16" x14ac:dyDescent="0.25">
      <c r="P3911" s="4"/>
    </row>
    <row r="3912" spans="16:16" x14ac:dyDescent="0.25">
      <c r="P3912" s="4"/>
    </row>
    <row r="3913" spans="16:16" x14ac:dyDescent="0.25">
      <c r="P3913" s="4"/>
    </row>
    <row r="3914" spans="16:16" x14ac:dyDescent="0.25">
      <c r="P3914" s="4"/>
    </row>
    <row r="3915" spans="16:16" x14ac:dyDescent="0.25">
      <c r="P3915" s="4"/>
    </row>
    <row r="3916" spans="16:16" x14ac:dyDescent="0.25">
      <c r="P3916" s="4"/>
    </row>
    <row r="3917" spans="16:16" x14ac:dyDescent="0.25">
      <c r="P3917" s="4"/>
    </row>
    <row r="3918" spans="16:16" x14ac:dyDescent="0.25">
      <c r="P3918" s="4"/>
    </row>
    <row r="3919" spans="16:16" x14ac:dyDescent="0.25">
      <c r="P3919" s="4"/>
    </row>
    <row r="3920" spans="16:16" x14ac:dyDescent="0.25">
      <c r="P3920" s="4"/>
    </row>
    <row r="3921" spans="16:16" x14ac:dyDescent="0.25">
      <c r="P3921" s="4"/>
    </row>
    <row r="3922" spans="16:16" x14ac:dyDescent="0.25">
      <c r="P3922" s="4"/>
    </row>
    <row r="3923" spans="16:16" x14ac:dyDescent="0.25">
      <c r="P3923" s="4"/>
    </row>
    <row r="3924" spans="16:16" x14ac:dyDescent="0.25">
      <c r="P3924" s="4"/>
    </row>
    <row r="3925" spans="16:16" x14ac:dyDescent="0.25">
      <c r="P3925" s="4"/>
    </row>
    <row r="3926" spans="16:16" x14ac:dyDescent="0.25">
      <c r="P3926" s="4"/>
    </row>
    <row r="3927" spans="16:16" x14ac:dyDescent="0.25">
      <c r="P3927" s="4"/>
    </row>
    <row r="3928" spans="16:16" x14ac:dyDescent="0.25">
      <c r="P3928" s="4"/>
    </row>
    <row r="3929" spans="16:16" x14ac:dyDescent="0.25">
      <c r="P3929" s="4"/>
    </row>
    <row r="3930" spans="16:16" x14ac:dyDescent="0.25">
      <c r="P3930" s="4"/>
    </row>
    <row r="3931" spans="16:16" x14ac:dyDescent="0.25">
      <c r="P3931" s="4"/>
    </row>
    <row r="3932" spans="16:16" x14ac:dyDescent="0.25">
      <c r="P3932" s="4"/>
    </row>
    <row r="3933" spans="16:16" x14ac:dyDescent="0.25">
      <c r="P3933" s="4"/>
    </row>
    <row r="3934" spans="16:16" x14ac:dyDescent="0.25">
      <c r="P3934" s="4"/>
    </row>
    <row r="3935" spans="16:16" x14ac:dyDescent="0.25">
      <c r="P3935" s="4"/>
    </row>
    <row r="3936" spans="16:16" x14ac:dyDescent="0.25">
      <c r="P3936" s="4"/>
    </row>
    <row r="3937" spans="16:16" x14ac:dyDescent="0.25">
      <c r="P3937" s="4"/>
    </row>
    <row r="3938" spans="16:16" x14ac:dyDescent="0.25">
      <c r="P3938" s="4"/>
    </row>
    <row r="3939" spans="16:16" x14ac:dyDescent="0.25">
      <c r="P3939" s="4"/>
    </row>
    <row r="3940" spans="16:16" x14ac:dyDescent="0.25">
      <c r="P3940" s="4"/>
    </row>
    <row r="3941" spans="16:16" x14ac:dyDescent="0.25">
      <c r="P3941" s="4"/>
    </row>
    <row r="3942" spans="16:16" x14ac:dyDescent="0.25">
      <c r="P3942" s="4"/>
    </row>
    <row r="3943" spans="16:16" x14ac:dyDescent="0.25">
      <c r="P3943" s="4"/>
    </row>
    <row r="3944" spans="16:16" x14ac:dyDescent="0.25">
      <c r="P3944" s="4"/>
    </row>
    <row r="3945" spans="16:16" x14ac:dyDescent="0.25">
      <c r="P3945" s="4"/>
    </row>
    <row r="3946" spans="16:16" x14ac:dyDescent="0.25">
      <c r="P3946" s="4"/>
    </row>
    <row r="3947" spans="16:16" x14ac:dyDescent="0.25">
      <c r="P3947" s="4"/>
    </row>
    <row r="3948" spans="16:16" x14ac:dyDescent="0.25">
      <c r="P3948" s="4"/>
    </row>
    <row r="3949" spans="16:16" x14ac:dyDescent="0.25">
      <c r="P3949" s="4"/>
    </row>
    <row r="3950" spans="16:16" x14ac:dyDescent="0.25">
      <c r="P3950" s="4"/>
    </row>
    <row r="3951" spans="16:16" x14ac:dyDescent="0.25">
      <c r="P3951" s="4"/>
    </row>
    <row r="3952" spans="16:16" x14ac:dyDescent="0.25">
      <c r="P3952" s="4"/>
    </row>
    <row r="3953" spans="16:16" x14ac:dyDescent="0.25">
      <c r="P3953" s="4"/>
    </row>
    <row r="3954" spans="16:16" x14ac:dyDescent="0.25">
      <c r="P3954" s="4"/>
    </row>
    <row r="3955" spans="16:16" x14ac:dyDescent="0.25">
      <c r="P3955" s="4"/>
    </row>
    <row r="3956" spans="16:16" x14ac:dyDescent="0.25">
      <c r="P3956" s="4"/>
    </row>
    <row r="3957" spans="16:16" x14ac:dyDescent="0.25">
      <c r="P3957" s="4"/>
    </row>
    <row r="3958" spans="16:16" x14ac:dyDescent="0.25">
      <c r="P3958" s="4"/>
    </row>
    <row r="3959" spans="16:16" x14ac:dyDescent="0.25">
      <c r="P3959" s="4"/>
    </row>
    <row r="3960" spans="16:16" x14ac:dyDescent="0.25">
      <c r="P3960" s="4"/>
    </row>
    <row r="3961" spans="16:16" x14ac:dyDescent="0.25">
      <c r="P3961" s="4"/>
    </row>
    <row r="3962" spans="16:16" x14ac:dyDescent="0.25">
      <c r="P3962" s="4"/>
    </row>
    <row r="3963" spans="16:16" x14ac:dyDescent="0.25">
      <c r="P3963" s="4"/>
    </row>
    <row r="3964" spans="16:16" x14ac:dyDescent="0.25">
      <c r="P3964" s="4"/>
    </row>
    <row r="3965" spans="16:16" x14ac:dyDescent="0.25">
      <c r="P3965" s="4"/>
    </row>
    <row r="3966" spans="16:16" x14ac:dyDescent="0.25">
      <c r="P3966" s="4"/>
    </row>
    <row r="3967" spans="16:16" x14ac:dyDescent="0.25">
      <c r="P3967" s="4"/>
    </row>
    <row r="3968" spans="16:16" x14ac:dyDescent="0.25">
      <c r="P3968" s="4"/>
    </row>
    <row r="3969" spans="16:16" x14ac:dyDescent="0.25">
      <c r="P3969" s="4"/>
    </row>
    <row r="3970" spans="16:16" x14ac:dyDescent="0.25">
      <c r="P3970" s="4"/>
    </row>
    <row r="3971" spans="16:16" x14ac:dyDescent="0.25">
      <c r="P3971" s="4"/>
    </row>
    <row r="3972" spans="16:16" x14ac:dyDescent="0.25">
      <c r="P3972" s="4"/>
    </row>
    <row r="3973" spans="16:16" x14ac:dyDescent="0.25">
      <c r="P3973" s="4"/>
    </row>
    <row r="3974" spans="16:16" x14ac:dyDescent="0.25">
      <c r="P3974" s="4"/>
    </row>
    <row r="3975" spans="16:16" x14ac:dyDescent="0.25">
      <c r="P3975" s="4"/>
    </row>
    <row r="3976" spans="16:16" x14ac:dyDescent="0.25">
      <c r="P3976" s="4"/>
    </row>
    <row r="3977" spans="16:16" x14ac:dyDescent="0.25">
      <c r="P3977" s="4"/>
    </row>
    <row r="3978" spans="16:16" x14ac:dyDescent="0.25">
      <c r="P3978" s="4"/>
    </row>
    <row r="3979" spans="16:16" x14ac:dyDescent="0.25">
      <c r="P3979" s="4"/>
    </row>
    <row r="3980" spans="16:16" x14ac:dyDescent="0.25">
      <c r="P3980" s="4"/>
    </row>
    <row r="3981" spans="16:16" x14ac:dyDescent="0.25">
      <c r="P3981" s="4"/>
    </row>
    <row r="3982" spans="16:16" x14ac:dyDescent="0.25">
      <c r="P3982" s="4"/>
    </row>
    <row r="3983" spans="16:16" x14ac:dyDescent="0.25">
      <c r="P3983" s="4"/>
    </row>
    <row r="3984" spans="16:16" x14ac:dyDescent="0.25">
      <c r="P3984" s="4"/>
    </row>
    <row r="3985" spans="16:16" x14ac:dyDescent="0.25">
      <c r="P3985" s="4"/>
    </row>
    <row r="3986" spans="16:16" x14ac:dyDescent="0.25">
      <c r="P3986" s="4"/>
    </row>
    <row r="3987" spans="16:16" x14ac:dyDescent="0.25">
      <c r="P3987" s="4"/>
    </row>
    <row r="3988" spans="16:16" x14ac:dyDescent="0.25">
      <c r="P3988" s="4"/>
    </row>
    <row r="3989" spans="16:16" x14ac:dyDescent="0.25">
      <c r="P3989" s="4"/>
    </row>
    <row r="3990" spans="16:16" x14ac:dyDescent="0.25">
      <c r="P3990" s="4"/>
    </row>
    <row r="3991" spans="16:16" x14ac:dyDescent="0.25">
      <c r="P3991" s="4"/>
    </row>
    <row r="3992" spans="16:16" x14ac:dyDescent="0.25">
      <c r="P3992" s="4"/>
    </row>
    <row r="3993" spans="16:16" x14ac:dyDescent="0.25">
      <c r="P3993" s="4"/>
    </row>
    <row r="3994" spans="16:16" x14ac:dyDescent="0.25">
      <c r="P3994" s="4"/>
    </row>
    <row r="3995" spans="16:16" x14ac:dyDescent="0.25">
      <c r="P3995" s="4"/>
    </row>
    <row r="3996" spans="16:16" x14ac:dyDescent="0.25">
      <c r="P3996" s="4"/>
    </row>
    <row r="3997" spans="16:16" x14ac:dyDescent="0.25">
      <c r="P3997" s="4"/>
    </row>
    <row r="3998" spans="16:16" x14ac:dyDescent="0.25">
      <c r="P3998" s="4"/>
    </row>
    <row r="3999" spans="16:16" x14ac:dyDescent="0.25">
      <c r="P3999" s="4"/>
    </row>
    <row r="4000" spans="16:16" x14ac:dyDescent="0.25">
      <c r="P4000" s="4"/>
    </row>
    <row r="4001" spans="16:16" x14ac:dyDescent="0.25">
      <c r="P4001" s="4"/>
    </row>
    <row r="4002" spans="16:16" x14ac:dyDescent="0.25">
      <c r="P4002" s="4"/>
    </row>
    <row r="4003" spans="16:16" x14ac:dyDescent="0.25">
      <c r="P4003" s="4"/>
    </row>
    <row r="4004" spans="16:16" x14ac:dyDescent="0.25">
      <c r="P4004" s="4"/>
    </row>
    <row r="4005" spans="16:16" x14ac:dyDescent="0.25">
      <c r="P4005" s="4"/>
    </row>
    <row r="4006" spans="16:16" x14ac:dyDescent="0.25">
      <c r="P4006" s="4"/>
    </row>
    <row r="4007" spans="16:16" x14ac:dyDescent="0.25">
      <c r="P4007" s="4"/>
    </row>
    <row r="4008" spans="16:16" x14ac:dyDescent="0.25">
      <c r="P4008" s="4"/>
    </row>
    <row r="4009" spans="16:16" x14ac:dyDescent="0.25">
      <c r="P4009" s="4"/>
    </row>
    <row r="4010" spans="16:16" x14ac:dyDescent="0.25">
      <c r="P4010" s="4"/>
    </row>
    <row r="4011" spans="16:16" x14ac:dyDescent="0.25">
      <c r="P4011" s="4"/>
    </row>
    <row r="4012" spans="16:16" x14ac:dyDescent="0.25">
      <c r="P4012" s="4"/>
    </row>
    <row r="4013" spans="16:16" x14ac:dyDescent="0.25">
      <c r="P4013" s="4"/>
    </row>
    <row r="4014" spans="16:16" x14ac:dyDescent="0.25">
      <c r="P4014" s="4"/>
    </row>
    <row r="4015" spans="16:16" x14ac:dyDescent="0.25">
      <c r="P4015" s="4"/>
    </row>
    <row r="4016" spans="16:16" x14ac:dyDescent="0.25">
      <c r="P4016" s="4"/>
    </row>
    <row r="4017" spans="16:16" x14ac:dyDescent="0.25">
      <c r="P4017" s="4"/>
    </row>
    <row r="4018" spans="16:16" x14ac:dyDescent="0.25">
      <c r="P4018" s="4"/>
    </row>
    <row r="4019" spans="16:16" x14ac:dyDescent="0.25">
      <c r="P4019" s="4"/>
    </row>
    <row r="4020" spans="16:16" x14ac:dyDescent="0.25">
      <c r="P4020" s="4"/>
    </row>
    <row r="4021" spans="16:16" x14ac:dyDescent="0.25">
      <c r="P4021" s="4"/>
    </row>
    <row r="4022" spans="16:16" x14ac:dyDescent="0.25">
      <c r="P4022" s="4"/>
    </row>
    <row r="4023" spans="16:16" x14ac:dyDescent="0.25">
      <c r="P4023" s="4"/>
    </row>
    <row r="4024" spans="16:16" x14ac:dyDescent="0.25">
      <c r="P4024" s="4"/>
    </row>
    <row r="4025" spans="16:16" x14ac:dyDescent="0.25">
      <c r="P4025" s="4"/>
    </row>
    <row r="4026" spans="16:16" x14ac:dyDescent="0.25">
      <c r="P4026" s="4"/>
    </row>
    <row r="4027" spans="16:16" x14ac:dyDescent="0.25">
      <c r="P4027" s="4"/>
    </row>
    <row r="4028" spans="16:16" x14ac:dyDescent="0.25">
      <c r="P4028" s="4"/>
    </row>
    <row r="4029" spans="16:16" x14ac:dyDescent="0.25">
      <c r="P4029" s="4"/>
    </row>
    <row r="4030" spans="16:16" x14ac:dyDescent="0.25">
      <c r="P4030" s="4"/>
    </row>
    <row r="4031" spans="16:16" x14ac:dyDescent="0.25">
      <c r="P4031" s="4"/>
    </row>
    <row r="4032" spans="16:16" x14ac:dyDescent="0.25">
      <c r="P4032" s="4"/>
    </row>
    <row r="4033" spans="16:16" x14ac:dyDescent="0.25">
      <c r="P4033" s="4"/>
    </row>
    <row r="4034" spans="16:16" x14ac:dyDescent="0.25">
      <c r="P4034" s="4"/>
    </row>
    <row r="4035" spans="16:16" x14ac:dyDescent="0.25">
      <c r="P4035" s="4"/>
    </row>
    <row r="4036" spans="16:16" x14ac:dyDescent="0.25">
      <c r="P4036" s="4"/>
    </row>
    <row r="4037" spans="16:16" x14ac:dyDescent="0.25">
      <c r="P4037" s="4"/>
    </row>
    <row r="4038" spans="16:16" x14ac:dyDescent="0.25">
      <c r="P4038" s="4"/>
    </row>
    <row r="4039" spans="16:16" x14ac:dyDescent="0.25">
      <c r="P4039" s="4"/>
    </row>
    <row r="4040" spans="16:16" x14ac:dyDescent="0.25">
      <c r="P4040" s="4"/>
    </row>
    <row r="4041" spans="16:16" x14ac:dyDescent="0.25">
      <c r="P4041" s="4"/>
    </row>
    <row r="4042" spans="16:16" x14ac:dyDescent="0.25">
      <c r="P4042" s="4"/>
    </row>
    <row r="4043" spans="16:16" x14ac:dyDescent="0.25">
      <c r="P4043" s="4"/>
    </row>
    <row r="4044" spans="16:16" x14ac:dyDescent="0.25">
      <c r="P4044" s="4"/>
    </row>
    <row r="4045" spans="16:16" x14ac:dyDescent="0.25">
      <c r="P4045" s="4"/>
    </row>
    <row r="4046" spans="16:16" x14ac:dyDescent="0.25">
      <c r="P4046" s="4"/>
    </row>
    <row r="4047" spans="16:16" x14ac:dyDescent="0.25">
      <c r="P4047" s="4"/>
    </row>
    <row r="4048" spans="16:16" x14ac:dyDescent="0.25">
      <c r="P4048" s="4"/>
    </row>
    <row r="4049" spans="16:16" x14ac:dyDescent="0.25">
      <c r="P4049" s="4"/>
    </row>
    <row r="4050" spans="16:16" x14ac:dyDescent="0.25">
      <c r="P4050" s="4"/>
    </row>
    <row r="4051" spans="16:16" x14ac:dyDescent="0.25">
      <c r="P4051" s="4"/>
    </row>
    <row r="4052" spans="16:16" x14ac:dyDescent="0.25">
      <c r="P4052" s="4"/>
    </row>
    <row r="4053" spans="16:16" x14ac:dyDescent="0.25">
      <c r="P4053" s="4"/>
    </row>
    <row r="4054" spans="16:16" x14ac:dyDescent="0.25">
      <c r="P4054" s="4"/>
    </row>
    <row r="4055" spans="16:16" x14ac:dyDescent="0.25">
      <c r="P4055" s="4"/>
    </row>
    <row r="4056" spans="16:16" x14ac:dyDescent="0.25">
      <c r="P4056" s="4"/>
    </row>
    <row r="4057" spans="16:16" x14ac:dyDescent="0.25">
      <c r="P4057" s="4"/>
    </row>
    <row r="4058" spans="16:16" x14ac:dyDescent="0.25">
      <c r="P4058" s="4"/>
    </row>
    <row r="4059" spans="16:16" x14ac:dyDescent="0.25">
      <c r="P4059" s="4"/>
    </row>
    <row r="4060" spans="16:16" x14ac:dyDescent="0.25">
      <c r="P4060" s="4"/>
    </row>
    <row r="4061" spans="16:16" x14ac:dyDescent="0.25">
      <c r="P4061" s="4"/>
    </row>
    <row r="4062" spans="16:16" x14ac:dyDescent="0.25">
      <c r="P4062" s="4"/>
    </row>
    <row r="4063" spans="16:16" x14ac:dyDescent="0.25">
      <c r="P4063" s="4"/>
    </row>
    <row r="4064" spans="16:16" x14ac:dyDescent="0.25">
      <c r="P4064" s="4"/>
    </row>
    <row r="4065" spans="16:16" x14ac:dyDescent="0.25">
      <c r="P4065" s="4"/>
    </row>
    <row r="4066" spans="16:16" x14ac:dyDescent="0.25">
      <c r="P4066" s="4"/>
    </row>
    <row r="4067" spans="16:16" x14ac:dyDescent="0.25">
      <c r="P4067" s="4"/>
    </row>
    <row r="4068" spans="16:16" x14ac:dyDescent="0.25">
      <c r="P4068" s="4"/>
    </row>
    <row r="4069" spans="16:16" x14ac:dyDescent="0.25">
      <c r="P4069" s="4"/>
    </row>
    <row r="4070" spans="16:16" x14ac:dyDescent="0.25">
      <c r="P4070" s="4"/>
    </row>
    <row r="4071" spans="16:16" x14ac:dyDescent="0.25">
      <c r="P4071" s="4"/>
    </row>
    <row r="4072" spans="16:16" x14ac:dyDescent="0.25">
      <c r="P4072" s="4"/>
    </row>
    <row r="4073" spans="16:16" x14ac:dyDescent="0.25">
      <c r="P4073" s="4"/>
    </row>
    <row r="4074" spans="16:16" x14ac:dyDescent="0.25">
      <c r="P4074" s="4"/>
    </row>
    <row r="4075" spans="16:16" x14ac:dyDescent="0.25">
      <c r="P4075" s="4"/>
    </row>
    <row r="4076" spans="16:16" x14ac:dyDescent="0.25">
      <c r="P4076" s="4"/>
    </row>
    <row r="4077" spans="16:16" x14ac:dyDescent="0.25">
      <c r="P4077" s="4"/>
    </row>
    <row r="4078" spans="16:16" x14ac:dyDescent="0.25">
      <c r="P4078" s="4"/>
    </row>
    <row r="4079" spans="16:16" x14ac:dyDescent="0.25">
      <c r="P4079" s="4"/>
    </row>
    <row r="4080" spans="16:16" x14ac:dyDescent="0.25">
      <c r="P4080" s="4"/>
    </row>
    <row r="4081" spans="16:16" x14ac:dyDescent="0.25">
      <c r="P4081" s="4"/>
    </row>
    <row r="4082" spans="16:16" x14ac:dyDescent="0.25">
      <c r="P4082" s="4"/>
    </row>
    <row r="4083" spans="16:16" x14ac:dyDescent="0.25">
      <c r="P4083" s="4"/>
    </row>
    <row r="4084" spans="16:16" x14ac:dyDescent="0.25">
      <c r="P4084" s="4"/>
    </row>
    <row r="4085" spans="16:16" x14ac:dyDescent="0.25">
      <c r="P4085" s="4"/>
    </row>
    <row r="4086" spans="16:16" x14ac:dyDescent="0.25">
      <c r="P4086" s="4"/>
    </row>
    <row r="4087" spans="16:16" x14ac:dyDescent="0.25">
      <c r="P4087" s="4"/>
    </row>
    <row r="4088" spans="16:16" x14ac:dyDescent="0.25">
      <c r="P4088" s="4"/>
    </row>
    <row r="4089" spans="16:16" x14ac:dyDescent="0.25">
      <c r="P4089" s="4"/>
    </row>
    <row r="4090" spans="16:16" x14ac:dyDescent="0.25">
      <c r="P4090" s="4"/>
    </row>
    <row r="4091" spans="16:16" x14ac:dyDescent="0.25">
      <c r="P4091" s="4"/>
    </row>
    <row r="4092" spans="16:16" x14ac:dyDescent="0.25">
      <c r="P4092" s="4"/>
    </row>
    <row r="4093" spans="16:16" x14ac:dyDescent="0.25">
      <c r="P4093" s="4"/>
    </row>
    <row r="4094" spans="16:16" x14ac:dyDescent="0.25">
      <c r="P4094" s="4"/>
    </row>
    <row r="4095" spans="16:16" x14ac:dyDescent="0.25">
      <c r="P4095" s="4"/>
    </row>
    <row r="4096" spans="16:16" x14ac:dyDescent="0.25">
      <c r="P4096" s="4"/>
    </row>
    <row r="4097" spans="16:16" x14ac:dyDescent="0.25">
      <c r="P4097" s="4"/>
    </row>
    <row r="4098" spans="16:16" x14ac:dyDescent="0.25">
      <c r="P4098" s="4"/>
    </row>
    <row r="4099" spans="16:16" x14ac:dyDescent="0.25">
      <c r="P4099" s="4"/>
    </row>
    <row r="4100" spans="16:16" x14ac:dyDescent="0.25">
      <c r="P4100" s="4"/>
    </row>
    <row r="4101" spans="16:16" x14ac:dyDescent="0.25">
      <c r="P4101" s="4"/>
    </row>
    <row r="4102" spans="16:16" x14ac:dyDescent="0.25">
      <c r="P4102" s="4"/>
    </row>
    <row r="4103" spans="16:16" x14ac:dyDescent="0.25">
      <c r="P4103" s="4"/>
    </row>
    <row r="4104" spans="16:16" x14ac:dyDescent="0.25">
      <c r="P4104" s="4"/>
    </row>
    <row r="4105" spans="16:16" x14ac:dyDescent="0.25">
      <c r="P4105" s="4"/>
    </row>
    <row r="4106" spans="16:16" x14ac:dyDescent="0.25">
      <c r="P4106" s="4"/>
    </row>
    <row r="4107" spans="16:16" x14ac:dyDescent="0.25">
      <c r="P4107" s="4"/>
    </row>
    <row r="4108" spans="16:16" x14ac:dyDescent="0.25">
      <c r="P4108" s="4"/>
    </row>
    <row r="4109" spans="16:16" x14ac:dyDescent="0.25">
      <c r="P4109" s="4"/>
    </row>
    <row r="4110" spans="16:16" x14ac:dyDescent="0.25">
      <c r="P4110" s="4"/>
    </row>
    <row r="4111" spans="16:16" x14ac:dyDescent="0.25">
      <c r="P4111" s="4"/>
    </row>
    <row r="4112" spans="16:16" x14ac:dyDescent="0.25">
      <c r="P4112" s="4"/>
    </row>
    <row r="4113" spans="16:16" x14ac:dyDescent="0.25">
      <c r="P4113" s="4"/>
    </row>
    <row r="4114" spans="16:16" x14ac:dyDescent="0.25">
      <c r="P4114" s="4"/>
    </row>
    <row r="4115" spans="16:16" x14ac:dyDescent="0.25">
      <c r="P4115" s="4"/>
    </row>
    <row r="4116" spans="16:16" x14ac:dyDescent="0.25">
      <c r="P4116" s="4"/>
    </row>
    <row r="4117" spans="16:16" x14ac:dyDescent="0.25">
      <c r="P4117" s="4"/>
    </row>
    <row r="4118" spans="16:16" x14ac:dyDescent="0.25">
      <c r="P4118" s="4"/>
    </row>
    <row r="4119" spans="16:16" x14ac:dyDescent="0.25">
      <c r="P4119" s="4"/>
    </row>
    <row r="4120" spans="16:16" x14ac:dyDescent="0.25">
      <c r="P4120" s="4"/>
    </row>
    <row r="4121" spans="16:16" x14ac:dyDescent="0.25">
      <c r="P4121" s="4"/>
    </row>
    <row r="4122" spans="16:16" x14ac:dyDescent="0.25">
      <c r="P4122" s="4"/>
    </row>
    <row r="4123" spans="16:16" x14ac:dyDescent="0.25">
      <c r="P4123" s="4"/>
    </row>
    <row r="4124" spans="16:16" x14ac:dyDescent="0.25">
      <c r="P4124" s="4"/>
    </row>
    <row r="4125" spans="16:16" x14ac:dyDescent="0.25">
      <c r="P4125" s="4"/>
    </row>
    <row r="4126" spans="16:16" x14ac:dyDescent="0.25">
      <c r="P4126" s="4"/>
    </row>
    <row r="4127" spans="16:16" x14ac:dyDescent="0.25">
      <c r="P4127" s="4"/>
    </row>
    <row r="4128" spans="16:16" x14ac:dyDescent="0.25">
      <c r="P4128" s="4"/>
    </row>
    <row r="4129" spans="16:16" x14ac:dyDescent="0.25">
      <c r="P4129" s="4"/>
    </row>
    <row r="4130" spans="16:16" x14ac:dyDescent="0.25">
      <c r="P4130" s="4"/>
    </row>
    <row r="4131" spans="16:16" x14ac:dyDescent="0.25">
      <c r="P4131" s="4"/>
    </row>
    <row r="4132" spans="16:16" x14ac:dyDescent="0.25">
      <c r="P4132" s="4"/>
    </row>
    <row r="4133" spans="16:16" x14ac:dyDescent="0.25">
      <c r="P4133" s="4"/>
    </row>
    <row r="4134" spans="16:16" x14ac:dyDescent="0.25">
      <c r="P4134" s="4"/>
    </row>
    <row r="4135" spans="16:16" x14ac:dyDescent="0.25">
      <c r="P4135" s="4"/>
    </row>
    <row r="4136" spans="16:16" x14ac:dyDescent="0.25">
      <c r="P4136" s="4"/>
    </row>
    <row r="4137" spans="16:16" x14ac:dyDescent="0.25">
      <c r="P4137" s="4"/>
    </row>
    <row r="4138" spans="16:16" x14ac:dyDescent="0.25">
      <c r="P4138" s="4"/>
    </row>
    <row r="4139" spans="16:16" x14ac:dyDescent="0.25">
      <c r="P4139" s="4"/>
    </row>
    <row r="4140" spans="16:16" x14ac:dyDescent="0.25">
      <c r="P4140" s="4"/>
    </row>
    <row r="4141" spans="16:16" x14ac:dyDescent="0.25">
      <c r="P4141" s="4"/>
    </row>
    <row r="4142" spans="16:16" x14ac:dyDescent="0.25">
      <c r="P4142" s="4"/>
    </row>
    <row r="4143" spans="16:16" x14ac:dyDescent="0.25">
      <c r="P4143" s="4"/>
    </row>
    <row r="4144" spans="16:16" x14ac:dyDescent="0.25">
      <c r="P4144" s="4"/>
    </row>
    <row r="4145" spans="16:16" x14ac:dyDescent="0.25">
      <c r="P4145" s="4"/>
    </row>
    <row r="4146" spans="16:16" x14ac:dyDescent="0.25">
      <c r="P4146" s="4"/>
    </row>
    <row r="4147" spans="16:16" x14ac:dyDescent="0.25">
      <c r="P4147" s="4"/>
    </row>
    <row r="4148" spans="16:16" x14ac:dyDescent="0.25">
      <c r="P4148" s="4"/>
    </row>
    <row r="4149" spans="16:16" x14ac:dyDescent="0.25">
      <c r="P4149" s="4"/>
    </row>
    <row r="4150" spans="16:16" x14ac:dyDescent="0.25">
      <c r="P4150" s="4"/>
    </row>
    <row r="4151" spans="16:16" x14ac:dyDescent="0.25">
      <c r="P4151" s="4"/>
    </row>
    <row r="4152" spans="16:16" x14ac:dyDescent="0.25">
      <c r="P4152" s="4"/>
    </row>
    <row r="4153" spans="16:16" x14ac:dyDescent="0.25">
      <c r="P4153" s="4"/>
    </row>
    <row r="4154" spans="16:16" x14ac:dyDescent="0.25">
      <c r="P4154" s="4"/>
    </row>
    <row r="4155" spans="16:16" x14ac:dyDescent="0.25">
      <c r="P4155" s="4"/>
    </row>
    <row r="4156" spans="16:16" x14ac:dyDescent="0.25">
      <c r="P4156" s="4"/>
    </row>
    <row r="4157" spans="16:16" x14ac:dyDescent="0.25">
      <c r="P4157" s="4"/>
    </row>
    <row r="4158" spans="16:16" x14ac:dyDescent="0.25">
      <c r="P4158" s="4"/>
    </row>
    <row r="4159" spans="16:16" x14ac:dyDescent="0.25">
      <c r="P4159" s="4"/>
    </row>
    <row r="4160" spans="16:16" x14ac:dyDescent="0.25">
      <c r="P4160" s="4"/>
    </row>
    <row r="4161" spans="16:16" x14ac:dyDescent="0.25">
      <c r="P4161" s="4"/>
    </row>
    <row r="4162" spans="16:16" x14ac:dyDescent="0.25">
      <c r="P4162" s="4"/>
    </row>
    <row r="4163" spans="16:16" x14ac:dyDescent="0.25">
      <c r="P4163" s="4"/>
    </row>
    <row r="4164" spans="16:16" x14ac:dyDescent="0.25">
      <c r="P4164" s="4"/>
    </row>
    <row r="4165" spans="16:16" x14ac:dyDescent="0.25">
      <c r="P4165" s="4"/>
    </row>
    <row r="4166" spans="16:16" x14ac:dyDescent="0.25">
      <c r="P4166" s="4"/>
    </row>
    <row r="4167" spans="16:16" x14ac:dyDescent="0.25">
      <c r="P4167" s="4"/>
    </row>
    <row r="4168" spans="16:16" x14ac:dyDescent="0.25">
      <c r="P4168" s="4"/>
    </row>
    <row r="4169" spans="16:16" x14ac:dyDescent="0.25">
      <c r="P4169" s="4"/>
    </row>
    <row r="4170" spans="16:16" x14ac:dyDescent="0.25">
      <c r="P4170" s="4"/>
    </row>
    <row r="4171" spans="16:16" x14ac:dyDescent="0.25">
      <c r="P4171" s="4"/>
    </row>
    <row r="4172" spans="16:16" x14ac:dyDescent="0.25">
      <c r="P4172" s="4"/>
    </row>
    <row r="4173" spans="16:16" x14ac:dyDescent="0.25">
      <c r="P4173" s="4"/>
    </row>
    <row r="4174" spans="16:16" x14ac:dyDescent="0.25">
      <c r="P4174" s="4"/>
    </row>
    <row r="4175" spans="16:16" x14ac:dyDescent="0.25">
      <c r="P4175" s="4"/>
    </row>
    <row r="4176" spans="16:16" x14ac:dyDescent="0.25">
      <c r="P4176" s="4"/>
    </row>
    <row r="4177" spans="16:16" x14ac:dyDescent="0.25">
      <c r="P4177" s="4"/>
    </row>
    <row r="4178" spans="16:16" x14ac:dyDescent="0.25">
      <c r="P4178" s="4"/>
    </row>
    <row r="4179" spans="16:16" x14ac:dyDescent="0.25">
      <c r="P4179" s="4"/>
    </row>
    <row r="4180" spans="16:16" x14ac:dyDescent="0.25">
      <c r="P4180" s="4"/>
    </row>
    <row r="4181" spans="16:16" x14ac:dyDescent="0.25">
      <c r="P4181" s="4"/>
    </row>
    <row r="4182" spans="16:16" x14ac:dyDescent="0.25">
      <c r="P4182" s="4"/>
    </row>
    <row r="4183" spans="16:16" x14ac:dyDescent="0.25">
      <c r="P4183" s="4"/>
    </row>
    <row r="4184" spans="16:16" x14ac:dyDescent="0.25">
      <c r="P4184" s="4"/>
    </row>
    <row r="4185" spans="16:16" x14ac:dyDescent="0.25">
      <c r="P4185" s="4"/>
    </row>
    <row r="4186" spans="16:16" x14ac:dyDescent="0.25">
      <c r="P4186" s="4"/>
    </row>
    <row r="4187" spans="16:16" x14ac:dyDescent="0.25">
      <c r="P4187" s="4"/>
    </row>
    <row r="4188" spans="16:16" x14ac:dyDescent="0.25">
      <c r="P4188" s="4"/>
    </row>
    <row r="4189" spans="16:16" x14ac:dyDescent="0.25">
      <c r="P4189" s="4"/>
    </row>
    <row r="4190" spans="16:16" x14ac:dyDescent="0.25">
      <c r="P4190" s="4"/>
    </row>
    <row r="4191" spans="16:16" x14ac:dyDescent="0.25">
      <c r="P4191" s="4"/>
    </row>
    <row r="4192" spans="16:16" x14ac:dyDescent="0.25">
      <c r="P4192" s="4"/>
    </row>
    <row r="4193" spans="16:16" x14ac:dyDescent="0.25">
      <c r="P4193" s="4"/>
    </row>
    <row r="4194" spans="16:16" x14ac:dyDescent="0.25">
      <c r="P4194" s="4"/>
    </row>
    <row r="4195" spans="16:16" x14ac:dyDescent="0.25">
      <c r="P4195" s="4"/>
    </row>
    <row r="4196" spans="16:16" x14ac:dyDescent="0.25">
      <c r="P4196" s="4"/>
    </row>
    <row r="4197" spans="16:16" x14ac:dyDescent="0.25">
      <c r="P4197" s="4"/>
    </row>
    <row r="4198" spans="16:16" x14ac:dyDescent="0.25">
      <c r="P4198" s="4"/>
    </row>
    <row r="4199" spans="16:16" x14ac:dyDescent="0.25">
      <c r="P4199" s="4"/>
    </row>
    <row r="4200" spans="16:16" x14ac:dyDescent="0.25">
      <c r="P4200" s="4"/>
    </row>
    <row r="4201" spans="16:16" x14ac:dyDescent="0.25">
      <c r="P4201" s="4"/>
    </row>
    <row r="4202" spans="16:16" x14ac:dyDescent="0.25">
      <c r="P4202" s="4"/>
    </row>
    <row r="4203" spans="16:16" x14ac:dyDescent="0.25">
      <c r="P4203" s="4"/>
    </row>
    <row r="4204" spans="16:16" x14ac:dyDescent="0.25">
      <c r="P4204" s="4"/>
    </row>
    <row r="4205" spans="16:16" x14ac:dyDescent="0.25">
      <c r="P4205" s="4"/>
    </row>
    <row r="4206" spans="16:16" x14ac:dyDescent="0.25">
      <c r="P4206" s="4"/>
    </row>
    <row r="4207" spans="16:16" x14ac:dyDescent="0.25">
      <c r="P4207" s="4"/>
    </row>
    <row r="4208" spans="16:16" x14ac:dyDescent="0.25">
      <c r="P4208" s="4"/>
    </row>
    <row r="4209" spans="16:16" x14ac:dyDescent="0.25">
      <c r="P4209" s="4"/>
    </row>
    <row r="4210" spans="16:16" x14ac:dyDescent="0.25">
      <c r="P4210" s="4"/>
    </row>
    <row r="4211" spans="16:16" x14ac:dyDescent="0.25">
      <c r="P4211" s="4"/>
    </row>
    <row r="4212" spans="16:16" x14ac:dyDescent="0.25">
      <c r="P4212" s="4"/>
    </row>
    <row r="4213" spans="16:16" x14ac:dyDescent="0.25">
      <c r="P4213" s="4"/>
    </row>
    <row r="4214" spans="16:16" x14ac:dyDescent="0.25">
      <c r="P4214" s="4"/>
    </row>
    <row r="4215" spans="16:16" x14ac:dyDescent="0.25">
      <c r="P4215" s="4"/>
    </row>
    <row r="4216" spans="16:16" x14ac:dyDescent="0.25">
      <c r="P4216" s="4"/>
    </row>
    <row r="4217" spans="16:16" x14ac:dyDescent="0.25">
      <c r="P4217" s="4"/>
    </row>
    <row r="4218" spans="16:16" x14ac:dyDescent="0.25">
      <c r="P4218" s="4"/>
    </row>
    <row r="4219" spans="16:16" x14ac:dyDescent="0.25">
      <c r="P4219" s="4"/>
    </row>
    <row r="4220" spans="16:16" x14ac:dyDescent="0.25">
      <c r="P4220" s="4"/>
    </row>
    <row r="4221" spans="16:16" x14ac:dyDescent="0.25">
      <c r="P4221" s="4"/>
    </row>
    <row r="4222" spans="16:16" x14ac:dyDescent="0.25">
      <c r="P4222" s="4"/>
    </row>
    <row r="4223" spans="16:16" x14ac:dyDescent="0.25">
      <c r="P4223" s="4"/>
    </row>
    <row r="4224" spans="16:16" x14ac:dyDescent="0.25">
      <c r="P4224" s="4"/>
    </row>
    <row r="4225" spans="16:16" x14ac:dyDescent="0.25">
      <c r="P4225" s="4"/>
    </row>
    <row r="4226" spans="16:16" x14ac:dyDescent="0.25">
      <c r="P4226" s="4"/>
    </row>
    <row r="4227" spans="16:16" x14ac:dyDescent="0.25">
      <c r="P4227" s="4"/>
    </row>
    <row r="4228" spans="16:16" x14ac:dyDescent="0.25">
      <c r="P4228" s="4"/>
    </row>
    <row r="4229" spans="16:16" x14ac:dyDescent="0.25">
      <c r="P4229" s="4"/>
    </row>
    <row r="4230" spans="16:16" x14ac:dyDescent="0.25">
      <c r="P4230" s="4"/>
    </row>
    <row r="4231" spans="16:16" x14ac:dyDescent="0.25">
      <c r="P4231" s="4"/>
    </row>
    <row r="4232" spans="16:16" x14ac:dyDescent="0.25">
      <c r="P4232" s="4"/>
    </row>
    <row r="4233" spans="16:16" x14ac:dyDescent="0.25">
      <c r="P4233" s="4"/>
    </row>
    <row r="4234" spans="16:16" x14ac:dyDescent="0.25">
      <c r="P4234" s="4"/>
    </row>
    <row r="4235" spans="16:16" x14ac:dyDescent="0.25">
      <c r="P4235" s="4"/>
    </row>
    <row r="4236" spans="16:16" x14ac:dyDescent="0.25">
      <c r="P4236" s="4"/>
    </row>
    <row r="4237" spans="16:16" x14ac:dyDescent="0.25">
      <c r="P4237" s="4"/>
    </row>
    <row r="4238" spans="16:16" x14ac:dyDescent="0.25">
      <c r="P4238" s="4"/>
    </row>
    <row r="4239" spans="16:16" x14ac:dyDescent="0.25">
      <c r="P4239" s="4"/>
    </row>
    <row r="4240" spans="16:16" x14ac:dyDescent="0.25">
      <c r="P4240" s="4"/>
    </row>
    <row r="4241" spans="16:16" x14ac:dyDescent="0.25">
      <c r="P4241" s="4"/>
    </row>
    <row r="4242" spans="16:16" x14ac:dyDescent="0.25">
      <c r="P4242" s="4"/>
    </row>
    <row r="4243" spans="16:16" x14ac:dyDescent="0.25">
      <c r="P4243" s="4"/>
    </row>
    <row r="4244" spans="16:16" x14ac:dyDescent="0.25">
      <c r="P4244" s="4"/>
    </row>
    <row r="4245" spans="16:16" x14ac:dyDescent="0.25">
      <c r="P4245" s="4"/>
    </row>
    <row r="4246" spans="16:16" x14ac:dyDescent="0.25">
      <c r="P4246" s="4"/>
    </row>
    <row r="4247" spans="16:16" x14ac:dyDescent="0.25">
      <c r="P4247" s="4"/>
    </row>
    <row r="4248" spans="16:16" x14ac:dyDescent="0.25">
      <c r="P4248" s="4"/>
    </row>
    <row r="4249" spans="16:16" x14ac:dyDescent="0.25">
      <c r="P4249" s="4"/>
    </row>
    <row r="4250" spans="16:16" x14ac:dyDescent="0.25">
      <c r="P4250" s="4"/>
    </row>
    <row r="4251" spans="16:16" x14ac:dyDescent="0.25">
      <c r="P4251" s="4"/>
    </row>
    <row r="4252" spans="16:16" x14ac:dyDescent="0.25">
      <c r="P4252" s="4"/>
    </row>
    <row r="4253" spans="16:16" x14ac:dyDescent="0.25">
      <c r="P4253" s="4"/>
    </row>
    <row r="4254" spans="16:16" x14ac:dyDescent="0.25">
      <c r="P4254" s="4"/>
    </row>
    <row r="4255" spans="16:16" x14ac:dyDescent="0.25">
      <c r="P4255" s="4"/>
    </row>
    <row r="4256" spans="16:16" x14ac:dyDescent="0.25">
      <c r="P4256" s="4"/>
    </row>
    <row r="4257" spans="16:16" x14ac:dyDescent="0.25">
      <c r="P4257" s="4"/>
    </row>
    <row r="4258" spans="16:16" x14ac:dyDescent="0.25">
      <c r="P4258" s="4"/>
    </row>
    <row r="4259" spans="16:16" x14ac:dyDescent="0.25">
      <c r="P4259" s="4"/>
    </row>
    <row r="4260" spans="16:16" x14ac:dyDescent="0.25">
      <c r="P4260" s="4"/>
    </row>
    <row r="4261" spans="16:16" x14ac:dyDescent="0.25">
      <c r="P4261" s="4"/>
    </row>
    <row r="4262" spans="16:16" x14ac:dyDescent="0.25">
      <c r="P4262" s="4"/>
    </row>
    <row r="4263" spans="16:16" x14ac:dyDescent="0.25">
      <c r="P4263" s="4"/>
    </row>
    <row r="4264" spans="16:16" x14ac:dyDescent="0.25">
      <c r="P4264" s="4"/>
    </row>
    <row r="4265" spans="16:16" x14ac:dyDescent="0.25">
      <c r="P4265" s="4"/>
    </row>
    <row r="4266" spans="16:16" x14ac:dyDescent="0.25">
      <c r="P4266" s="4"/>
    </row>
    <row r="4267" spans="16:16" x14ac:dyDescent="0.25">
      <c r="P4267" s="4"/>
    </row>
    <row r="4268" spans="16:16" x14ac:dyDescent="0.25">
      <c r="P4268" s="4"/>
    </row>
    <row r="4269" spans="16:16" x14ac:dyDescent="0.25">
      <c r="P4269" s="4"/>
    </row>
    <row r="4270" spans="16:16" x14ac:dyDescent="0.25">
      <c r="P4270" s="4"/>
    </row>
    <row r="4271" spans="16:16" x14ac:dyDescent="0.25">
      <c r="P4271" s="4"/>
    </row>
    <row r="4272" spans="16:16" x14ac:dyDescent="0.25">
      <c r="P4272" s="4"/>
    </row>
    <row r="4273" spans="16:16" x14ac:dyDescent="0.25">
      <c r="P4273" s="4"/>
    </row>
    <row r="4274" spans="16:16" x14ac:dyDescent="0.25">
      <c r="P4274" s="4"/>
    </row>
    <row r="4275" spans="16:16" x14ac:dyDescent="0.25">
      <c r="P4275" s="4"/>
    </row>
    <row r="4276" spans="16:16" x14ac:dyDescent="0.25">
      <c r="P4276" s="4"/>
    </row>
    <row r="4277" spans="16:16" x14ac:dyDescent="0.25">
      <c r="P4277" s="4"/>
    </row>
    <row r="4278" spans="16:16" x14ac:dyDescent="0.25">
      <c r="P4278" s="4"/>
    </row>
    <row r="4279" spans="16:16" x14ac:dyDescent="0.25">
      <c r="P4279" s="4"/>
    </row>
    <row r="4280" spans="16:16" x14ac:dyDescent="0.25">
      <c r="P4280" s="4"/>
    </row>
    <row r="4281" spans="16:16" x14ac:dyDescent="0.25">
      <c r="P4281" s="4"/>
    </row>
    <row r="4282" spans="16:16" x14ac:dyDescent="0.25">
      <c r="P4282" s="4"/>
    </row>
    <row r="4283" spans="16:16" x14ac:dyDescent="0.25">
      <c r="P4283" s="4"/>
    </row>
    <row r="4284" spans="16:16" x14ac:dyDescent="0.25">
      <c r="P4284" s="4"/>
    </row>
    <row r="4285" spans="16:16" x14ac:dyDescent="0.25">
      <c r="P4285" s="4"/>
    </row>
    <row r="4286" spans="16:16" x14ac:dyDescent="0.25">
      <c r="P4286" s="4"/>
    </row>
    <row r="4287" spans="16:16" x14ac:dyDescent="0.25">
      <c r="P4287" s="4"/>
    </row>
    <row r="4288" spans="16:16" x14ac:dyDescent="0.25">
      <c r="P4288" s="4"/>
    </row>
    <row r="4289" spans="16:16" x14ac:dyDescent="0.25">
      <c r="P4289" s="4"/>
    </row>
    <row r="4290" spans="16:16" x14ac:dyDescent="0.25">
      <c r="P4290" s="4"/>
    </row>
    <row r="4291" spans="16:16" x14ac:dyDescent="0.25">
      <c r="P4291" s="4"/>
    </row>
    <row r="4292" spans="16:16" x14ac:dyDescent="0.25">
      <c r="P4292" s="4"/>
    </row>
    <row r="4293" spans="16:16" x14ac:dyDescent="0.25">
      <c r="P4293" s="4"/>
    </row>
    <row r="4294" spans="16:16" x14ac:dyDescent="0.25">
      <c r="P4294" s="4"/>
    </row>
    <row r="4295" spans="16:16" x14ac:dyDescent="0.25">
      <c r="P4295" s="4"/>
    </row>
    <row r="4296" spans="16:16" x14ac:dyDescent="0.25">
      <c r="P4296" s="4"/>
    </row>
    <row r="4297" spans="16:16" x14ac:dyDescent="0.25">
      <c r="P4297" s="4"/>
    </row>
    <row r="4298" spans="16:16" x14ac:dyDescent="0.25">
      <c r="P4298" s="4"/>
    </row>
    <row r="4299" spans="16:16" x14ac:dyDescent="0.25">
      <c r="P4299" s="4"/>
    </row>
    <row r="4300" spans="16:16" x14ac:dyDescent="0.25">
      <c r="P4300" s="4"/>
    </row>
    <row r="4301" spans="16:16" x14ac:dyDescent="0.25">
      <c r="P4301" s="4"/>
    </row>
    <row r="4302" spans="16:16" x14ac:dyDescent="0.25">
      <c r="P4302" s="4"/>
    </row>
    <row r="4303" spans="16:16" x14ac:dyDescent="0.25">
      <c r="P4303" s="4"/>
    </row>
    <row r="4304" spans="16:16" x14ac:dyDescent="0.25">
      <c r="P4304" s="4"/>
    </row>
    <row r="4305" spans="16:16" x14ac:dyDescent="0.25">
      <c r="P4305" s="4"/>
    </row>
    <row r="4306" spans="16:16" x14ac:dyDescent="0.25">
      <c r="P4306" s="4"/>
    </row>
    <row r="4307" spans="16:16" x14ac:dyDescent="0.25">
      <c r="P4307" s="4"/>
    </row>
    <row r="4308" spans="16:16" x14ac:dyDescent="0.25">
      <c r="P4308" s="4"/>
    </row>
    <row r="4309" spans="16:16" x14ac:dyDescent="0.25">
      <c r="P4309" s="4"/>
    </row>
    <row r="4310" spans="16:16" x14ac:dyDescent="0.25">
      <c r="P4310" s="4"/>
    </row>
    <row r="4311" spans="16:16" x14ac:dyDescent="0.25">
      <c r="P4311" s="4"/>
    </row>
    <row r="4312" spans="16:16" x14ac:dyDescent="0.25">
      <c r="P4312" s="4"/>
    </row>
    <row r="4313" spans="16:16" x14ac:dyDescent="0.25">
      <c r="P4313" s="4"/>
    </row>
    <row r="4314" spans="16:16" x14ac:dyDescent="0.25">
      <c r="P4314" s="4"/>
    </row>
    <row r="4315" spans="16:16" x14ac:dyDescent="0.25">
      <c r="P4315" s="4"/>
    </row>
    <row r="4316" spans="16:16" x14ac:dyDescent="0.25">
      <c r="P4316" s="4"/>
    </row>
    <row r="4317" spans="16:16" x14ac:dyDescent="0.25">
      <c r="P4317" s="4"/>
    </row>
    <row r="4318" spans="16:16" x14ac:dyDescent="0.25">
      <c r="P4318" s="4"/>
    </row>
    <row r="4319" spans="16:16" x14ac:dyDescent="0.25">
      <c r="P4319" s="4"/>
    </row>
    <row r="4320" spans="16:16" x14ac:dyDescent="0.25">
      <c r="P4320" s="4"/>
    </row>
    <row r="4321" spans="16:16" x14ac:dyDescent="0.25">
      <c r="P4321" s="4"/>
    </row>
    <row r="4322" spans="16:16" x14ac:dyDescent="0.25">
      <c r="P4322" s="4"/>
    </row>
    <row r="4323" spans="16:16" x14ac:dyDescent="0.25">
      <c r="P4323" s="4"/>
    </row>
    <row r="4324" spans="16:16" x14ac:dyDescent="0.25">
      <c r="P4324" s="4"/>
    </row>
    <row r="4325" spans="16:16" x14ac:dyDescent="0.25">
      <c r="P4325" s="4"/>
    </row>
    <row r="4326" spans="16:16" x14ac:dyDescent="0.25">
      <c r="P4326" s="4"/>
    </row>
    <row r="4327" spans="16:16" x14ac:dyDescent="0.25">
      <c r="P4327" s="4"/>
    </row>
    <row r="4328" spans="16:16" x14ac:dyDescent="0.25">
      <c r="P4328" s="4"/>
    </row>
    <row r="4329" spans="16:16" x14ac:dyDescent="0.25">
      <c r="P4329" s="4"/>
    </row>
    <row r="4330" spans="16:16" x14ac:dyDescent="0.25">
      <c r="P4330" s="4"/>
    </row>
    <row r="4331" spans="16:16" x14ac:dyDescent="0.25">
      <c r="P4331" s="4"/>
    </row>
    <row r="4332" spans="16:16" x14ac:dyDescent="0.25">
      <c r="P4332" s="4"/>
    </row>
    <row r="4333" spans="16:16" x14ac:dyDescent="0.25">
      <c r="P4333" s="4"/>
    </row>
    <row r="4334" spans="16:16" x14ac:dyDescent="0.25">
      <c r="P4334" s="4"/>
    </row>
    <row r="4335" spans="16:16" x14ac:dyDescent="0.25">
      <c r="P4335" s="4"/>
    </row>
    <row r="4336" spans="16:16" x14ac:dyDescent="0.25">
      <c r="P4336" s="4"/>
    </row>
    <row r="4337" spans="16:16" x14ac:dyDescent="0.25">
      <c r="P4337" s="4"/>
    </row>
    <row r="4338" spans="16:16" x14ac:dyDescent="0.25">
      <c r="P4338" s="4"/>
    </row>
    <row r="4339" spans="16:16" x14ac:dyDescent="0.25">
      <c r="P4339" s="4"/>
    </row>
    <row r="4340" spans="16:16" x14ac:dyDescent="0.25">
      <c r="P4340" s="4"/>
    </row>
    <row r="4341" spans="16:16" x14ac:dyDescent="0.25">
      <c r="P4341" s="4"/>
    </row>
    <row r="4342" spans="16:16" x14ac:dyDescent="0.25">
      <c r="P4342" s="4"/>
    </row>
    <row r="4343" spans="16:16" x14ac:dyDescent="0.25">
      <c r="P4343" s="4"/>
    </row>
    <row r="4344" spans="16:16" x14ac:dyDescent="0.25">
      <c r="P4344" s="4"/>
    </row>
    <row r="4345" spans="16:16" x14ac:dyDescent="0.25">
      <c r="P4345" s="4"/>
    </row>
    <row r="4346" spans="16:16" x14ac:dyDescent="0.25">
      <c r="P4346" s="4"/>
    </row>
    <row r="4347" spans="16:16" x14ac:dyDescent="0.25">
      <c r="P4347" s="4"/>
    </row>
    <row r="4348" spans="16:16" x14ac:dyDescent="0.25">
      <c r="P4348" s="4"/>
    </row>
    <row r="4349" spans="16:16" x14ac:dyDescent="0.25">
      <c r="P4349" s="4"/>
    </row>
    <row r="4350" spans="16:16" x14ac:dyDescent="0.25">
      <c r="P4350" s="4"/>
    </row>
    <row r="4351" spans="16:16" x14ac:dyDescent="0.25">
      <c r="P4351" s="4"/>
    </row>
    <row r="4352" spans="16:16" x14ac:dyDescent="0.25">
      <c r="P4352" s="4"/>
    </row>
    <row r="4353" spans="16:16" x14ac:dyDescent="0.25">
      <c r="P4353" s="4"/>
    </row>
    <row r="4354" spans="16:16" x14ac:dyDescent="0.25">
      <c r="P4354" s="4"/>
    </row>
    <row r="4355" spans="16:16" x14ac:dyDescent="0.25">
      <c r="P4355" s="4"/>
    </row>
    <row r="4356" spans="16:16" x14ac:dyDescent="0.25">
      <c r="P4356" s="4"/>
    </row>
    <row r="4357" spans="16:16" x14ac:dyDescent="0.25">
      <c r="P4357" s="4"/>
    </row>
    <row r="4358" spans="16:16" x14ac:dyDescent="0.25">
      <c r="P4358" s="4"/>
    </row>
    <row r="4359" spans="16:16" x14ac:dyDescent="0.25">
      <c r="P4359" s="4"/>
    </row>
    <row r="4360" spans="16:16" x14ac:dyDescent="0.25">
      <c r="P4360" s="4"/>
    </row>
    <row r="4361" spans="16:16" x14ac:dyDescent="0.25">
      <c r="P4361" s="4"/>
    </row>
    <row r="4362" spans="16:16" x14ac:dyDescent="0.25">
      <c r="P4362" s="4"/>
    </row>
    <row r="4363" spans="16:16" x14ac:dyDescent="0.25">
      <c r="P4363" s="4"/>
    </row>
    <row r="4364" spans="16:16" x14ac:dyDescent="0.25">
      <c r="P4364" s="4"/>
    </row>
    <row r="4365" spans="16:16" x14ac:dyDescent="0.25">
      <c r="P4365" s="4"/>
    </row>
    <row r="4366" spans="16:16" x14ac:dyDescent="0.25">
      <c r="P4366" s="4"/>
    </row>
    <row r="4367" spans="16:16" x14ac:dyDescent="0.25">
      <c r="P4367" s="4"/>
    </row>
    <row r="4368" spans="16:16" x14ac:dyDescent="0.25">
      <c r="P4368" s="4"/>
    </row>
    <row r="4369" spans="16:16" x14ac:dyDescent="0.25">
      <c r="P4369" s="4"/>
    </row>
    <row r="4370" spans="16:16" x14ac:dyDescent="0.25">
      <c r="P4370" s="4"/>
    </row>
    <row r="4371" spans="16:16" x14ac:dyDescent="0.25">
      <c r="P4371" s="4"/>
    </row>
    <row r="4372" spans="16:16" x14ac:dyDescent="0.25">
      <c r="P4372" s="4"/>
    </row>
    <row r="4373" spans="16:16" x14ac:dyDescent="0.25">
      <c r="P4373" s="4"/>
    </row>
    <row r="4374" spans="16:16" x14ac:dyDescent="0.25">
      <c r="P4374" s="4"/>
    </row>
    <row r="4375" spans="16:16" x14ac:dyDescent="0.25">
      <c r="P4375" s="4"/>
    </row>
    <row r="4376" spans="16:16" x14ac:dyDescent="0.25">
      <c r="P4376" s="4"/>
    </row>
    <row r="4377" spans="16:16" x14ac:dyDescent="0.25">
      <c r="P4377" s="4"/>
    </row>
    <row r="4378" spans="16:16" x14ac:dyDescent="0.25">
      <c r="P4378" s="4"/>
    </row>
    <row r="4379" spans="16:16" x14ac:dyDescent="0.25">
      <c r="P4379" s="4"/>
    </row>
    <row r="4380" spans="16:16" x14ac:dyDescent="0.25">
      <c r="P4380" s="4"/>
    </row>
    <row r="4381" spans="16:16" x14ac:dyDescent="0.25">
      <c r="P4381" s="4"/>
    </row>
    <row r="4382" spans="16:16" x14ac:dyDescent="0.25">
      <c r="P4382" s="4"/>
    </row>
    <row r="4383" spans="16:16" x14ac:dyDescent="0.25">
      <c r="P4383" s="4"/>
    </row>
    <row r="4384" spans="16:16" x14ac:dyDescent="0.25">
      <c r="P4384" s="4"/>
    </row>
    <row r="4385" spans="16:16" x14ac:dyDescent="0.25">
      <c r="P4385" s="4"/>
    </row>
    <row r="4386" spans="16:16" x14ac:dyDescent="0.25">
      <c r="P4386" s="4"/>
    </row>
    <row r="4387" spans="16:16" x14ac:dyDescent="0.25">
      <c r="P4387" s="4"/>
    </row>
    <row r="4388" spans="16:16" x14ac:dyDescent="0.25">
      <c r="P4388" s="4"/>
    </row>
    <row r="4389" spans="16:16" x14ac:dyDescent="0.25">
      <c r="P4389" s="4"/>
    </row>
    <row r="4390" spans="16:16" x14ac:dyDescent="0.25">
      <c r="P4390" s="4"/>
    </row>
    <row r="4391" spans="16:16" x14ac:dyDescent="0.25">
      <c r="P4391" s="4"/>
    </row>
    <row r="4392" spans="16:16" x14ac:dyDescent="0.25">
      <c r="P4392" s="4"/>
    </row>
    <row r="4393" spans="16:16" x14ac:dyDescent="0.25">
      <c r="P4393" s="4"/>
    </row>
    <row r="4394" spans="16:16" x14ac:dyDescent="0.25">
      <c r="P4394" s="4"/>
    </row>
    <row r="4395" spans="16:16" x14ac:dyDescent="0.25">
      <c r="P4395" s="4"/>
    </row>
    <row r="4396" spans="16:16" x14ac:dyDescent="0.25">
      <c r="P4396" s="4"/>
    </row>
    <row r="4397" spans="16:16" x14ac:dyDescent="0.25">
      <c r="P4397" s="4"/>
    </row>
    <row r="4398" spans="16:16" x14ac:dyDescent="0.25">
      <c r="P4398" s="4"/>
    </row>
    <row r="4399" spans="16:16" x14ac:dyDescent="0.25">
      <c r="P4399" s="4"/>
    </row>
    <row r="4400" spans="16:16" x14ac:dyDescent="0.25">
      <c r="P4400" s="4"/>
    </row>
    <row r="4401" spans="16:16" x14ac:dyDescent="0.25">
      <c r="P4401" s="4"/>
    </row>
    <row r="4402" spans="16:16" x14ac:dyDescent="0.25">
      <c r="P4402" s="4"/>
    </row>
    <row r="4403" spans="16:16" x14ac:dyDescent="0.25">
      <c r="P4403" s="4"/>
    </row>
    <row r="4404" spans="16:16" x14ac:dyDescent="0.25">
      <c r="P4404" s="4"/>
    </row>
    <row r="4405" spans="16:16" x14ac:dyDescent="0.25">
      <c r="P4405" s="4"/>
    </row>
    <row r="4406" spans="16:16" x14ac:dyDescent="0.25">
      <c r="P4406" s="4"/>
    </row>
    <row r="4407" spans="16:16" x14ac:dyDescent="0.25">
      <c r="P4407" s="4"/>
    </row>
    <row r="4408" spans="16:16" x14ac:dyDescent="0.25">
      <c r="P4408" s="4"/>
    </row>
    <row r="4409" spans="16:16" x14ac:dyDescent="0.25">
      <c r="P4409" s="4"/>
    </row>
    <row r="4410" spans="16:16" x14ac:dyDescent="0.25">
      <c r="P4410" s="4"/>
    </row>
    <row r="4411" spans="16:16" x14ac:dyDescent="0.25">
      <c r="P4411" s="4"/>
    </row>
    <row r="4412" spans="16:16" x14ac:dyDescent="0.25">
      <c r="P4412" s="4"/>
    </row>
    <row r="4413" spans="16:16" x14ac:dyDescent="0.25">
      <c r="P4413" s="4"/>
    </row>
    <row r="4414" spans="16:16" x14ac:dyDescent="0.25">
      <c r="P4414" s="4"/>
    </row>
    <row r="4415" spans="16:16" x14ac:dyDescent="0.25">
      <c r="P4415" s="4"/>
    </row>
    <row r="4416" spans="16:16" x14ac:dyDescent="0.25">
      <c r="P4416" s="4"/>
    </row>
    <row r="4417" spans="16:16" x14ac:dyDescent="0.25">
      <c r="P4417" s="4"/>
    </row>
    <row r="4418" spans="16:16" x14ac:dyDescent="0.25">
      <c r="P4418" s="4"/>
    </row>
    <row r="4419" spans="16:16" x14ac:dyDescent="0.25">
      <c r="P4419" s="4"/>
    </row>
    <row r="4420" spans="16:16" x14ac:dyDescent="0.25">
      <c r="P4420" s="4"/>
    </row>
    <row r="4421" spans="16:16" x14ac:dyDescent="0.25">
      <c r="P4421" s="4"/>
    </row>
    <row r="4422" spans="16:16" x14ac:dyDescent="0.25">
      <c r="P4422" s="4"/>
    </row>
    <row r="4423" spans="16:16" x14ac:dyDescent="0.25">
      <c r="P4423" s="4"/>
    </row>
    <row r="4424" spans="16:16" x14ac:dyDescent="0.25">
      <c r="P4424" s="4"/>
    </row>
    <row r="4425" spans="16:16" x14ac:dyDescent="0.25">
      <c r="P4425" s="4"/>
    </row>
    <row r="4426" spans="16:16" x14ac:dyDescent="0.25">
      <c r="P4426" s="4"/>
    </row>
    <row r="4427" spans="16:16" x14ac:dyDescent="0.25">
      <c r="P4427" s="4"/>
    </row>
    <row r="4428" spans="16:16" x14ac:dyDescent="0.25">
      <c r="P4428" s="4"/>
    </row>
    <row r="4429" spans="16:16" x14ac:dyDescent="0.25">
      <c r="P4429" s="4"/>
    </row>
    <row r="4430" spans="16:16" x14ac:dyDescent="0.25">
      <c r="P4430" s="4"/>
    </row>
    <row r="4431" spans="16:16" x14ac:dyDescent="0.25">
      <c r="P4431" s="4"/>
    </row>
    <row r="4432" spans="16:16" x14ac:dyDescent="0.25">
      <c r="P4432" s="4"/>
    </row>
    <row r="4433" spans="16:16" x14ac:dyDescent="0.25">
      <c r="P4433" s="4"/>
    </row>
    <row r="4434" spans="16:16" x14ac:dyDescent="0.25">
      <c r="P4434" s="4"/>
    </row>
    <row r="4435" spans="16:16" x14ac:dyDescent="0.25">
      <c r="P4435" s="4"/>
    </row>
    <row r="4436" spans="16:16" x14ac:dyDescent="0.25">
      <c r="P4436" s="4"/>
    </row>
    <row r="4437" spans="16:16" x14ac:dyDescent="0.25">
      <c r="P4437" s="4"/>
    </row>
    <row r="4438" spans="16:16" x14ac:dyDescent="0.25">
      <c r="P4438" s="4"/>
    </row>
    <row r="4439" spans="16:16" x14ac:dyDescent="0.25">
      <c r="P4439" s="4"/>
    </row>
    <row r="4440" spans="16:16" x14ac:dyDescent="0.25">
      <c r="P4440" s="4"/>
    </row>
    <row r="4441" spans="16:16" x14ac:dyDescent="0.25">
      <c r="P4441" s="4"/>
    </row>
    <row r="4442" spans="16:16" x14ac:dyDescent="0.25">
      <c r="P4442" s="4"/>
    </row>
    <row r="4443" spans="16:16" x14ac:dyDescent="0.25">
      <c r="P4443" s="4"/>
    </row>
    <row r="4444" spans="16:16" x14ac:dyDescent="0.25">
      <c r="P4444" s="4"/>
    </row>
    <row r="4445" spans="16:16" x14ac:dyDescent="0.25">
      <c r="P4445" s="4"/>
    </row>
    <row r="4446" spans="16:16" x14ac:dyDescent="0.25">
      <c r="P4446" s="4"/>
    </row>
    <row r="4447" spans="16:16" x14ac:dyDescent="0.25">
      <c r="P4447" s="4"/>
    </row>
    <row r="4448" spans="16:16" x14ac:dyDescent="0.25">
      <c r="P4448" s="4"/>
    </row>
    <row r="4449" spans="16:16" x14ac:dyDescent="0.25">
      <c r="P4449" s="4"/>
    </row>
    <row r="4450" spans="16:16" x14ac:dyDescent="0.25">
      <c r="P4450" s="4"/>
    </row>
    <row r="4451" spans="16:16" x14ac:dyDescent="0.25">
      <c r="P4451" s="4"/>
    </row>
    <row r="4452" spans="16:16" x14ac:dyDescent="0.25">
      <c r="P4452" s="4"/>
    </row>
    <row r="4453" spans="16:16" x14ac:dyDescent="0.25">
      <c r="P4453" s="4"/>
    </row>
    <row r="4454" spans="16:16" x14ac:dyDescent="0.25">
      <c r="P4454" s="4"/>
    </row>
    <row r="4455" spans="16:16" x14ac:dyDescent="0.25">
      <c r="P4455" s="4"/>
    </row>
    <row r="4456" spans="16:16" x14ac:dyDescent="0.25">
      <c r="P4456" s="4"/>
    </row>
    <row r="4457" spans="16:16" x14ac:dyDescent="0.25">
      <c r="P4457" s="4"/>
    </row>
    <row r="4458" spans="16:16" x14ac:dyDescent="0.25">
      <c r="P4458" s="4"/>
    </row>
    <row r="4459" spans="16:16" x14ac:dyDescent="0.25">
      <c r="P4459" s="4"/>
    </row>
    <row r="4460" spans="16:16" x14ac:dyDescent="0.25">
      <c r="P4460" s="4"/>
    </row>
    <row r="4461" spans="16:16" x14ac:dyDescent="0.25">
      <c r="P4461" s="4"/>
    </row>
    <row r="4462" spans="16:16" x14ac:dyDescent="0.25">
      <c r="P4462" s="4"/>
    </row>
    <row r="4463" spans="16:16" x14ac:dyDescent="0.25">
      <c r="P4463" s="4"/>
    </row>
    <row r="4464" spans="16:16" x14ac:dyDescent="0.25">
      <c r="P4464" s="4"/>
    </row>
    <row r="4465" spans="16:16" x14ac:dyDescent="0.25">
      <c r="P4465" s="4"/>
    </row>
    <row r="4466" spans="16:16" x14ac:dyDescent="0.25">
      <c r="P4466" s="4"/>
    </row>
    <row r="4467" spans="16:16" x14ac:dyDescent="0.25">
      <c r="P4467" s="4"/>
    </row>
    <row r="4468" spans="16:16" x14ac:dyDescent="0.25">
      <c r="P4468" s="4"/>
    </row>
    <row r="4469" spans="16:16" x14ac:dyDescent="0.25">
      <c r="P4469" s="4"/>
    </row>
    <row r="4470" spans="16:16" x14ac:dyDescent="0.25">
      <c r="P4470" s="4"/>
    </row>
    <row r="4471" spans="16:16" x14ac:dyDescent="0.25">
      <c r="P4471" s="4"/>
    </row>
    <row r="4472" spans="16:16" x14ac:dyDescent="0.25">
      <c r="P4472" s="4"/>
    </row>
    <row r="4473" spans="16:16" x14ac:dyDescent="0.25">
      <c r="P4473" s="4"/>
    </row>
    <row r="4474" spans="16:16" x14ac:dyDescent="0.25">
      <c r="P4474" s="4"/>
    </row>
    <row r="4475" spans="16:16" x14ac:dyDescent="0.25">
      <c r="P4475" s="4"/>
    </row>
    <row r="4476" spans="16:16" x14ac:dyDescent="0.25">
      <c r="P4476" s="4"/>
    </row>
    <row r="4477" spans="16:16" x14ac:dyDescent="0.25">
      <c r="P4477" s="4"/>
    </row>
    <row r="4478" spans="16:16" x14ac:dyDescent="0.25">
      <c r="P4478" s="4"/>
    </row>
    <row r="4479" spans="16:16" x14ac:dyDescent="0.25">
      <c r="P4479" s="4"/>
    </row>
    <row r="4480" spans="16:16" x14ac:dyDescent="0.25">
      <c r="P4480" s="4"/>
    </row>
    <row r="4481" spans="16:16" x14ac:dyDescent="0.25">
      <c r="P4481" s="4"/>
    </row>
    <row r="4482" spans="16:16" x14ac:dyDescent="0.25">
      <c r="P4482" s="4"/>
    </row>
    <row r="4483" spans="16:16" x14ac:dyDescent="0.25">
      <c r="P4483" s="4"/>
    </row>
    <row r="4484" spans="16:16" x14ac:dyDescent="0.25">
      <c r="P4484" s="4"/>
    </row>
    <row r="4485" spans="16:16" x14ac:dyDescent="0.25">
      <c r="P4485" s="4"/>
    </row>
    <row r="4486" spans="16:16" x14ac:dyDescent="0.25">
      <c r="P4486" s="4"/>
    </row>
    <row r="4487" spans="16:16" x14ac:dyDescent="0.25">
      <c r="P4487" s="4"/>
    </row>
    <row r="4488" spans="16:16" x14ac:dyDescent="0.25">
      <c r="P4488" s="4"/>
    </row>
    <row r="4489" spans="16:16" x14ac:dyDescent="0.25">
      <c r="P4489" s="4"/>
    </row>
    <row r="4490" spans="16:16" x14ac:dyDescent="0.25">
      <c r="P4490" s="4"/>
    </row>
    <row r="4491" spans="16:16" x14ac:dyDescent="0.25">
      <c r="P4491" s="4"/>
    </row>
    <row r="4492" spans="16:16" x14ac:dyDescent="0.25">
      <c r="P4492" s="4"/>
    </row>
    <row r="4493" spans="16:16" x14ac:dyDescent="0.25">
      <c r="P4493" s="4"/>
    </row>
    <row r="4494" spans="16:16" x14ac:dyDescent="0.25">
      <c r="P4494" s="4"/>
    </row>
    <row r="4495" spans="16:16" x14ac:dyDescent="0.25">
      <c r="P4495" s="4"/>
    </row>
    <row r="4496" spans="16:16" x14ac:dyDescent="0.25">
      <c r="P4496" s="4"/>
    </row>
    <row r="4497" spans="16:16" x14ac:dyDescent="0.25">
      <c r="P4497" s="4"/>
    </row>
    <row r="4498" spans="16:16" x14ac:dyDescent="0.25">
      <c r="P4498" s="4"/>
    </row>
    <row r="4499" spans="16:16" x14ac:dyDescent="0.25">
      <c r="P4499" s="4"/>
    </row>
    <row r="4500" spans="16:16" x14ac:dyDescent="0.25">
      <c r="P4500" s="4"/>
    </row>
    <row r="4501" spans="16:16" x14ac:dyDescent="0.25">
      <c r="P4501" s="4"/>
    </row>
    <row r="4502" spans="16:16" x14ac:dyDescent="0.25">
      <c r="P4502" s="4"/>
    </row>
    <row r="4503" spans="16:16" x14ac:dyDescent="0.25">
      <c r="P4503" s="4"/>
    </row>
    <row r="4504" spans="16:16" x14ac:dyDescent="0.25">
      <c r="P4504" s="4"/>
    </row>
    <row r="4505" spans="16:16" x14ac:dyDescent="0.25">
      <c r="P4505" s="4"/>
    </row>
    <row r="4506" spans="16:16" x14ac:dyDescent="0.25">
      <c r="P4506" s="4"/>
    </row>
    <row r="4507" spans="16:16" x14ac:dyDescent="0.25">
      <c r="P4507" s="4"/>
    </row>
    <row r="4508" spans="16:16" x14ac:dyDescent="0.25">
      <c r="P4508" s="4"/>
    </row>
    <row r="4509" spans="16:16" x14ac:dyDescent="0.25">
      <c r="P4509" s="4"/>
    </row>
    <row r="4510" spans="16:16" x14ac:dyDescent="0.25">
      <c r="P4510" s="4"/>
    </row>
    <row r="4511" spans="16:16" x14ac:dyDescent="0.25">
      <c r="P4511" s="4"/>
    </row>
    <row r="4512" spans="16:16" x14ac:dyDescent="0.25">
      <c r="P4512" s="4"/>
    </row>
    <row r="4513" spans="16:16" x14ac:dyDescent="0.25">
      <c r="P4513" s="4"/>
    </row>
    <row r="4514" spans="16:16" x14ac:dyDescent="0.25">
      <c r="P4514" s="4"/>
    </row>
    <row r="4515" spans="16:16" x14ac:dyDescent="0.25">
      <c r="P4515" s="4"/>
    </row>
    <row r="4516" spans="16:16" x14ac:dyDescent="0.25">
      <c r="P4516" s="4"/>
    </row>
    <row r="4517" spans="16:16" x14ac:dyDescent="0.25">
      <c r="P4517" s="4"/>
    </row>
    <row r="4518" spans="16:16" x14ac:dyDescent="0.25">
      <c r="P4518" s="4"/>
    </row>
    <row r="4519" spans="16:16" x14ac:dyDescent="0.25">
      <c r="P4519" s="4"/>
    </row>
    <row r="4520" spans="16:16" x14ac:dyDescent="0.25">
      <c r="P4520" s="4"/>
    </row>
    <row r="4521" spans="16:16" x14ac:dyDescent="0.25">
      <c r="P4521" s="4"/>
    </row>
    <row r="4522" spans="16:16" x14ac:dyDescent="0.25">
      <c r="P4522" s="4"/>
    </row>
    <row r="4523" spans="16:16" x14ac:dyDescent="0.25">
      <c r="P4523" s="4"/>
    </row>
    <row r="4524" spans="16:16" x14ac:dyDescent="0.25">
      <c r="P4524" s="4"/>
    </row>
    <row r="4525" spans="16:16" x14ac:dyDescent="0.25">
      <c r="P4525" s="4"/>
    </row>
    <row r="4526" spans="16:16" x14ac:dyDescent="0.25">
      <c r="P4526" s="4"/>
    </row>
    <row r="4527" spans="16:16" x14ac:dyDescent="0.25">
      <c r="P4527" s="4"/>
    </row>
    <row r="4528" spans="16:16" x14ac:dyDescent="0.25">
      <c r="P4528" s="4"/>
    </row>
    <row r="4529" spans="16:16" x14ac:dyDescent="0.25">
      <c r="P4529" s="4"/>
    </row>
    <row r="4530" spans="16:16" x14ac:dyDescent="0.25">
      <c r="P4530" s="4"/>
    </row>
    <row r="4531" spans="16:16" x14ac:dyDescent="0.25">
      <c r="P4531" s="4"/>
    </row>
    <row r="4532" spans="16:16" x14ac:dyDescent="0.25">
      <c r="P4532" s="4"/>
    </row>
    <row r="4533" spans="16:16" x14ac:dyDescent="0.25">
      <c r="P4533" s="4"/>
    </row>
    <row r="4534" spans="16:16" x14ac:dyDescent="0.25">
      <c r="P4534" s="4"/>
    </row>
    <row r="4535" spans="16:16" x14ac:dyDescent="0.25">
      <c r="P4535" s="4"/>
    </row>
    <row r="4536" spans="16:16" x14ac:dyDescent="0.25">
      <c r="P4536" s="4"/>
    </row>
    <row r="4537" spans="16:16" x14ac:dyDescent="0.25">
      <c r="P4537" s="4"/>
    </row>
    <row r="4538" spans="16:16" x14ac:dyDescent="0.25">
      <c r="P4538" s="4"/>
    </row>
    <row r="4539" spans="16:16" x14ac:dyDescent="0.25">
      <c r="P4539" s="4"/>
    </row>
    <row r="4540" spans="16:16" x14ac:dyDescent="0.25">
      <c r="P4540" s="4"/>
    </row>
    <row r="4541" spans="16:16" x14ac:dyDescent="0.25">
      <c r="P4541" s="4"/>
    </row>
    <row r="4542" spans="16:16" x14ac:dyDescent="0.25">
      <c r="P4542" s="4"/>
    </row>
    <row r="4543" spans="16:16" x14ac:dyDescent="0.25">
      <c r="P4543" s="4"/>
    </row>
    <row r="4544" spans="16:16" x14ac:dyDescent="0.25">
      <c r="P4544" s="4"/>
    </row>
    <row r="4545" spans="16:16" x14ac:dyDescent="0.25">
      <c r="P4545" s="4"/>
    </row>
    <row r="4546" spans="16:16" x14ac:dyDescent="0.25">
      <c r="P4546" s="4"/>
    </row>
    <row r="4547" spans="16:16" x14ac:dyDescent="0.25">
      <c r="P4547" s="4"/>
    </row>
    <row r="4548" spans="16:16" x14ac:dyDescent="0.25">
      <c r="P4548" s="4"/>
    </row>
    <row r="4549" spans="16:16" x14ac:dyDescent="0.25">
      <c r="P4549" s="4"/>
    </row>
    <row r="4550" spans="16:16" x14ac:dyDescent="0.25">
      <c r="P4550" s="4"/>
    </row>
    <row r="4551" spans="16:16" x14ac:dyDescent="0.25">
      <c r="P4551" s="4"/>
    </row>
    <row r="4552" spans="16:16" x14ac:dyDescent="0.25">
      <c r="P4552" s="4"/>
    </row>
    <row r="4553" spans="16:16" x14ac:dyDescent="0.25">
      <c r="P4553" s="4"/>
    </row>
    <row r="4554" spans="16:16" x14ac:dyDescent="0.25">
      <c r="P4554" s="4"/>
    </row>
    <row r="4555" spans="16:16" x14ac:dyDescent="0.25">
      <c r="P4555" s="4"/>
    </row>
    <row r="4556" spans="16:16" x14ac:dyDescent="0.25">
      <c r="P4556" s="4"/>
    </row>
    <row r="4557" spans="16:16" x14ac:dyDescent="0.25">
      <c r="P4557" s="4"/>
    </row>
    <row r="4558" spans="16:16" x14ac:dyDescent="0.25">
      <c r="P4558" s="4"/>
    </row>
    <row r="4559" spans="16:16" x14ac:dyDescent="0.25">
      <c r="P4559" s="4"/>
    </row>
    <row r="4560" spans="16:16" x14ac:dyDescent="0.25">
      <c r="P4560" s="4"/>
    </row>
    <row r="4561" spans="16:16" x14ac:dyDescent="0.25">
      <c r="P4561" s="4"/>
    </row>
    <row r="4562" spans="16:16" x14ac:dyDescent="0.25">
      <c r="P4562" s="4"/>
    </row>
    <row r="4563" spans="16:16" x14ac:dyDescent="0.25">
      <c r="P4563" s="4"/>
    </row>
    <row r="4564" spans="16:16" x14ac:dyDescent="0.25">
      <c r="P4564" s="4"/>
    </row>
    <row r="4565" spans="16:16" x14ac:dyDescent="0.25">
      <c r="P4565" s="4"/>
    </row>
    <row r="4566" spans="16:16" x14ac:dyDescent="0.25">
      <c r="P4566" s="4"/>
    </row>
    <row r="4567" spans="16:16" x14ac:dyDescent="0.25">
      <c r="P4567" s="4"/>
    </row>
    <row r="4568" spans="16:16" x14ac:dyDescent="0.25">
      <c r="P4568" s="4"/>
    </row>
    <row r="4569" spans="16:16" x14ac:dyDescent="0.25">
      <c r="P4569" s="4"/>
    </row>
    <row r="4570" spans="16:16" x14ac:dyDescent="0.25">
      <c r="P4570" s="4"/>
    </row>
    <row r="4571" spans="16:16" x14ac:dyDescent="0.25">
      <c r="P4571" s="4"/>
    </row>
    <row r="4572" spans="16:16" x14ac:dyDescent="0.25">
      <c r="P4572" s="4"/>
    </row>
    <row r="4573" spans="16:16" x14ac:dyDescent="0.25">
      <c r="P4573" s="4"/>
    </row>
    <row r="4574" spans="16:16" x14ac:dyDescent="0.25">
      <c r="P4574" s="4"/>
    </row>
    <row r="4575" spans="16:16" x14ac:dyDescent="0.25">
      <c r="P4575" s="4"/>
    </row>
    <row r="4576" spans="16:16" x14ac:dyDescent="0.25">
      <c r="P4576" s="4"/>
    </row>
    <row r="4577" spans="16:16" x14ac:dyDescent="0.25">
      <c r="P4577" s="4"/>
    </row>
    <row r="4578" spans="16:16" x14ac:dyDescent="0.25">
      <c r="P4578" s="4"/>
    </row>
    <row r="4579" spans="16:16" x14ac:dyDescent="0.25">
      <c r="P4579" s="4"/>
    </row>
    <row r="4580" spans="16:16" x14ac:dyDescent="0.25">
      <c r="P4580" s="4"/>
    </row>
    <row r="4581" spans="16:16" x14ac:dyDescent="0.25">
      <c r="P4581" s="4"/>
    </row>
    <row r="4582" spans="16:16" x14ac:dyDescent="0.25">
      <c r="P4582" s="4"/>
    </row>
    <row r="4583" spans="16:16" x14ac:dyDescent="0.25">
      <c r="P4583" s="4"/>
    </row>
    <row r="4584" spans="16:16" x14ac:dyDescent="0.25">
      <c r="P4584" s="4"/>
    </row>
    <row r="4585" spans="16:16" x14ac:dyDescent="0.25">
      <c r="P4585" s="4"/>
    </row>
    <row r="4586" spans="16:16" x14ac:dyDescent="0.25">
      <c r="P4586" s="4"/>
    </row>
    <row r="4587" spans="16:16" x14ac:dyDescent="0.25">
      <c r="P4587" s="4"/>
    </row>
    <row r="4588" spans="16:16" x14ac:dyDescent="0.25">
      <c r="P4588" s="4"/>
    </row>
    <row r="4589" spans="16:16" x14ac:dyDescent="0.25">
      <c r="P4589" s="4"/>
    </row>
    <row r="4590" spans="16:16" x14ac:dyDescent="0.25">
      <c r="P4590" s="4"/>
    </row>
    <row r="4591" spans="16:16" x14ac:dyDescent="0.25">
      <c r="P4591" s="4"/>
    </row>
    <row r="4592" spans="16:16" x14ac:dyDescent="0.25">
      <c r="P4592" s="4"/>
    </row>
    <row r="4593" spans="16:16" x14ac:dyDescent="0.25">
      <c r="P4593" s="4"/>
    </row>
    <row r="4594" spans="16:16" x14ac:dyDescent="0.25">
      <c r="P4594" s="4"/>
    </row>
    <row r="4595" spans="16:16" x14ac:dyDescent="0.25">
      <c r="P4595" s="4"/>
    </row>
    <row r="4596" spans="16:16" x14ac:dyDescent="0.25">
      <c r="P4596" s="4"/>
    </row>
    <row r="4597" spans="16:16" x14ac:dyDescent="0.25">
      <c r="P4597" s="4"/>
    </row>
    <row r="4598" spans="16:16" x14ac:dyDescent="0.25">
      <c r="P4598" s="4"/>
    </row>
    <row r="4599" spans="16:16" x14ac:dyDescent="0.25">
      <c r="P4599" s="4"/>
    </row>
    <row r="4600" spans="16:16" x14ac:dyDescent="0.25">
      <c r="P4600" s="4"/>
    </row>
    <row r="4601" spans="16:16" x14ac:dyDescent="0.25">
      <c r="P4601" s="4"/>
    </row>
    <row r="4602" spans="16:16" x14ac:dyDescent="0.25">
      <c r="P4602" s="4"/>
    </row>
    <row r="4603" spans="16:16" x14ac:dyDescent="0.25">
      <c r="P4603" s="4"/>
    </row>
    <row r="4604" spans="16:16" x14ac:dyDescent="0.25">
      <c r="P4604" s="4"/>
    </row>
    <row r="4605" spans="16:16" x14ac:dyDescent="0.25">
      <c r="P4605" s="4"/>
    </row>
    <row r="4606" spans="16:16" x14ac:dyDescent="0.25">
      <c r="P4606" s="4"/>
    </row>
    <row r="4607" spans="16:16" x14ac:dyDescent="0.25">
      <c r="P4607" s="4"/>
    </row>
    <row r="4608" spans="16:16" x14ac:dyDescent="0.25">
      <c r="P4608" s="4"/>
    </row>
    <row r="4609" spans="16:16" x14ac:dyDescent="0.25">
      <c r="P4609" s="4"/>
    </row>
    <row r="4610" spans="16:16" x14ac:dyDescent="0.25">
      <c r="P4610" s="4"/>
    </row>
    <row r="4611" spans="16:16" x14ac:dyDescent="0.25">
      <c r="P4611" s="4"/>
    </row>
    <row r="4612" spans="16:16" x14ac:dyDescent="0.25">
      <c r="P4612" s="4"/>
    </row>
    <row r="4613" spans="16:16" x14ac:dyDescent="0.25">
      <c r="P4613" s="4"/>
    </row>
    <row r="4614" spans="16:16" x14ac:dyDescent="0.25">
      <c r="P4614" s="4"/>
    </row>
    <row r="4615" spans="16:16" x14ac:dyDescent="0.25">
      <c r="P4615" s="4"/>
    </row>
    <row r="4616" spans="16:16" x14ac:dyDescent="0.25">
      <c r="P4616" s="4"/>
    </row>
    <row r="4617" spans="16:16" x14ac:dyDescent="0.25">
      <c r="P4617" s="4"/>
    </row>
    <row r="4618" spans="16:16" x14ac:dyDescent="0.25">
      <c r="P4618" s="4"/>
    </row>
    <row r="4619" spans="16:16" x14ac:dyDescent="0.25">
      <c r="P4619" s="4"/>
    </row>
    <row r="4620" spans="16:16" x14ac:dyDescent="0.25">
      <c r="P4620" s="4"/>
    </row>
    <row r="4621" spans="16:16" x14ac:dyDescent="0.25">
      <c r="P4621" s="4"/>
    </row>
    <row r="4622" spans="16:16" x14ac:dyDescent="0.25">
      <c r="P4622" s="4"/>
    </row>
    <row r="4623" spans="16:16" x14ac:dyDescent="0.25">
      <c r="P4623" s="4"/>
    </row>
    <row r="4624" spans="16:16" x14ac:dyDescent="0.25">
      <c r="P4624" s="4"/>
    </row>
    <row r="4625" spans="16:16" x14ac:dyDescent="0.25">
      <c r="P4625" s="4"/>
    </row>
    <row r="4626" spans="16:16" x14ac:dyDescent="0.25">
      <c r="P4626" s="4"/>
    </row>
    <row r="4627" spans="16:16" x14ac:dyDescent="0.25">
      <c r="P4627" s="4"/>
    </row>
    <row r="4628" spans="16:16" x14ac:dyDescent="0.25">
      <c r="P4628" s="4"/>
    </row>
    <row r="4629" spans="16:16" x14ac:dyDescent="0.25">
      <c r="P4629" s="4"/>
    </row>
    <row r="4630" spans="16:16" x14ac:dyDescent="0.25">
      <c r="P4630" s="4"/>
    </row>
    <row r="4631" spans="16:16" x14ac:dyDescent="0.25">
      <c r="P4631" s="4"/>
    </row>
    <row r="4632" spans="16:16" x14ac:dyDescent="0.25">
      <c r="P4632" s="4"/>
    </row>
    <row r="4633" spans="16:16" x14ac:dyDescent="0.25">
      <c r="P4633" s="4"/>
    </row>
    <row r="4634" spans="16:16" x14ac:dyDescent="0.25">
      <c r="P4634" s="4"/>
    </row>
    <row r="4635" spans="16:16" x14ac:dyDescent="0.25">
      <c r="P4635" s="4"/>
    </row>
    <row r="4636" spans="16:16" x14ac:dyDescent="0.25">
      <c r="P4636" s="4"/>
    </row>
    <row r="4637" spans="16:16" x14ac:dyDescent="0.25">
      <c r="P4637" s="4"/>
    </row>
    <row r="4638" spans="16:16" x14ac:dyDescent="0.25">
      <c r="P4638" s="4"/>
    </row>
    <row r="4639" spans="16:16" x14ac:dyDescent="0.25">
      <c r="P4639" s="4"/>
    </row>
    <row r="4640" spans="16:16" x14ac:dyDescent="0.25">
      <c r="P4640" s="4"/>
    </row>
    <row r="4641" spans="16:16" x14ac:dyDescent="0.25">
      <c r="P4641" s="4"/>
    </row>
    <row r="4642" spans="16:16" x14ac:dyDescent="0.25">
      <c r="P4642" s="4"/>
    </row>
    <row r="4643" spans="16:16" x14ac:dyDescent="0.25">
      <c r="P4643" s="4"/>
    </row>
    <row r="4644" spans="16:16" x14ac:dyDescent="0.25">
      <c r="P4644" s="4"/>
    </row>
    <row r="4645" spans="16:16" x14ac:dyDescent="0.25">
      <c r="P4645" s="4"/>
    </row>
    <row r="4646" spans="16:16" x14ac:dyDescent="0.25">
      <c r="P4646" s="4"/>
    </row>
    <row r="4647" spans="16:16" x14ac:dyDescent="0.25">
      <c r="P4647" s="4"/>
    </row>
    <row r="4648" spans="16:16" x14ac:dyDescent="0.25">
      <c r="P4648" s="4"/>
    </row>
    <row r="4649" spans="16:16" x14ac:dyDescent="0.25">
      <c r="P4649" s="4"/>
    </row>
    <row r="4650" spans="16:16" x14ac:dyDescent="0.25">
      <c r="P4650" s="4"/>
    </row>
    <row r="4651" spans="16:16" x14ac:dyDescent="0.25">
      <c r="P4651" s="4"/>
    </row>
    <row r="4652" spans="16:16" x14ac:dyDescent="0.25">
      <c r="P4652" s="4"/>
    </row>
    <row r="4653" spans="16:16" x14ac:dyDescent="0.25">
      <c r="P4653" s="4"/>
    </row>
    <row r="4654" spans="16:16" x14ac:dyDescent="0.25">
      <c r="P4654" s="4"/>
    </row>
    <row r="4655" spans="16:16" x14ac:dyDescent="0.25">
      <c r="P4655" s="4"/>
    </row>
    <row r="4656" spans="16:16" x14ac:dyDescent="0.25">
      <c r="P4656" s="4"/>
    </row>
    <row r="4657" spans="16:16" x14ac:dyDescent="0.25">
      <c r="P4657" s="4"/>
    </row>
    <row r="4658" spans="16:16" x14ac:dyDescent="0.25">
      <c r="P4658" s="4"/>
    </row>
    <row r="4659" spans="16:16" x14ac:dyDescent="0.25">
      <c r="P4659" s="4"/>
    </row>
    <row r="4660" spans="16:16" x14ac:dyDescent="0.25">
      <c r="P4660" s="4"/>
    </row>
    <row r="4661" spans="16:16" x14ac:dyDescent="0.25">
      <c r="P4661" s="4"/>
    </row>
    <row r="4662" spans="16:16" x14ac:dyDescent="0.25">
      <c r="P4662" s="4"/>
    </row>
    <row r="4663" spans="16:16" x14ac:dyDescent="0.25">
      <c r="P4663" s="4"/>
    </row>
    <row r="4664" spans="16:16" x14ac:dyDescent="0.25">
      <c r="P4664" s="4"/>
    </row>
    <row r="4665" spans="16:16" x14ac:dyDescent="0.25">
      <c r="P4665" s="4"/>
    </row>
    <row r="4666" spans="16:16" x14ac:dyDescent="0.25">
      <c r="P4666" s="4"/>
    </row>
    <row r="4667" spans="16:16" x14ac:dyDescent="0.25">
      <c r="P4667" s="4"/>
    </row>
    <row r="4668" spans="16:16" x14ac:dyDescent="0.25">
      <c r="P4668" s="4"/>
    </row>
    <row r="4669" spans="16:16" x14ac:dyDescent="0.25">
      <c r="P4669" s="4"/>
    </row>
    <row r="4670" spans="16:16" x14ac:dyDescent="0.25">
      <c r="P4670" s="4"/>
    </row>
    <row r="4671" spans="16:16" x14ac:dyDescent="0.25">
      <c r="P4671" s="4"/>
    </row>
    <row r="4672" spans="16:16" x14ac:dyDescent="0.25">
      <c r="P4672" s="4"/>
    </row>
    <row r="4673" spans="16:16" x14ac:dyDescent="0.25">
      <c r="P4673" s="4"/>
    </row>
    <row r="4674" spans="16:16" x14ac:dyDescent="0.25">
      <c r="P4674" s="4"/>
    </row>
    <row r="4675" spans="16:16" x14ac:dyDescent="0.25">
      <c r="P4675" s="4"/>
    </row>
    <row r="4676" spans="16:16" x14ac:dyDescent="0.25">
      <c r="P4676" s="4"/>
    </row>
    <row r="4677" spans="16:16" x14ac:dyDescent="0.25">
      <c r="P4677" s="4"/>
    </row>
    <row r="4678" spans="16:16" x14ac:dyDescent="0.25">
      <c r="P4678" s="4"/>
    </row>
    <row r="4679" spans="16:16" x14ac:dyDescent="0.25">
      <c r="P4679" s="4"/>
    </row>
    <row r="4680" spans="16:16" x14ac:dyDescent="0.25">
      <c r="P4680" s="4"/>
    </row>
    <row r="4681" spans="16:16" x14ac:dyDescent="0.25">
      <c r="P4681" s="4"/>
    </row>
    <row r="4682" spans="16:16" x14ac:dyDescent="0.25">
      <c r="P4682" s="4"/>
    </row>
    <row r="4683" spans="16:16" x14ac:dyDescent="0.25">
      <c r="P4683" s="4"/>
    </row>
    <row r="4684" spans="16:16" x14ac:dyDescent="0.25">
      <c r="P4684" s="4"/>
    </row>
    <row r="4685" spans="16:16" x14ac:dyDescent="0.25">
      <c r="P4685" s="4"/>
    </row>
    <row r="4686" spans="16:16" x14ac:dyDescent="0.25">
      <c r="P4686" s="4"/>
    </row>
    <row r="4687" spans="16:16" x14ac:dyDescent="0.25">
      <c r="P4687" s="4"/>
    </row>
    <row r="4688" spans="16:16" x14ac:dyDescent="0.25">
      <c r="P4688" s="4"/>
    </row>
    <row r="4689" spans="16:16" x14ac:dyDescent="0.25">
      <c r="P4689" s="4"/>
    </row>
    <row r="4690" spans="16:16" x14ac:dyDescent="0.25">
      <c r="P4690" s="4"/>
    </row>
    <row r="4691" spans="16:16" x14ac:dyDescent="0.25">
      <c r="P4691" s="4"/>
    </row>
    <row r="4692" spans="16:16" x14ac:dyDescent="0.25">
      <c r="P4692" s="4"/>
    </row>
    <row r="4693" spans="16:16" x14ac:dyDescent="0.25">
      <c r="P4693" s="4"/>
    </row>
    <row r="4694" spans="16:16" x14ac:dyDescent="0.25">
      <c r="P4694" s="4"/>
    </row>
    <row r="4695" spans="16:16" x14ac:dyDescent="0.25">
      <c r="P4695" s="4"/>
    </row>
    <row r="4696" spans="16:16" x14ac:dyDescent="0.25">
      <c r="P4696" s="4"/>
    </row>
    <row r="4697" spans="16:16" x14ac:dyDescent="0.25">
      <c r="P4697" s="4"/>
    </row>
    <row r="4698" spans="16:16" x14ac:dyDescent="0.25">
      <c r="P4698" s="4"/>
    </row>
    <row r="4699" spans="16:16" x14ac:dyDescent="0.25">
      <c r="P4699" s="4"/>
    </row>
    <row r="4700" spans="16:16" x14ac:dyDescent="0.25">
      <c r="P4700" s="4"/>
    </row>
    <row r="4701" spans="16:16" x14ac:dyDescent="0.25">
      <c r="P4701" s="4"/>
    </row>
    <row r="4702" spans="16:16" x14ac:dyDescent="0.25">
      <c r="P4702" s="4"/>
    </row>
    <row r="4703" spans="16:16" x14ac:dyDescent="0.25">
      <c r="P4703" s="4"/>
    </row>
    <row r="4704" spans="16:16" x14ac:dyDescent="0.25">
      <c r="P4704" s="4"/>
    </row>
    <row r="4705" spans="16:16" x14ac:dyDescent="0.25">
      <c r="P4705" s="4"/>
    </row>
    <row r="4706" spans="16:16" x14ac:dyDescent="0.25">
      <c r="P4706" s="4"/>
    </row>
    <row r="4707" spans="16:16" x14ac:dyDescent="0.25">
      <c r="P4707" s="4"/>
    </row>
    <row r="4708" spans="16:16" x14ac:dyDescent="0.25">
      <c r="P4708" s="4"/>
    </row>
    <row r="4709" spans="16:16" x14ac:dyDescent="0.25">
      <c r="P4709" s="4"/>
    </row>
    <row r="4710" spans="16:16" x14ac:dyDescent="0.25">
      <c r="P4710" s="4"/>
    </row>
    <row r="4711" spans="16:16" x14ac:dyDescent="0.25">
      <c r="P4711" s="4"/>
    </row>
    <row r="4712" spans="16:16" x14ac:dyDescent="0.25">
      <c r="P4712" s="4"/>
    </row>
    <row r="4713" spans="16:16" x14ac:dyDescent="0.25">
      <c r="P4713" s="4"/>
    </row>
    <row r="4714" spans="16:16" x14ac:dyDescent="0.25">
      <c r="P4714" s="4"/>
    </row>
    <row r="4715" spans="16:16" x14ac:dyDescent="0.25">
      <c r="P4715" s="4"/>
    </row>
    <row r="4716" spans="16:16" x14ac:dyDescent="0.25">
      <c r="P4716" s="4"/>
    </row>
    <row r="4717" spans="16:16" x14ac:dyDescent="0.25">
      <c r="P4717" s="4"/>
    </row>
    <row r="4718" spans="16:16" x14ac:dyDescent="0.25">
      <c r="P4718" s="4"/>
    </row>
    <row r="4719" spans="16:16" x14ac:dyDescent="0.25">
      <c r="P4719" s="4"/>
    </row>
    <row r="4720" spans="16:16" x14ac:dyDescent="0.25">
      <c r="P4720" s="4"/>
    </row>
    <row r="4721" spans="16:16" x14ac:dyDescent="0.25">
      <c r="P4721" s="4"/>
    </row>
    <row r="4722" spans="16:16" x14ac:dyDescent="0.25">
      <c r="P4722" s="4"/>
    </row>
    <row r="4723" spans="16:16" x14ac:dyDescent="0.25">
      <c r="P4723" s="4"/>
    </row>
    <row r="4724" spans="16:16" x14ac:dyDescent="0.25">
      <c r="P4724" s="4"/>
    </row>
    <row r="4725" spans="16:16" x14ac:dyDescent="0.25">
      <c r="P4725" s="4"/>
    </row>
    <row r="4726" spans="16:16" x14ac:dyDescent="0.25">
      <c r="P4726" s="4"/>
    </row>
    <row r="4727" spans="16:16" x14ac:dyDescent="0.25">
      <c r="P4727" s="4"/>
    </row>
    <row r="4728" spans="16:16" x14ac:dyDescent="0.25">
      <c r="P4728" s="4"/>
    </row>
    <row r="4729" spans="16:16" x14ac:dyDescent="0.25">
      <c r="P4729" s="4"/>
    </row>
    <row r="4730" spans="16:16" x14ac:dyDescent="0.25">
      <c r="P4730" s="4"/>
    </row>
    <row r="4731" spans="16:16" x14ac:dyDescent="0.25">
      <c r="P4731" s="4"/>
    </row>
    <row r="4732" spans="16:16" x14ac:dyDescent="0.25">
      <c r="P4732" s="4"/>
    </row>
    <row r="4733" spans="16:16" x14ac:dyDescent="0.25">
      <c r="P4733" s="4"/>
    </row>
    <row r="4734" spans="16:16" x14ac:dyDescent="0.25">
      <c r="P4734" s="4"/>
    </row>
    <row r="4735" spans="16:16" x14ac:dyDescent="0.25">
      <c r="P4735" s="4"/>
    </row>
    <row r="4736" spans="16:16" x14ac:dyDescent="0.25">
      <c r="P4736" s="4"/>
    </row>
    <row r="4737" spans="16:16" x14ac:dyDescent="0.25">
      <c r="P4737" s="4"/>
    </row>
    <row r="4738" spans="16:16" x14ac:dyDescent="0.25">
      <c r="P4738" s="4"/>
    </row>
    <row r="4739" spans="16:16" x14ac:dyDescent="0.25">
      <c r="P4739" s="4"/>
    </row>
    <row r="4740" spans="16:16" x14ac:dyDescent="0.25">
      <c r="P4740" s="4"/>
    </row>
    <row r="4741" spans="16:16" x14ac:dyDescent="0.25">
      <c r="P4741" s="4"/>
    </row>
    <row r="4742" spans="16:16" x14ac:dyDescent="0.25">
      <c r="P4742" s="4"/>
    </row>
    <row r="4743" spans="16:16" x14ac:dyDescent="0.25">
      <c r="P4743" s="4"/>
    </row>
    <row r="4744" spans="16:16" x14ac:dyDescent="0.25">
      <c r="P4744" s="4"/>
    </row>
    <row r="4745" spans="16:16" x14ac:dyDescent="0.25">
      <c r="P4745" s="4"/>
    </row>
    <row r="4746" spans="16:16" x14ac:dyDescent="0.25">
      <c r="P4746" s="4"/>
    </row>
    <row r="4747" spans="16:16" x14ac:dyDescent="0.25">
      <c r="P4747" s="4"/>
    </row>
    <row r="4748" spans="16:16" x14ac:dyDescent="0.25">
      <c r="P4748" s="4"/>
    </row>
    <row r="4749" spans="16:16" x14ac:dyDescent="0.25">
      <c r="P4749" s="4"/>
    </row>
    <row r="4750" spans="16:16" x14ac:dyDescent="0.25">
      <c r="P4750" s="4"/>
    </row>
    <row r="4751" spans="16:16" x14ac:dyDescent="0.25">
      <c r="P4751" s="4"/>
    </row>
    <row r="4752" spans="16:16" x14ac:dyDescent="0.25">
      <c r="P4752" s="4"/>
    </row>
    <row r="4753" spans="16:16" x14ac:dyDescent="0.25">
      <c r="P4753" s="4"/>
    </row>
    <row r="4754" spans="16:16" x14ac:dyDescent="0.25">
      <c r="P4754" s="4"/>
    </row>
    <row r="4755" spans="16:16" x14ac:dyDescent="0.25">
      <c r="P4755" s="4"/>
    </row>
    <row r="4756" spans="16:16" x14ac:dyDescent="0.25">
      <c r="P4756" s="4"/>
    </row>
    <row r="4757" spans="16:16" x14ac:dyDescent="0.25">
      <c r="P4757" s="4"/>
    </row>
    <row r="4758" spans="16:16" x14ac:dyDescent="0.25">
      <c r="P4758" s="4"/>
    </row>
    <row r="4759" spans="16:16" x14ac:dyDescent="0.25">
      <c r="P4759" s="4"/>
    </row>
    <row r="4760" spans="16:16" x14ac:dyDescent="0.25">
      <c r="P4760" s="4"/>
    </row>
    <row r="4761" spans="16:16" x14ac:dyDescent="0.25">
      <c r="P4761" s="4"/>
    </row>
    <row r="4762" spans="16:16" x14ac:dyDescent="0.25">
      <c r="P4762" s="4"/>
    </row>
    <row r="4763" spans="16:16" x14ac:dyDescent="0.25">
      <c r="P4763" s="4"/>
    </row>
    <row r="4764" spans="16:16" x14ac:dyDescent="0.25">
      <c r="P4764" s="4"/>
    </row>
    <row r="4765" spans="16:16" x14ac:dyDescent="0.25">
      <c r="P4765" s="4"/>
    </row>
    <row r="4766" spans="16:16" x14ac:dyDescent="0.25">
      <c r="P4766" s="4"/>
    </row>
    <row r="4767" spans="16:16" x14ac:dyDescent="0.25">
      <c r="P4767" s="4"/>
    </row>
    <row r="4768" spans="16:16" x14ac:dyDescent="0.25">
      <c r="P4768" s="4"/>
    </row>
    <row r="4769" spans="16:16" x14ac:dyDescent="0.25">
      <c r="P4769" s="4"/>
    </row>
    <row r="4770" spans="16:16" x14ac:dyDescent="0.25">
      <c r="P4770" s="4"/>
    </row>
    <row r="4771" spans="16:16" x14ac:dyDescent="0.25">
      <c r="P4771" s="4"/>
    </row>
    <row r="4772" spans="16:16" x14ac:dyDescent="0.25">
      <c r="P4772" s="4"/>
    </row>
    <row r="4773" spans="16:16" x14ac:dyDescent="0.25">
      <c r="P4773" s="4"/>
    </row>
    <row r="4774" spans="16:16" x14ac:dyDescent="0.25">
      <c r="P4774" s="4"/>
    </row>
    <row r="4775" spans="16:16" x14ac:dyDescent="0.25">
      <c r="P4775" s="4"/>
    </row>
    <row r="4776" spans="16:16" x14ac:dyDescent="0.25">
      <c r="P4776" s="4"/>
    </row>
    <row r="4777" spans="16:16" x14ac:dyDescent="0.25">
      <c r="P4777" s="4"/>
    </row>
    <row r="4778" spans="16:16" x14ac:dyDescent="0.25">
      <c r="P4778" s="4"/>
    </row>
    <row r="4779" spans="16:16" x14ac:dyDescent="0.25">
      <c r="P4779" s="4"/>
    </row>
    <row r="4780" spans="16:16" x14ac:dyDescent="0.25">
      <c r="P4780" s="4"/>
    </row>
    <row r="4781" spans="16:16" x14ac:dyDescent="0.25">
      <c r="P4781" s="4"/>
    </row>
    <row r="4782" spans="16:16" x14ac:dyDescent="0.25">
      <c r="P4782" s="4"/>
    </row>
    <row r="4783" spans="16:16" x14ac:dyDescent="0.25">
      <c r="P4783" s="4"/>
    </row>
    <row r="4784" spans="16:16" x14ac:dyDescent="0.25">
      <c r="P4784" s="4"/>
    </row>
    <row r="4785" spans="16:16" x14ac:dyDescent="0.25">
      <c r="P4785" s="4"/>
    </row>
    <row r="4786" spans="16:16" x14ac:dyDescent="0.25">
      <c r="P4786" s="4"/>
    </row>
    <row r="4787" spans="16:16" x14ac:dyDescent="0.25">
      <c r="P4787" s="4"/>
    </row>
    <row r="4788" spans="16:16" x14ac:dyDescent="0.25">
      <c r="P4788" s="4"/>
    </row>
    <row r="4789" spans="16:16" x14ac:dyDescent="0.25">
      <c r="P4789" s="4"/>
    </row>
    <row r="4790" spans="16:16" x14ac:dyDescent="0.25">
      <c r="P4790" s="4"/>
    </row>
    <row r="4791" spans="16:16" x14ac:dyDescent="0.25">
      <c r="P4791" s="4"/>
    </row>
    <row r="4792" spans="16:16" x14ac:dyDescent="0.25">
      <c r="P4792" s="4"/>
    </row>
    <row r="4793" spans="16:16" x14ac:dyDescent="0.25">
      <c r="P4793" s="4"/>
    </row>
    <row r="4794" spans="16:16" x14ac:dyDescent="0.25">
      <c r="P4794" s="4"/>
    </row>
    <row r="4795" spans="16:16" x14ac:dyDescent="0.25">
      <c r="P4795" s="4"/>
    </row>
    <row r="4796" spans="16:16" x14ac:dyDescent="0.25">
      <c r="P4796" s="4"/>
    </row>
    <row r="4797" spans="16:16" x14ac:dyDescent="0.25">
      <c r="P4797" s="4"/>
    </row>
    <row r="4798" spans="16:16" x14ac:dyDescent="0.25">
      <c r="P4798" s="4"/>
    </row>
    <row r="4799" spans="16:16" x14ac:dyDescent="0.25">
      <c r="P4799" s="4"/>
    </row>
    <row r="4800" spans="16:16" x14ac:dyDescent="0.25">
      <c r="P4800" s="4"/>
    </row>
    <row r="4801" spans="16:16" x14ac:dyDescent="0.25">
      <c r="P4801" s="4"/>
    </row>
    <row r="4802" spans="16:16" x14ac:dyDescent="0.25">
      <c r="P4802" s="4"/>
    </row>
    <row r="4803" spans="16:16" x14ac:dyDescent="0.25">
      <c r="P4803" s="4"/>
    </row>
    <row r="4804" spans="16:16" x14ac:dyDescent="0.25">
      <c r="P4804" s="4"/>
    </row>
    <row r="4805" spans="16:16" x14ac:dyDescent="0.25">
      <c r="P4805" s="4"/>
    </row>
    <row r="4806" spans="16:16" x14ac:dyDescent="0.25">
      <c r="P4806" s="4"/>
    </row>
    <row r="4807" spans="16:16" x14ac:dyDescent="0.25">
      <c r="P4807" s="4"/>
    </row>
    <row r="4808" spans="16:16" x14ac:dyDescent="0.25">
      <c r="P4808" s="4"/>
    </row>
    <row r="4809" spans="16:16" x14ac:dyDescent="0.25">
      <c r="P4809" s="4"/>
    </row>
    <row r="4810" spans="16:16" x14ac:dyDescent="0.25">
      <c r="P4810" s="4"/>
    </row>
    <row r="4811" spans="16:16" x14ac:dyDescent="0.25">
      <c r="P4811" s="4"/>
    </row>
    <row r="4812" spans="16:16" x14ac:dyDescent="0.25">
      <c r="P4812" s="4"/>
    </row>
    <row r="4813" spans="16:16" x14ac:dyDescent="0.25">
      <c r="P4813" s="4"/>
    </row>
    <row r="4814" spans="16:16" x14ac:dyDescent="0.25">
      <c r="P4814" s="4"/>
    </row>
    <row r="4815" spans="16:16" x14ac:dyDescent="0.25">
      <c r="P4815" s="4"/>
    </row>
    <row r="4816" spans="16:16" x14ac:dyDescent="0.25">
      <c r="P4816" s="4"/>
    </row>
    <row r="4817" spans="16:16" x14ac:dyDescent="0.25">
      <c r="P4817" s="4"/>
    </row>
    <row r="4818" spans="16:16" x14ac:dyDescent="0.25">
      <c r="P4818" s="4"/>
    </row>
    <row r="4819" spans="16:16" x14ac:dyDescent="0.25">
      <c r="P4819" s="4"/>
    </row>
    <row r="4820" spans="16:16" x14ac:dyDescent="0.25">
      <c r="P4820" s="4"/>
    </row>
    <row r="4821" spans="16:16" x14ac:dyDescent="0.25">
      <c r="P4821" s="4"/>
    </row>
    <row r="4822" spans="16:16" x14ac:dyDescent="0.25">
      <c r="P4822" s="4"/>
    </row>
    <row r="4823" spans="16:16" x14ac:dyDescent="0.25">
      <c r="P4823" s="4"/>
    </row>
    <row r="4824" spans="16:16" x14ac:dyDescent="0.25">
      <c r="P4824" s="4"/>
    </row>
    <row r="4825" spans="16:16" x14ac:dyDescent="0.25">
      <c r="P4825" s="4"/>
    </row>
    <row r="4826" spans="16:16" x14ac:dyDescent="0.25">
      <c r="P4826" s="4"/>
    </row>
    <row r="4827" spans="16:16" x14ac:dyDescent="0.25">
      <c r="P4827" s="4"/>
    </row>
    <row r="4828" spans="16:16" x14ac:dyDescent="0.25">
      <c r="P4828" s="4"/>
    </row>
    <row r="4829" spans="16:16" x14ac:dyDescent="0.25">
      <c r="P4829" s="4"/>
    </row>
    <row r="4830" spans="16:16" x14ac:dyDescent="0.25">
      <c r="P4830" s="4"/>
    </row>
    <row r="4831" spans="16:16" x14ac:dyDescent="0.25">
      <c r="P4831" s="4"/>
    </row>
    <row r="4832" spans="16:16" x14ac:dyDescent="0.25">
      <c r="P4832" s="4"/>
    </row>
    <row r="4833" spans="16:16" x14ac:dyDescent="0.25">
      <c r="P4833" s="4"/>
    </row>
    <row r="4834" spans="16:16" x14ac:dyDescent="0.25">
      <c r="P4834" s="4"/>
    </row>
    <row r="4835" spans="16:16" x14ac:dyDescent="0.25">
      <c r="P4835" s="4"/>
    </row>
    <row r="4836" spans="16:16" x14ac:dyDescent="0.25">
      <c r="P4836" s="4"/>
    </row>
    <row r="4837" spans="16:16" x14ac:dyDescent="0.25">
      <c r="P4837" s="4"/>
    </row>
    <row r="4838" spans="16:16" x14ac:dyDescent="0.25">
      <c r="P4838" s="4"/>
    </row>
    <row r="4839" spans="16:16" x14ac:dyDescent="0.25">
      <c r="P4839" s="4"/>
    </row>
    <row r="4840" spans="16:16" x14ac:dyDescent="0.25">
      <c r="P4840" s="4"/>
    </row>
    <row r="4841" spans="16:16" x14ac:dyDescent="0.25">
      <c r="P4841" s="4"/>
    </row>
    <row r="4842" spans="16:16" x14ac:dyDescent="0.25">
      <c r="P4842" s="4"/>
    </row>
    <row r="4843" spans="16:16" x14ac:dyDescent="0.25">
      <c r="P4843" s="4"/>
    </row>
    <row r="4844" spans="16:16" x14ac:dyDescent="0.25">
      <c r="P4844" s="4"/>
    </row>
    <row r="4845" spans="16:16" x14ac:dyDescent="0.25">
      <c r="P4845" s="4"/>
    </row>
    <row r="4846" spans="16:16" x14ac:dyDescent="0.25">
      <c r="P4846" s="4"/>
    </row>
    <row r="4847" spans="16:16" x14ac:dyDescent="0.25">
      <c r="P4847" s="4"/>
    </row>
    <row r="4848" spans="16:16" x14ac:dyDescent="0.25">
      <c r="P4848" s="4"/>
    </row>
    <row r="4849" spans="16:16" x14ac:dyDescent="0.25">
      <c r="P4849" s="4"/>
    </row>
    <row r="4850" spans="16:16" x14ac:dyDescent="0.25">
      <c r="P4850" s="4"/>
    </row>
    <row r="4851" spans="16:16" x14ac:dyDescent="0.25">
      <c r="P4851" s="4"/>
    </row>
    <row r="4852" spans="16:16" x14ac:dyDescent="0.25">
      <c r="P4852" s="4"/>
    </row>
    <row r="4853" spans="16:16" x14ac:dyDescent="0.25">
      <c r="P4853" s="4"/>
    </row>
    <row r="4854" spans="16:16" x14ac:dyDescent="0.25">
      <c r="P4854" s="4"/>
    </row>
    <row r="4855" spans="16:16" x14ac:dyDescent="0.25">
      <c r="P4855" s="4"/>
    </row>
    <row r="4856" spans="16:16" x14ac:dyDescent="0.25">
      <c r="P4856" s="4"/>
    </row>
    <row r="4857" spans="16:16" x14ac:dyDescent="0.25">
      <c r="P4857" s="4"/>
    </row>
    <row r="4858" spans="16:16" x14ac:dyDescent="0.25">
      <c r="P4858" s="4"/>
    </row>
    <row r="4859" spans="16:16" x14ac:dyDescent="0.25">
      <c r="P4859" s="4"/>
    </row>
    <row r="4860" spans="16:16" x14ac:dyDescent="0.25">
      <c r="P4860" s="4"/>
    </row>
    <row r="4861" spans="16:16" x14ac:dyDescent="0.25">
      <c r="P4861" s="4"/>
    </row>
    <row r="4862" spans="16:16" x14ac:dyDescent="0.25">
      <c r="P4862" s="4"/>
    </row>
    <row r="4863" spans="16:16" x14ac:dyDescent="0.25">
      <c r="P4863" s="4"/>
    </row>
    <row r="4864" spans="16:16" x14ac:dyDescent="0.25">
      <c r="P4864" s="4"/>
    </row>
    <row r="4865" spans="16:16" x14ac:dyDescent="0.25">
      <c r="P4865" s="4"/>
    </row>
    <row r="4866" spans="16:16" x14ac:dyDescent="0.25">
      <c r="P4866" s="4"/>
    </row>
    <row r="4867" spans="16:16" x14ac:dyDescent="0.25">
      <c r="P4867" s="4"/>
    </row>
    <row r="4868" spans="16:16" x14ac:dyDescent="0.25">
      <c r="P4868" s="4"/>
    </row>
    <row r="4869" spans="16:16" x14ac:dyDescent="0.25">
      <c r="P4869" s="4"/>
    </row>
    <row r="4870" spans="16:16" x14ac:dyDescent="0.25">
      <c r="P4870" s="4"/>
    </row>
    <row r="4871" spans="16:16" x14ac:dyDescent="0.25">
      <c r="P4871" s="4"/>
    </row>
    <row r="4872" spans="16:16" x14ac:dyDescent="0.25">
      <c r="P4872" s="4"/>
    </row>
    <row r="4873" spans="16:16" x14ac:dyDescent="0.25">
      <c r="P4873" s="4"/>
    </row>
    <row r="4874" spans="16:16" x14ac:dyDescent="0.25">
      <c r="P4874" s="4"/>
    </row>
    <row r="4875" spans="16:16" x14ac:dyDescent="0.25">
      <c r="P4875" s="4"/>
    </row>
    <row r="4876" spans="16:16" x14ac:dyDescent="0.25">
      <c r="P4876" s="4"/>
    </row>
    <row r="4877" spans="16:16" x14ac:dyDescent="0.25">
      <c r="P4877" s="4"/>
    </row>
    <row r="4878" spans="16:16" x14ac:dyDescent="0.25">
      <c r="P4878" s="4"/>
    </row>
    <row r="4879" spans="16:16" x14ac:dyDescent="0.25">
      <c r="P4879" s="4"/>
    </row>
    <row r="4880" spans="16:16" x14ac:dyDescent="0.25">
      <c r="P4880" s="4"/>
    </row>
    <row r="4881" spans="16:16" x14ac:dyDescent="0.25">
      <c r="P4881" s="4"/>
    </row>
    <row r="4882" spans="16:16" x14ac:dyDescent="0.25">
      <c r="P4882" s="4"/>
    </row>
    <row r="4883" spans="16:16" x14ac:dyDescent="0.25">
      <c r="P4883" s="4"/>
    </row>
    <row r="4884" spans="16:16" x14ac:dyDescent="0.25">
      <c r="P4884" s="4"/>
    </row>
    <row r="4885" spans="16:16" x14ac:dyDescent="0.25">
      <c r="P4885" s="4"/>
    </row>
    <row r="4886" spans="16:16" x14ac:dyDescent="0.25">
      <c r="P4886" s="4"/>
    </row>
    <row r="4887" spans="16:16" x14ac:dyDescent="0.25">
      <c r="P4887" s="4"/>
    </row>
    <row r="4888" spans="16:16" x14ac:dyDescent="0.25">
      <c r="P4888" s="4"/>
    </row>
    <row r="4889" spans="16:16" x14ac:dyDescent="0.25">
      <c r="P4889" s="4"/>
    </row>
    <row r="4890" spans="16:16" x14ac:dyDescent="0.25">
      <c r="P4890" s="4"/>
    </row>
    <row r="4891" spans="16:16" x14ac:dyDescent="0.25">
      <c r="P4891" s="4"/>
    </row>
    <row r="4892" spans="16:16" x14ac:dyDescent="0.25">
      <c r="P4892" s="4"/>
    </row>
    <row r="4893" spans="16:16" x14ac:dyDescent="0.25">
      <c r="P4893" s="4"/>
    </row>
    <row r="4894" spans="16:16" x14ac:dyDescent="0.25">
      <c r="P4894" s="4"/>
    </row>
    <row r="4895" spans="16:16" x14ac:dyDescent="0.25">
      <c r="P4895" s="4"/>
    </row>
    <row r="4896" spans="16:16" x14ac:dyDescent="0.25">
      <c r="P4896" s="4"/>
    </row>
    <row r="4897" spans="16:16" x14ac:dyDescent="0.25">
      <c r="P4897" s="4"/>
    </row>
    <row r="4898" spans="16:16" x14ac:dyDescent="0.25">
      <c r="P4898" s="4"/>
    </row>
    <row r="4899" spans="16:16" x14ac:dyDescent="0.25">
      <c r="P4899" s="4"/>
    </row>
    <row r="4900" spans="16:16" x14ac:dyDescent="0.25">
      <c r="P4900" s="4"/>
    </row>
    <row r="4901" spans="16:16" x14ac:dyDescent="0.25">
      <c r="P4901" s="4"/>
    </row>
    <row r="4902" spans="16:16" x14ac:dyDescent="0.25">
      <c r="P4902" s="4"/>
    </row>
    <row r="4903" spans="16:16" x14ac:dyDescent="0.25">
      <c r="P4903" s="4"/>
    </row>
    <row r="4904" spans="16:16" x14ac:dyDescent="0.25">
      <c r="P4904" s="4"/>
    </row>
    <row r="4905" spans="16:16" x14ac:dyDescent="0.25">
      <c r="P4905" s="4"/>
    </row>
    <row r="4906" spans="16:16" x14ac:dyDescent="0.25">
      <c r="P4906" s="4"/>
    </row>
    <row r="4907" spans="16:16" x14ac:dyDescent="0.25">
      <c r="P4907" s="4"/>
    </row>
    <row r="4908" spans="16:16" x14ac:dyDescent="0.25">
      <c r="P4908" s="4"/>
    </row>
    <row r="4909" spans="16:16" x14ac:dyDescent="0.25">
      <c r="P4909" s="4"/>
    </row>
    <row r="4910" spans="16:16" x14ac:dyDescent="0.25">
      <c r="P4910" s="4"/>
    </row>
    <row r="4911" spans="16:16" x14ac:dyDescent="0.25">
      <c r="P4911" s="4"/>
    </row>
    <row r="4912" spans="16:16" x14ac:dyDescent="0.25">
      <c r="P4912" s="4"/>
    </row>
    <row r="4913" spans="16:16" x14ac:dyDescent="0.25">
      <c r="P4913" s="4"/>
    </row>
    <row r="4914" spans="16:16" x14ac:dyDescent="0.25">
      <c r="P4914" s="4"/>
    </row>
    <row r="4915" spans="16:16" x14ac:dyDescent="0.25">
      <c r="P4915" s="4"/>
    </row>
    <row r="4916" spans="16:16" x14ac:dyDescent="0.25">
      <c r="P4916" s="4"/>
    </row>
    <row r="4917" spans="16:16" x14ac:dyDescent="0.25">
      <c r="P4917" s="4"/>
    </row>
    <row r="4918" spans="16:16" x14ac:dyDescent="0.25">
      <c r="P4918" s="4"/>
    </row>
    <row r="4919" spans="16:16" x14ac:dyDescent="0.25">
      <c r="P4919" s="4"/>
    </row>
    <row r="4920" spans="16:16" x14ac:dyDescent="0.25">
      <c r="P4920" s="4"/>
    </row>
    <row r="4921" spans="16:16" x14ac:dyDescent="0.25">
      <c r="P4921" s="4"/>
    </row>
    <row r="4922" spans="16:16" x14ac:dyDescent="0.25">
      <c r="P4922" s="4"/>
    </row>
    <row r="4923" spans="16:16" x14ac:dyDescent="0.25">
      <c r="P4923" s="4"/>
    </row>
    <row r="4924" spans="16:16" x14ac:dyDescent="0.25">
      <c r="P4924" s="4"/>
    </row>
    <row r="4925" spans="16:16" x14ac:dyDescent="0.25">
      <c r="P4925" s="4"/>
    </row>
    <row r="4926" spans="16:16" x14ac:dyDescent="0.25">
      <c r="P4926" s="4"/>
    </row>
    <row r="4927" spans="16:16" x14ac:dyDescent="0.25">
      <c r="P4927" s="4"/>
    </row>
    <row r="4928" spans="16:16" x14ac:dyDescent="0.25">
      <c r="P4928" s="4"/>
    </row>
    <row r="4929" spans="16:16" x14ac:dyDescent="0.25">
      <c r="P4929" s="4"/>
    </row>
    <row r="4930" spans="16:16" x14ac:dyDescent="0.25">
      <c r="P4930" s="4"/>
    </row>
    <row r="4931" spans="16:16" x14ac:dyDescent="0.25">
      <c r="P4931" s="4"/>
    </row>
    <row r="4932" spans="16:16" x14ac:dyDescent="0.25">
      <c r="P4932" s="4"/>
    </row>
    <row r="4933" spans="16:16" x14ac:dyDescent="0.25">
      <c r="P4933" s="4"/>
    </row>
    <row r="4934" spans="16:16" x14ac:dyDescent="0.25">
      <c r="P4934" s="4"/>
    </row>
    <row r="4935" spans="16:16" x14ac:dyDescent="0.25">
      <c r="P4935" s="4"/>
    </row>
    <row r="4936" spans="16:16" x14ac:dyDescent="0.25">
      <c r="P4936" s="4"/>
    </row>
    <row r="4937" spans="16:16" x14ac:dyDescent="0.25">
      <c r="P4937" s="4"/>
    </row>
    <row r="4938" spans="16:16" x14ac:dyDescent="0.25">
      <c r="P4938" s="4"/>
    </row>
    <row r="4939" spans="16:16" x14ac:dyDescent="0.25">
      <c r="P4939" s="4"/>
    </row>
    <row r="4940" spans="16:16" x14ac:dyDescent="0.25">
      <c r="P4940" s="4"/>
    </row>
    <row r="4941" spans="16:16" x14ac:dyDescent="0.25">
      <c r="P4941" s="4"/>
    </row>
    <row r="4942" spans="16:16" x14ac:dyDescent="0.25">
      <c r="P4942" s="4"/>
    </row>
    <row r="4943" spans="16:16" x14ac:dyDescent="0.25">
      <c r="P4943" s="4"/>
    </row>
    <row r="4944" spans="16:16" x14ac:dyDescent="0.25">
      <c r="P4944" s="4"/>
    </row>
    <row r="4945" spans="16:16" x14ac:dyDescent="0.25">
      <c r="P4945" s="4"/>
    </row>
    <row r="4946" spans="16:16" x14ac:dyDescent="0.25">
      <c r="P4946" s="4"/>
    </row>
    <row r="4947" spans="16:16" x14ac:dyDescent="0.25">
      <c r="P4947" s="4"/>
    </row>
    <row r="4948" spans="16:16" x14ac:dyDescent="0.25">
      <c r="P4948" s="4"/>
    </row>
    <row r="4949" spans="16:16" x14ac:dyDescent="0.25">
      <c r="P4949" s="4"/>
    </row>
    <row r="4950" spans="16:16" x14ac:dyDescent="0.25">
      <c r="P4950" s="4"/>
    </row>
    <row r="4951" spans="16:16" x14ac:dyDescent="0.25">
      <c r="P4951" s="4"/>
    </row>
    <row r="4952" spans="16:16" x14ac:dyDescent="0.25">
      <c r="P4952" s="4"/>
    </row>
    <row r="4953" spans="16:16" x14ac:dyDescent="0.25">
      <c r="P4953" s="4"/>
    </row>
    <row r="4954" spans="16:16" x14ac:dyDescent="0.25">
      <c r="P4954" s="4"/>
    </row>
    <row r="4955" spans="16:16" x14ac:dyDescent="0.25">
      <c r="P4955" s="4"/>
    </row>
    <row r="4956" spans="16:16" x14ac:dyDescent="0.25">
      <c r="P4956" s="4"/>
    </row>
    <row r="4957" spans="16:16" x14ac:dyDescent="0.25">
      <c r="P4957" s="4"/>
    </row>
    <row r="4958" spans="16:16" x14ac:dyDescent="0.25">
      <c r="P4958" s="4"/>
    </row>
    <row r="4959" spans="16:16" x14ac:dyDescent="0.25">
      <c r="P4959" s="4"/>
    </row>
    <row r="4960" spans="16:16" x14ac:dyDescent="0.25">
      <c r="P4960" s="4"/>
    </row>
    <row r="4961" spans="16:16" x14ac:dyDescent="0.25">
      <c r="P4961" s="4"/>
    </row>
    <row r="4962" spans="16:16" x14ac:dyDescent="0.25">
      <c r="P4962" s="4"/>
    </row>
    <row r="4963" spans="16:16" x14ac:dyDescent="0.25">
      <c r="P4963" s="4"/>
    </row>
    <row r="4964" spans="16:16" x14ac:dyDescent="0.25">
      <c r="P4964" s="4"/>
    </row>
    <row r="4965" spans="16:16" x14ac:dyDescent="0.25">
      <c r="P4965" s="4"/>
    </row>
    <row r="4966" spans="16:16" x14ac:dyDescent="0.25">
      <c r="P4966" s="4"/>
    </row>
    <row r="4967" spans="16:16" x14ac:dyDescent="0.25">
      <c r="P4967" s="4"/>
    </row>
    <row r="4968" spans="16:16" x14ac:dyDescent="0.25">
      <c r="P4968" s="4"/>
    </row>
    <row r="4969" spans="16:16" x14ac:dyDescent="0.25">
      <c r="P4969" s="4"/>
    </row>
    <row r="4970" spans="16:16" x14ac:dyDescent="0.25">
      <c r="P4970" s="4"/>
    </row>
    <row r="4971" spans="16:16" x14ac:dyDescent="0.25">
      <c r="P4971" s="4"/>
    </row>
    <row r="4972" spans="16:16" x14ac:dyDescent="0.25">
      <c r="P4972" s="4"/>
    </row>
    <row r="4973" spans="16:16" x14ac:dyDescent="0.25">
      <c r="P4973" s="4"/>
    </row>
    <row r="4974" spans="16:16" x14ac:dyDescent="0.25">
      <c r="P4974" s="4"/>
    </row>
    <row r="4975" spans="16:16" x14ac:dyDescent="0.25">
      <c r="P4975" s="4"/>
    </row>
    <row r="4976" spans="16:16" x14ac:dyDescent="0.25">
      <c r="P4976" s="4"/>
    </row>
    <row r="4977" spans="16:16" x14ac:dyDescent="0.25">
      <c r="P4977" s="4"/>
    </row>
    <row r="4978" spans="16:16" x14ac:dyDescent="0.25">
      <c r="P4978" s="4"/>
    </row>
    <row r="4979" spans="16:16" x14ac:dyDescent="0.25">
      <c r="P4979" s="4"/>
    </row>
    <row r="4980" spans="16:16" x14ac:dyDescent="0.25">
      <c r="P4980" s="4"/>
    </row>
    <row r="4981" spans="16:16" x14ac:dyDescent="0.25">
      <c r="P4981" s="4"/>
    </row>
    <row r="4982" spans="16:16" x14ac:dyDescent="0.25">
      <c r="P4982" s="4"/>
    </row>
    <row r="4983" spans="16:16" x14ac:dyDescent="0.25">
      <c r="P4983" s="4"/>
    </row>
    <row r="4984" spans="16:16" x14ac:dyDescent="0.25">
      <c r="P4984" s="4"/>
    </row>
    <row r="4985" spans="16:16" x14ac:dyDescent="0.25">
      <c r="P4985" s="4"/>
    </row>
    <row r="4986" spans="16:16" x14ac:dyDescent="0.25">
      <c r="P4986" s="4"/>
    </row>
    <row r="4987" spans="16:16" x14ac:dyDescent="0.25">
      <c r="P4987" s="4"/>
    </row>
    <row r="4988" spans="16:16" x14ac:dyDescent="0.25">
      <c r="P4988" s="4"/>
    </row>
    <row r="4989" spans="16:16" x14ac:dyDescent="0.25">
      <c r="P4989" s="4"/>
    </row>
    <row r="4990" spans="16:16" x14ac:dyDescent="0.25">
      <c r="P4990" s="4"/>
    </row>
    <row r="4991" spans="16:16" x14ac:dyDescent="0.25">
      <c r="P4991" s="4"/>
    </row>
    <row r="4992" spans="16:16" x14ac:dyDescent="0.25">
      <c r="P4992" s="4"/>
    </row>
    <row r="4993" spans="16:16" x14ac:dyDescent="0.25">
      <c r="P4993" s="4"/>
    </row>
    <row r="4994" spans="16:16" x14ac:dyDescent="0.25">
      <c r="P4994" s="4"/>
    </row>
    <row r="4995" spans="16:16" x14ac:dyDescent="0.25">
      <c r="P4995" s="4"/>
    </row>
    <row r="4996" spans="16:16" x14ac:dyDescent="0.25">
      <c r="P4996" s="4"/>
    </row>
    <row r="4997" spans="16:16" x14ac:dyDescent="0.25">
      <c r="P4997" s="4"/>
    </row>
    <row r="4998" spans="16:16" x14ac:dyDescent="0.25">
      <c r="P4998" s="4"/>
    </row>
    <row r="4999" spans="16:16" x14ac:dyDescent="0.25">
      <c r="P4999" s="4"/>
    </row>
    <row r="5000" spans="16:16" x14ac:dyDescent="0.25">
      <c r="P5000" s="4"/>
    </row>
    <row r="5001" spans="16:16" x14ac:dyDescent="0.25">
      <c r="P5001" s="4"/>
    </row>
    <row r="5002" spans="16:16" x14ac:dyDescent="0.25">
      <c r="P5002" s="4"/>
    </row>
    <row r="5003" spans="16:16" x14ac:dyDescent="0.25">
      <c r="P5003" s="4"/>
    </row>
    <row r="5004" spans="16:16" x14ac:dyDescent="0.25">
      <c r="P5004" s="4"/>
    </row>
    <row r="5005" spans="16:16" x14ac:dyDescent="0.25">
      <c r="P5005" s="4"/>
    </row>
    <row r="5006" spans="16:16" x14ac:dyDescent="0.25">
      <c r="P5006" s="4"/>
    </row>
    <row r="5007" spans="16:16" x14ac:dyDescent="0.25">
      <c r="P5007" s="4"/>
    </row>
    <row r="5008" spans="16:16" x14ac:dyDescent="0.25">
      <c r="P5008" s="4"/>
    </row>
    <row r="5009" spans="16:16" x14ac:dyDescent="0.25">
      <c r="P5009" s="4"/>
    </row>
    <row r="5010" spans="16:16" x14ac:dyDescent="0.25">
      <c r="P5010" s="4"/>
    </row>
    <row r="5011" spans="16:16" x14ac:dyDescent="0.25">
      <c r="P5011" s="4"/>
    </row>
    <row r="5012" spans="16:16" x14ac:dyDescent="0.25">
      <c r="P5012" s="4"/>
    </row>
    <row r="5013" spans="16:16" x14ac:dyDescent="0.25">
      <c r="P5013" s="4"/>
    </row>
    <row r="5014" spans="16:16" x14ac:dyDescent="0.25">
      <c r="P5014" s="4"/>
    </row>
    <row r="5015" spans="16:16" x14ac:dyDescent="0.25">
      <c r="P5015" s="4"/>
    </row>
    <row r="5016" spans="16:16" x14ac:dyDescent="0.25">
      <c r="P5016" s="4"/>
    </row>
    <row r="5017" spans="16:16" x14ac:dyDescent="0.25">
      <c r="P5017" s="4"/>
    </row>
    <row r="5018" spans="16:16" x14ac:dyDescent="0.25">
      <c r="P5018" s="4"/>
    </row>
    <row r="5019" spans="16:16" x14ac:dyDescent="0.25">
      <c r="P5019" s="4"/>
    </row>
    <row r="5020" spans="16:16" x14ac:dyDescent="0.25">
      <c r="P5020" s="4"/>
    </row>
    <row r="5021" spans="16:16" x14ac:dyDescent="0.25">
      <c r="P5021" s="4"/>
    </row>
    <row r="5022" spans="16:16" x14ac:dyDescent="0.25">
      <c r="P5022" s="4"/>
    </row>
    <row r="5023" spans="16:16" x14ac:dyDescent="0.25">
      <c r="P5023" s="4"/>
    </row>
    <row r="5024" spans="16:16" x14ac:dyDescent="0.25">
      <c r="P5024" s="4"/>
    </row>
    <row r="5025" spans="16:16" x14ac:dyDescent="0.25">
      <c r="P5025" s="4"/>
    </row>
    <row r="5026" spans="16:16" x14ac:dyDescent="0.25">
      <c r="P5026" s="4"/>
    </row>
    <row r="5027" spans="16:16" x14ac:dyDescent="0.25">
      <c r="P5027" s="4"/>
    </row>
    <row r="5028" spans="16:16" x14ac:dyDescent="0.25">
      <c r="P5028" s="4"/>
    </row>
    <row r="5029" spans="16:16" x14ac:dyDescent="0.25">
      <c r="P5029" s="4"/>
    </row>
    <row r="5030" spans="16:16" x14ac:dyDescent="0.25">
      <c r="P5030" s="4"/>
    </row>
    <row r="5031" spans="16:16" x14ac:dyDescent="0.25">
      <c r="P5031" s="4"/>
    </row>
    <row r="5032" spans="16:16" x14ac:dyDescent="0.25">
      <c r="P5032" s="4"/>
    </row>
    <row r="5033" spans="16:16" x14ac:dyDescent="0.25">
      <c r="P5033" s="4"/>
    </row>
    <row r="5034" spans="16:16" x14ac:dyDescent="0.25">
      <c r="P5034" s="4"/>
    </row>
    <row r="5035" spans="16:16" x14ac:dyDescent="0.25">
      <c r="P5035" s="4"/>
    </row>
    <row r="5036" spans="16:16" x14ac:dyDescent="0.25">
      <c r="P5036" s="4"/>
    </row>
    <row r="5037" spans="16:16" x14ac:dyDescent="0.25">
      <c r="P5037" s="4"/>
    </row>
    <row r="5038" spans="16:16" x14ac:dyDescent="0.25">
      <c r="P5038" s="4"/>
    </row>
    <row r="5039" spans="16:16" x14ac:dyDescent="0.25">
      <c r="P5039" s="4"/>
    </row>
    <row r="5040" spans="16:16" x14ac:dyDescent="0.25">
      <c r="P5040" s="4"/>
    </row>
    <row r="5041" spans="16:16" x14ac:dyDescent="0.25">
      <c r="P5041" s="4"/>
    </row>
    <row r="5042" spans="16:16" x14ac:dyDescent="0.25">
      <c r="P5042" s="4"/>
    </row>
    <row r="5043" spans="16:16" x14ac:dyDescent="0.25">
      <c r="P5043" s="4"/>
    </row>
    <row r="5044" spans="16:16" x14ac:dyDescent="0.25">
      <c r="P5044" s="4"/>
    </row>
    <row r="5045" spans="16:16" x14ac:dyDescent="0.25">
      <c r="P5045" s="4"/>
    </row>
    <row r="5046" spans="16:16" x14ac:dyDescent="0.25">
      <c r="P5046" s="4"/>
    </row>
    <row r="5047" spans="16:16" x14ac:dyDescent="0.25">
      <c r="P5047" s="4"/>
    </row>
    <row r="5048" spans="16:16" x14ac:dyDescent="0.25">
      <c r="P5048" s="4"/>
    </row>
    <row r="5049" spans="16:16" x14ac:dyDescent="0.25">
      <c r="P5049" s="4"/>
    </row>
    <row r="5050" spans="16:16" x14ac:dyDescent="0.25">
      <c r="P5050" s="4"/>
    </row>
    <row r="5051" spans="16:16" x14ac:dyDescent="0.25">
      <c r="P5051" s="4"/>
    </row>
    <row r="5052" spans="16:16" x14ac:dyDescent="0.25">
      <c r="P5052" s="4"/>
    </row>
    <row r="5053" spans="16:16" x14ac:dyDescent="0.25">
      <c r="P5053" s="4"/>
    </row>
    <row r="5054" spans="16:16" x14ac:dyDescent="0.25">
      <c r="P5054" s="4"/>
    </row>
    <row r="5055" spans="16:16" x14ac:dyDescent="0.25">
      <c r="P5055" s="4"/>
    </row>
    <row r="5056" spans="16:16" x14ac:dyDescent="0.25">
      <c r="P5056" s="4"/>
    </row>
    <row r="5057" spans="16:16" x14ac:dyDescent="0.25">
      <c r="P5057" s="4"/>
    </row>
    <row r="5058" spans="16:16" x14ac:dyDescent="0.25">
      <c r="P5058" s="4"/>
    </row>
    <row r="5059" spans="16:16" x14ac:dyDescent="0.25">
      <c r="P5059" s="4"/>
    </row>
    <row r="5060" spans="16:16" x14ac:dyDescent="0.25">
      <c r="P5060" s="4"/>
    </row>
    <row r="5061" spans="16:16" x14ac:dyDescent="0.25">
      <c r="P5061" s="4"/>
    </row>
    <row r="5062" spans="16:16" x14ac:dyDescent="0.25">
      <c r="P5062" s="4"/>
    </row>
    <row r="5063" spans="16:16" x14ac:dyDescent="0.25">
      <c r="P5063" s="4"/>
    </row>
    <row r="5064" spans="16:16" x14ac:dyDescent="0.25">
      <c r="P5064" s="4"/>
    </row>
    <row r="5065" spans="16:16" x14ac:dyDescent="0.25">
      <c r="P5065" s="4"/>
    </row>
    <row r="5066" spans="16:16" x14ac:dyDescent="0.25">
      <c r="P5066" s="4"/>
    </row>
    <row r="5067" spans="16:16" x14ac:dyDescent="0.25">
      <c r="P5067" s="4"/>
    </row>
    <row r="5068" spans="16:16" x14ac:dyDescent="0.25">
      <c r="P5068" s="4"/>
    </row>
    <row r="5069" spans="16:16" x14ac:dyDescent="0.25">
      <c r="P5069" s="4"/>
    </row>
    <row r="5070" spans="16:16" x14ac:dyDescent="0.25">
      <c r="P5070" s="4"/>
    </row>
    <row r="5071" spans="16:16" x14ac:dyDescent="0.25">
      <c r="P5071" s="4"/>
    </row>
    <row r="5072" spans="16:16" x14ac:dyDescent="0.25">
      <c r="P5072" s="4"/>
    </row>
    <row r="5073" spans="16:16" x14ac:dyDescent="0.25">
      <c r="P5073" s="4"/>
    </row>
    <row r="5074" spans="16:16" x14ac:dyDescent="0.25">
      <c r="P5074" s="4"/>
    </row>
    <row r="5075" spans="16:16" x14ac:dyDescent="0.25">
      <c r="P5075" s="4"/>
    </row>
    <row r="5076" spans="16:16" x14ac:dyDescent="0.25">
      <c r="P5076" s="4"/>
    </row>
    <row r="5077" spans="16:16" x14ac:dyDescent="0.25">
      <c r="P5077" s="4"/>
    </row>
    <row r="5078" spans="16:16" x14ac:dyDescent="0.25">
      <c r="P5078" s="4"/>
    </row>
    <row r="5079" spans="16:16" x14ac:dyDescent="0.25">
      <c r="P5079" s="4"/>
    </row>
    <row r="5080" spans="16:16" x14ac:dyDescent="0.25">
      <c r="P5080" s="4"/>
    </row>
    <row r="5081" spans="16:16" x14ac:dyDescent="0.25">
      <c r="P5081" s="4"/>
    </row>
    <row r="5082" spans="16:16" x14ac:dyDescent="0.25">
      <c r="P5082" s="4"/>
    </row>
    <row r="5083" spans="16:16" x14ac:dyDescent="0.25">
      <c r="P5083" s="4"/>
    </row>
    <row r="5084" spans="16:16" x14ac:dyDescent="0.25">
      <c r="P5084" s="4"/>
    </row>
    <row r="5085" spans="16:16" x14ac:dyDescent="0.25">
      <c r="P5085" s="4"/>
    </row>
    <row r="5086" spans="16:16" x14ac:dyDescent="0.25">
      <c r="P5086" s="4"/>
    </row>
    <row r="5087" spans="16:16" x14ac:dyDescent="0.25">
      <c r="P5087" s="4"/>
    </row>
    <row r="5088" spans="16:16" x14ac:dyDescent="0.25">
      <c r="P5088" s="4"/>
    </row>
    <row r="5089" spans="16:16" x14ac:dyDescent="0.25">
      <c r="P5089" s="4"/>
    </row>
    <row r="5090" spans="16:16" x14ac:dyDescent="0.25">
      <c r="P5090" s="4"/>
    </row>
    <row r="5091" spans="16:16" x14ac:dyDescent="0.25">
      <c r="P5091" s="4"/>
    </row>
    <row r="5092" spans="16:16" x14ac:dyDescent="0.25">
      <c r="P5092" s="4"/>
    </row>
    <row r="5093" spans="16:16" x14ac:dyDescent="0.25">
      <c r="P5093" s="4"/>
    </row>
    <row r="5094" spans="16:16" x14ac:dyDescent="0.25">
      <c r="P5094" s="4"/>
    </row>
    <row r="5095" spans="16:16" x14ac:dyDescent="0.25">
      <c r="P5095" s="4"/>
    </row>
    <row r="5096" spans="16:16" x14ac:dyDescent="0.25">
      <c r="P5096" s="4"/>
    </row>
    <row r="5097" spans="16:16" x14ac:dyDescent="0.25">
      <c r="P5097" s="4"/>
    </row>
    <row r="5098" spans="16:16" x14ac:dyDescent="0.25">
      <c r="P5098" s="4"/>
    </row>
    <row r="5099" spans="16:16" x14ac:dyDescent="0.25">
      <c r="P5099" s="4"/>
    </row>
    <row r="5100" spans="16:16" x14ac:dyDescent="0.25">
      <c r="P5100" s="4"/>
    </row>
    <row r="5101" spans="16:16" x14ac:dyDescent="0.25">
      <c r="P5101" s="4"/>
    </row>
    <row r="5102" spans="16:16" x14ac:dyDescent="0.25">
      <c r="P5102" s="4"/>
    </row>
    <row r="5103" spans="16:16" x14ac:dyDescent="0.25">
      <c r="P5103" s="4"/>
    </row>
    <row r="5104" spans="16:16" x14ac:dyDescent="0.25">
      <c r="P5104" s="4"/>
    </row>
    <row r="5105" spans="16:16" x14ac:dyDescent="0.25">
      <c r="P5105" s="4"/>
    </row>
    <row r="5106" spans="16:16" x14ac:dyDescent="0.25">
      <c r="P5106" s="4"/>
    </row>
    <row r="5107" spans="16:16" x14ac:dyDescent="0.25">
      <c r="P5107" s="4"/>
    </row>
    <row r="5108" spans="16:16" x14ac:dyDescent="0.25">
      <c r="P5108" s="4"/>
    </row>
    <row r="5109" spans="16:16" x14ac:dyDescent="0.25">
      <c r="P5109" s="4"/>
    </row>
    <row r="5110" spans="16:16" x14ac:dyDescent="0.25">
      <c r="P5110" s="4"/>
    </row>
    <row r="5111" spans="16:16" x14ac:dyDescent="0.25">
      <c r="P5111" s="4"/>
    </row>
    <row r="5112" spans="16:16" x14ac:dyDescent="0.25">
      <c r="P5112" s="4"/>
    </row>
    <row r="5113" spans="16:16" x14ac:dyDescent="0.25">
      <c r="P5113" s="4"/>
    </row>
    <row r="5114" spans="16:16" x14ac:dyDescent="0.25">
      <c r="P5114" s="4"/>
    </row>
    <row r="5115" spans="16:16" x14ac:dyDescent="0.25">
      <c r="P5115" s="4"/>
    </row>
    <row r="5116" spans="16:16" x14ac:dyDescent="0.25">
      <c r="P5116" s="4"/>
    </row>
    <row r="5117" spans="16:16" x14ac:dyDescent="0.25">
      <c r="P5117" s="4"/>
    </row>
    <row r="5118" spans="16:16" x14ac:dyDescent="0.25">
      <c r="P5118" s="4"/>
    </row>
    <row r="5119" spans="16:16" x14ac:dyDescent="0.25">
      <c r="P5119" s="4"/>
    </row>
    <row r="5120" spans="16:16" x14ac:dyDescent="0.25">
      <c r="P5120" s="4"/>
    </row>
    <row r="5121" spans="16:16" x14ac:dyDescent="0.25">
      <c r="P5121" s="4"/>
    </row>
    <row r="5122" spans="16:16" x14ac:dyDescent="0.25">
      <c r="P5122" s="4"/>
    </row>
    <row r="5123" spans="16:16" x14ac:dyDescent="0.25">
      <c r="P5123" s="4"/>
    </row>
    <row r="5124" spans="16:16" x14ac:dyDescent="0.25">
      <c r="P5124" s="4"/>
    </row>
    <row r="5125" spans="16:16" x14ac:dyDescent="0.25">
      <c r="P5125" s="4"/>
    </row>
    <row r="5126" spans="16:16" x14ac:dyDescent="0.25">
      <c r="P5126" s="4"/>
    </row>
    <row r="5127" spans="16:16" x14ac:dyDescent="0.25">
      <c r="P5127" s="4"/>
    </row>
    <row r="5128" spans="16:16" x14ac:dyDescent="0.25">
      <c r="P5128" s="4"/>
    </row>
    <row r="5129" spans="16:16" x14ac:dyDescent="0.25">
      <c r="P5129" s="4"/>
    </row>
    <row r="5130" spans="16:16" x14ac:dyDescent="0.25">
      <c r="P5130" s="4"/>
    </row>
    <row r="5131" spans="16:16" x14ac:dyDescent="0.25">
      <c r="P5131" s="4"/>
    </row>
    <row r="5132" spans="16:16" x14ac:dyDescent="0.25">
      <c r="P5132" s="4"/>
    </row>
    <row r="5133" spans="16:16" x14ac:dyDescent="0.25">
      <c r="P5133" s="4"/>
    </row>
    <row r="5134" spans="16:16" x14ac:dyDescent="0.25">
      <c r="P5134" s="4"/>
    </row>
    <row r="5135" spans="16:16" x14ac:dyDescent="0.25">
      <c r="P5135" s="4"/>
    </row>
    <row r="5136" spans="16:16" x14ac:dyDescent="0.25">
      <c r="P5136" s="4"/>
    </row>
    <row r="5137" spans="16:16" x14ac:dyDescent="0.25">
      <c r="P5137" s="4"/>
    </row>
    <row r="5138" spans="16:16" x14ac:dyDescent="0.25">
      <c r="P5138" s="4"/>
    </row>
    <row r="5139" spans="16:16" x14ac:dyDescent="0.25">
      <c r="P5139" s="4"/>
    </row>
    <row r="5140" spans="16:16" x14ac:dyDescent="0.25">
      <c r="P5140" s="4"/>
    </row>
    <row r="5141" spans="16:16" x14ac:dyDescent="0.25">
      <c r="P5141" s="4"/>
    </row>
    <row r="5142" spans="16:16" x14ac:dyDescent="0.25">
      <c r="P5142" s="4"/>
    </row>
    <row r="5143" spans="16:16" x14ac:dyDescent="0.25">
      <c r="P5143" s="4"/>
    </row>
    <row r="5144" spans="16:16" x14ac:dyDescent="0.25">
      <c r="P5144" s="4"/>
    </row>
    <row r="5145" spans="16:16" x14ac:dyDescent="0.25">
      <c r="P5145" s="4"/>
    </row>
    <row r="5146" spans="16:16" x14ac:dyDescent="0.25">
      <c r="P5146" s="4"/>
    </row>
    <row r="5147" spans="16:16" x14ac:dyDescent="0.25">
      <c r="P5147" s="4"/>
    </row>
    <row r="5148" spans="16:16" x14ac:dyDescent="0.25">
      <c r="P5148" s="4"/>
    </row>
    <row r="5149" spans="16:16" x14ac:dyDescent="0.25">
      <c r="P5149" s="4"/>
    </row>
    <row r="5150" spans="16:16" x14ac:dyDescent="0.25">
      <c r="P5150" s="4"/>
    </row>
    <row r="5151" spans="16:16" x14ac:dyDescent="0.25">
      <c r="P5151" s="4"/>
    </row>
    <row r="5152" spans="16:16" x14ac:dyDescent="0.25">
      <c r="P5152" s="4"/>
    </row>
    <row r="5153" spans="16:16" x14ac:dyDescent="0.25">
      <c r="P5153" s="4"/>
    </row>
    <row r="5154" spans="16:16" x14ac:dyDescent="0.25">
      <c r="P5154" s="4"/>
    </row>
    <row r="5155" spans="16:16" x14ac:dyDescent="0.25">
      <c r="P5155" s="4"/>
    </row>
    <row r="5156" spans="16:16" x14ac:dyDescent="0.25">
      <c r="P5156" s="4"/>
    </row>
    <row r="5157" spans="16:16" x14ac:dyDescent="0.25">
      <c r="P5157" s="4"/>
    </row>
    <row r="5158" spans="16:16" x14ac:dyDescent="0.25">
      <c r="P5158" s="4"/>
    </row>
    <row r="5159" spans="16:16" x14ac:dyDescent="0.25">
      <c r="P5159" s="4"/>
    </row>
    <row r="5160" spans="16:16" x14ac:dyDescent="0.25">
      <c r="P5160" s="4"/>
    </row>
    <row r="5161" spans="16:16" x14ac:dyDescent="0.25">
      <c r="P5161" s="4"/>
    </row>
    <row r="5162" spans="16:16" x14ac:dyDescent="0.25">
      <c r="P5162" s="4"/>
    </row>
    <row r="5163" spans="16:16" x14ac:dyDescent="0.25">
      <c r="P5163" s="4"/>
    </row>
    <row r="5164" spans="16:16" x14ac:dyDescent="0.25">
      <c r="P5164" s="4"/>
    </row>
    <row r="5165" spans="16:16" x14ac:dyDescent="0.25">
      <c r="P5165" s="4"/>
    </row>
    <row r="5166" spans="16:16" x14ac:dyDescent="0.25">
      <c r="P5166" s="4"/>
    </row>
    <row r="5167" spans="16:16" x14ac:dyDescent="0.25">
      <c r="P5167" s="4"/>
    </row>
    <row r="5168" spans="16:16" x14ac:dyDescent="0.25">
      <c r="P5168" s="4"/>
    </row>
    <row r="5169" spans="16:16" x14ac:dyDescent="0.25">
      <c r="P5169" s="4"/>
    </row>
    <row r="5170" spans="16:16" x14ac:dyDescent="0.25">
      <c r="P5170" s="4"/>
    </row>
    <row r="5171" spans="16:16" x14ac:dyDescent="0.25">
      <c r="P5171" s="4"/>
    </row>
    <row r="5172" spans="16:16" x14ac:dyDescent="0.25">
      <c r="P5172" s="4"/>
    </row>
    <row r="5173" spans="16:16" x14ac:dyDescent="0.25">
      <c r="P5173" s="4"/>
    </row>
    <row r="5174" spans="16:16" x14ac:dyDescent="0.25">
      <c r="P5174" s="4"/>
    </row>
    <row r="5175" spans="16:16" x14ac:dyDescent="0.25">
      <c r="P5175" s="4"/>
    </row>
    <row r="5176" spans="16:16" x14ac:dyDescent="0.25">
      <c r="P5176" s="4"/>
    </row>
    <row r="5177" spans="16:16" x14ac:dyDescent="0.25">
      <c r="P5177" s="4"/>
    </row>
    <row r="5178" spans="16:16" x14ac:dyDescent="0.25">
      <c r="P5178" s="4"/>
    </row>
    <row r="5179" spans="16:16" x14ac:dyDescent="0.25">
      <c r="P5179" s="4"/>
    </row>
    <row r="5180" spans="16:16" x14ac:dyDescent="0.25">
      <c r="P5180" s="4"/>
    </row>
    <row r="5181" spans="16:16" x14ac:dyDescent="0.25">
      <c r="P5181" s="4"/>
    </row>
    <row r="5182" spans="16:16" x14ac:dyDescent="0.25">
      <c r="P5182" s="4"/>
    </row>
    <row r="5183" spans="16:16" x14ac:dyDescent="0.25">
      <c r="P5183" s="4"/>
    </row>
    <row r="5184" spans="16:16" x14ac:dyDescent="0.25">
      <c r="P5184" s="4"/>
    </row>
    <row r="5185" spans="16:16" x14ac:dyDescent="0.25">
      <c r="P5185" s="4"/>
    </row>
    <row r="5186" spans="16:16" x14ac:dyDescent="0.25">
      <c r="P5186" s="4"/>
    </row>
    <row r="5187" spans="16:16" x14ac:dyDescent="0.25">
      <c r="P5187" s="4"/>
    </row>
    <row r="5188" spans="16:16" x14ac:dyDescent="0.25">
      <c r="P5188" s="4"/>
    </row>
    <row r="5189" spans="16:16" x14ac:dyDescent="0.25">
      <c r="P5189" s="4"/>
    </row>
    <row r="5190" spans="16:16" x14ac:dyDescent="0.25">
      <c r="P5190" s="4"/>
    </row>
    <row r="5191" spans="16:16" x14ac:dyDescent="0.25">
      <c r="P5191" s="4"/>
    </row>
    <row r="5192" spans="16:16" x14ac:dyDescent="0.25">
      <c r="P5192" s="4"/>
    </row>
    <row r="5193" spans="16:16" x14ac:dyDescent="0.25">
      <c r="P5193" s="4"/>
    </row>
    <row r="5194" spans="16:16" x14ac:dyDescent="0.25">
      <c r="P5194" s="4"/>
    </row>
    <row r="5195" spans="16:16" x14ac:dyDescent="0.25">
      <c r="P5195" s="4"/>
    </row>
    <row r="5196" spans="16:16" x14ac:dyDescent="0.25">
      <c r="P5196" s="4"/>
    </row>
    <row r="5197" spans="16:16" x14ac:dyDescent="0.25">
      <c r="P5197" s="4"/>
    </row>
    <row r="5198" spans="16:16" x14ac:dyDescent="0.25">
      <c r="P5198" s="4"/>
    </row>
    <row r="5199" spans="16:16" x14ac:dyDescent="0.25">
      <c r="P5199" s="4"/>
    </row>
    <row r="5200" spans="16:16" x14ac:dyDescent="0.25">
      <c r="P5200" s="4"/>
    </row>
    <row r="5201" spans="16:16" x14ac:dyDescent="0.25">
      <c r="P5201" s="4"/>
    </row>
    <row r="5202" spans="16:16" x14ac:dyDescent="0.25">
      <c r="P5202" s="4"/>
    </row>
    <row r="5203" spans="16:16" x14ac:dyDescent="0.25">
      <c r="P5203" s="4"/>
    </row>
    <row r="5204" spans="16:16" x14ac:dyDescent="0.25">
      <c r="P5204" s="4"/>
    </row>
    <row r="5205" spans="16:16" x14ac:dyDescent="0.25">
      <c r="P5205" s="4"/>
    </row>
    <row r="5206" spans="16:16" x14ac:dyDescent="0.25">
      <c r="P5206" s="4"/>
    </row>
    <row r="5207" spans="16:16" x14ac:dyDescent="0.25">
      <c r="P5207" s="4"/>
    </row>
    <row r="5208" spans="16:16" x14ac:dyDescent="0.25">
      <c r="P5208" s="4"/>
    </row>
    <row r="5209" spans="16:16" x14ac:dyDescent="0.25">
      <c r="P5209" s="4"/>
    </row>
    <row r="5210" spans="16:16" x14ac:dyDescent="0.25">
      <c r="P5210" s="4"/>
    </row>
    <row r="5211" spans="16:16" x14ac:dyDescent="0.25">
      <c r="P5211" s="4"/>
    </row>
    <row r="5212" spans="16:16" x14ac:dyDescent="0.25">
      <c r="P5212" s="4"/>
    </row>
    <row r="5213" spans="16:16" x14ac:dyDescent="0.25">
      <c r="P5213" s="4"/>
    </row>
    <row r="5214" spans="16:16" x14ac:dyDescent="0.25">
      <c r="P5214" s="4"/>
    </row>
    <row r="5215" spans="16:16" x14ac:dyDescent="0.25">
      <c r="P5215" s="4"/>
    </row>
    <row r="5216" spans="16:16" x14ac:dyDescent="0.25">
      <c r="P5216" s="4"/>
    </row>
    <row r="5217" spans="16:16" x14ac:dyDescent="0.25">
      <c r="P5217" s="4"/>
    </row>
    <row r="5218" spans="16:16" x14ac:dyDescent="0.25">
      <c r="P5218" s="4"/>
    </row>
    <row r="5219" spans="16:16" x14ac:dyDescent="0.25">
      <c r="P5219" s="4"/>
    </row>
    <row r="5220" spans="16:16" x14ac:dyDescent="0.25">
      <c r="P5220" s="4"/>
    </row>
    <row r="5221" spans="16:16" x14ac:dyDescent="0.25">
      <c r="P5221" s="4"/>
    </row>
    <row r="5222" spans="16:16" x14ac:dyDescent="0.25">
      <c r="P5222" s="4"/>
    </row>
    <row r="5223" spans="16:16" x14ac:dyDescent="0.25">
      <c r="P5223" s="4"/>
    </row>
    <row r="5224" spans="16:16" x14ac:dyDescent="0.25">
      <c r="P5224" s="4"/>
    </row>
    <row r="5225" spans="16:16" x14ac:dyDescent="0.25">
      <c r="P5225" s="4"/>
    </row>
    <row r="5226" spans="16:16" x14ac:dyDescent="0.25">
      <c r="P5226" s="4"/>
    </row>
    <row r="5227" spans="16:16" x14ac:dyDescent="0.25">
      <c r="P5227" s="4"/>
    </row>
    <row r="5228" spans="16:16" x14ac:dyDescent="0.25">
      <c r="P5228" s="4"/>
    </row>
    <row r="5229" spans="16:16" x14ac:dyDescent="0.25">
      <c r="P5229" s="4"/>
    </row>
    <row r="5230" spans="16:16" x14ac:dyDescent="0.25">
      <c r="P5230" s="4"/>
    </row>
    <row r="5231" spans="16:16" x14ac:dyDescent="0.25">
      <c r="P5231" s="4"/>
    </row>
    <row r="5232" spans="16:16" x14ac:dyDescent="0.25">
      <c r="P5232" s="4"/>
    </row>
    <row r="5233" spans="16:16" x14ac:dyDescent="0.25">
      <c r="P5233" s="4"/>
    </row>
    <row r="5234" spans="16:16" x14ac:dyDescent="0.25">
      <c r="P5234" s="4"/>
    </row>
    <row r="5235" spans="16:16" x14ac:dyDescent="0.25">
      <c r="P5235" s="4"/>
    </row>
    <row r="5236" spans="16:16" x14ac:dyDescent="0.25">
      <c r="P5236" s="4"/>
    </row>
    <row r="5237" spans="16:16" x14ac:dyDescent="0.25">
      <c r="P5237" s="4"/>
    </row>
    <row r="5238" spans="16:16" x14ac:dyDescent="0.25">
      <c r="P5238" s="4"/>
    </row>
    <row r="5239" spans="16:16" x14ac:dyDescent="0.25">
      <c r="P5239" s="4"/>
    </row>
    <row r="5240" spans="16:16" x14ac:dyDescent="0.25">
      <c r="P5240" s="4"/>
    </row>
    <row r="5241" spans="16:16" x14ac:dyDescent="0.25">
      <c r="P5241" s="4"/>
    </row>
    <row r="5242" spans="16:16" x14ac:dyDescent="0.25">
      <c r="P5242" s="4"/>
    </row>
    <row r="5243" spans="16:16" x14ac:dyDescent="0.25">
      <c r="P5243" s="4"/>
    </row>
    <row r="5244" spans="16:16" x14ac:dyDescent="0.25">
      <c r="P5244" s="4"/>
    </row>
    <row r="5245" spans="16:16" x14ac:dyDescent="0.25">
      <c r="P5245" s="4"/>
    </row>
    <row r="5246" spans="16:16" x14ac:dyDescent="0.25">
      <c r="P5246" s="4"/>
    </row>
    <row r="5247" spans="16:16" x14ac:dyDescent="0.25">
      <c r="P5247" s="4"/>
    </row>
    <row r="5248" spans="16:16" x14ac:dyDescent="0.25">
      <c r="P5248" s="4"/>
    </row>
    <row r="5249" spans="16:16" x14ac:dyDescent="0.25">
      <c r="P5249" s="4"/>
    </row>
    <row r="5250" spans="16:16" x14ac:dyDescent="0.25">
      <c r="P5250" s="4"/>
    </row>
    <row r="5251" spans="16:16" x14ac:dyDescent="0.25">
      <c r="P5251" s="4"/>
    </row>
    <row r="5252" spans="16:16" x14ac:dyDescent="0.25">
      <c r="P5252" s="4"/>
    </row>
    <row r="5253" spans="16:16" x14ac:dyDescent="0.25">
      <c r="P5253" s="4"/>
    </row>
    <row r="5254" spans="16:16" x14ac:dyDescent="0.25">
      <c r="P5254" s="4"/>
    </row>
    <row r="5255" spans="16:16" x14ac:dyDescent="0.25">
      <c r="P5255" s="4"/>
    </row>
    <row r="5256" spans="16:16" x14ac:dyDescent="0.25">
      <c r="P5256" s="4"/>
    </row>
    <row r="5257" spans="16:16" x14ac:dyDescent="0.25">
      <c r="P5257" s="4"/>
    </row>
    <row r="5258" spans="16:16" x14ac:dyDescent="0.25">
      <c r="P5258" s="4"/>
    </row>
    <row r="5259" spans="16:16" x14ac:dyDescent="0.25">
      <c r="P5259" s="4"/>
    </row>
    <row r="5260" spans="16:16" x14ac:dyDescent="0.25">
      <c r="P5260" s="4"/>
    </row>
    <row r="5261" spans="16:16" x14ac:dyDescent="0.25">
      <c r="P5261" s="4"/>
    </row>
    <row r="5262" spans="16:16" x14ac:dyDescent="0.25">
      <c r="P5262" s="4"/>
    </row>
    <row r="5263" spans="16:16" x14ac:dyDescent="0.25">
      <c r="P5263" s="4"/>
    </row>
    <row r="5264" spans="16:16" x14ac:dyDescent="0.25">
      <c r="P5264" s="4"/>
    </row>
    <row r="5265" spans="16:16" x14ac:dyDescent="0.25">
      <c r="P5265" s="4"/>
    </row>
    <row r="5266" spans="16:16" x14ac:dyDescent="0.25">
      <c r="P5266" s="4"/>
    </row>
    <row r="5267" spans="16:16" x14ac:dyDescent="0.25">
      <c r="P5267" s="4"/>
    </row>
    <row r="5268" spans="16:16" x14ac:dyDescent="0.25">
      <c r="P5268" s="4"/>
    </row>
    <row r="5269" spans="16:16" x14ac:dyDescent="0.25">
      <c r="P5269" s="4"/>
    </row>
    <row r="5270" spans="16:16" x14ac:dyDescent="0.25">
      <c r="P5270" s="4"/>
    </row>
    <row r="5271" spans="16:16" x14ac:dyDescent="0.25">
      <c r="P5271" s="4"/>
    </row>
    <row r="5272" spans="16:16" x14ac:dyDescent="0.25">
      <c r="P5272" s="4"/>
    </row>
    <row r="5273" spans="16:16" x14ac:dyDescent="0.25">
      <c r="P5273" s="4"/>
    </row>
    <row r="5274" spans="16:16" x14ac:dyDescent="0.25">
      <c r="P5274" s="4"/>
    </row>
    <row r="5275" spans="16:16" x14ac:dyDescent="0.25">
      <c r="P5275" s="4"/>
    </row>
    <row r="5276" spans="16:16" x14ac:dyDescent="0.25">
      <c r="P5276" s="4"/>
    </row>
    <row r="5277" spans="16:16" x14ac:dyDescent="0.25">
      <c r="P5277" s="4"/>
    </row>
    <row r="5278" spans="16:16" x14ac:dyDescent="0.25">
      <c r="P5278" s="4"/>
    </row>
    <row r="5279" spans="16:16" x14ac:dyDescent="0.25">
      <c r="P5279" s="4"/>
    </row>
    <row r="5280" spans="16:16" x14ac:dyDescent="0.25">
      <c r="P5280" s="4"/>
    </row>
    <row r="5281" spans="16:16" x14ac:dyDescent="0.25">
      <c r="P5281" s="4"/>
    </row>
    <row r="5282" spans="16:16" x14ac:dyDescent="0.25">
      <c r="P5282" s="4"/>
    </row>
    <row r="5283" spans="16:16" x14ac:dyDescent="0.25">
      <c r="P5283" s="4"/>
    </row>
    <row r="5284" spans="16:16" x14ac:dyDescent="0.25">
      <c r="P5284" s="4"/>
    </row>
    <row r="5285" spans="16:16" x14ac:dyDescent="0.25">
      <c r="P5285" s="4"/>
    </row>
    <row r="5286" spans="16:16" x14ac:dyDescent="0.25">
      <c r="P5286" s="4"/>
    </row>
    <row r="5287" spans="16:16" x14ac:dyDescent="0.25">
      <c r="P5287" s="4"/>
    </row>
    <row r="5288" spans="16:16" x14ac:dyDescent="0.25">
      <c r="P5288" s="4"/>
    </row>
    <row r="5289" spans="16:16" x14ac:dyDescent="0.25">
      <c r="P5289" s="4"/>
    </row>
    <row r="5290" spans="16:16" x14ac:dyDescent="0.25">
      <c r="P5290" s="4"/>
    </row>
    <row r="5291" spans="16:16" x14ac:dyDescent="0.25">
      <c r="P5291" s="4"/>
    </row>
    <row r="5292" spans="16:16" x14ac:dyDescent="0.25">
      <c r="P5292" s="4"/>
    </row>
    <row r="5293" spans="16:16" x14ac:dyDescent="0.25">
      <c r="P5293" s="4"/>
    </row>
    <row r="5294" spans="16:16" x14ac:dyDescent="0.25">
      <c r="P5294" s="4"/>
    </row>
    <row r="5295" spans="16:16" x14ac:dyDescent="0.25">
      <c r="P5295" s="4"/>
    </row>
    <row r="5296" spans="16:16" x14ac:dyDescent="0.25">
      <c r="P5296" s="4"/>
    </row>
    <row r="5297" spans="16:16" x14ac:dyDescent="0.25">
      <c r="P5297" s="4"/>
    </row>
    <row r="5298" spans="16:16" x14ac:dyDescent="0.25">
      <c r="P5298" s="4"/>
    </row>
    <row r="5299" spans="16:16" x14ac:dyDescent="0.25">
      <c r="P5299" s="4"/>
    </row>
    <row r="5300" spans="16:16" x14ac:dyDescent="0.25">
      <c r="P5300" s="4"/>
    </row>
    <row r="5301" spans="16:16" x14ac:dyDescent="0.25">
      <c r="P5301" s="4"/>
    </row>
    <row r="5302" spans="16:16" x14ac:dyDescent="0.25">
      <c r="P5302" s="4"/>
    </row>
    <row r="5303" spans="16:16" x14ac:dyDescent="0.25">
      <c r="P5303" s="4"/>
    </row>
    <row r="5304" spans="16:16" x14ac:dyDescent="0.25">
      <c r="P5304" s="4"/>
    </row>
    <row r="5305" spans="16:16" x14ac:dyDescent="0.25">
      <c r="P5305" s="4"/>
    </row>
    <row r="5306" spans="16:16" x14ac:dyDescent="0.25">
      <c r="P5306" s="4"/>
    </row>
    <row r="5307" spans="16:16" x14ac:dyDescent="0.25">
      <c r="P5307" s="4"/>
    </row>
    <row r="5308" spans="16:16" x14ac:dyDescent="0.25">
      <c r="P5308" s="4"/>
    </row>
    <row r="5309" spans="16:16" x14ac:dyDescent="0.25">
      <c r="P5309" s="4"/>
    </row>
    <row r="5310" spans="16:16" x14ac:dyDescent="0.25">
      <c r="P5310" s="4"/>
    </row>
    <row r="5311" spans="16:16" x14ac:dyDescent="0.25">
      <c r="P5311" s="4"/>
    </row>
    <row r="5312" spans="16:16" x14ac:dyDescent="0.25">
      <c r="P5312" s="4"/>
    </row>
    <row r="5313" spans="16:16" x14ac:dyDescent="0.25">
      <c r="P5313" s="4"/>
    </row>
    <row r="5314" spans="16:16" x14ac:dyDescent="0.25">
      <c r="P5314" s="4"/>
    </row>
    <row r="5315" spans="16:16" x14ac:dyDescent="0.25">
      <c r="P5315" s="4"/>
    </row>
    <row r="5316" spans="16:16" x14ac:dyDescent="0.25">
      <c r="P5316" s="4"/>
    </row>
    <row r="5317" spans="16:16" x14ac:dyDescent="0.25">
      <c r="P5317" s="4"/>
    </row>
    <row r="5318" spans="16:16" x14ac:dyDescent="0.25">
      <c r="P5318" s="4"/>
    </row>
    <row r="5319" spans="16:16" x14ac:dyDescent="0.25">
      <c r="P5319" s="4"/>
    </row>
    <row r="5320" spans="16:16" x14ac:dyDescent="0.25">
      <c r="P5320" s="4"/>
    </row>
    <row r="5321" spans="16:16" x14ac:dyDescent="0.25">
      <c r="P5321" s="4"/>
    </row>
    <row r="5322" spans="16:16" x14ac:dyDescent="0.25">
      <c r="P5322" s="4"/>
    </row>
    <row r="5323" spans="16:16" x14ac:dyDescent="0.25">
      <c r="P5323" s="4"/>
    </row>
    <row r="5324" spans="16:16" x14ac:dyDescent="0.25">
      <c r="P5324" s="4"/>
    </row>
    <row r="5325" spans="16:16" x14ac:dyDescent="0.25">
      <c r="P5325" s="4"/>
    </row>
    <row r="5326" spans="16:16" x14ac:dyDescent="0.25">
      <c r="P5326" s="4"/>
    </row>
    <row r="5327" spans="16:16" x14ac:dyDescent="0.25">
      <c r="P5327" s="4"/>
    </row>
    <row r="5328" spans="16:16" x14ac:dyDescent="0.25">
      <c r="P5328" s="4"/>
    </row>
    <row r="5329" spans="16:16" x14ac:dyDescent="0.25">
      <c r="P5329" s="4"/>
    </row>
    <row r="5330" spans="16:16" x14ac:dyDescent="0.25">
      <c r="P5330" s="4"/>
    </row>
    <row r="5331" spans="16:16" x14ac:dyDescent="0.25">
      <c r="P5331" s="4"/>
    </row>
    <row r="5332" spans="16:16" x14ac:dyDescent="0.25">
      <c r="P5332" s="4"/>
    </row>
    <row r="5333" spans="16:16" x14ac:dyDescent="0.25">
      <c r="P5333" s="4"/>
    </row>
    <row r="5334" spans="16:16" x14ac:dyDescent="0.25">
      <c r="P5334" s="4"/>
    </row>
    <row r="5335" spans="16:16" x14ac:dyDescent="0.25">
      <c r="P5335" s="4"/>
    </row>
    <row r="5336" spans="16:16" x14ac:dyDescent="0.25">
      <c r="P5336" s="4"/>
    </row>
    <row r="5337" spans="16:16" x14ac:dyDescent="0.25">
      <c r="P5337" s="4"/>
    </row>
    <row r="5338" spans="16:16" x14ac:dyDescent="0.25">
      <c r="P5338" s="4"/>
    </row>
    <row r="5339" spans="16:16" x14ac:dyDescent="0.25">
      <c r="P5339" s="4"/>
    </row>
    <row r="5340" spans="16:16" x14ac:dyDescent="0.25">
      <c r="P5340" s="4"/>
    </row>
    <row r="5341" spans="16:16" x14ac:dyDescent="0.25">
      <c r="P5341" s="4"/>
    </row>
    <row r="5342" spans="16:16" x14ac:dyDescent="0.25">
      <c r="P5342" s="4"/>
    </row>
    <row r="5343" spans="16:16" x14ac:dyDescent="0.25">
      <c r="P5343" s="4"/>
    </row>
    <row r="5344" spans="16:16" x14ac:dyDescent="0.25">
      <c r="P5344" s="4"/>
    </row>
    <row r="5345" spans="16:16" x14ac:dyDescent="0.25">
      <c r="P5345" s="4"/>
    </row>
    <row r="5346" spans="16:16" x14ac:dyDescent="0.25">
      <c r="P5346" s="4"/>
    </row>
    <row r="5347" spans="16:16" x14ac:dyDescent="0.25">
      <c r="P5347" s="4"/>
    </row>
    <row r="5348" spans="16:16" x14ac:dyDescent="0.25">
      <c r="P5348" s="4"/>
    </row>
    <row r="5349" spans="16:16" x14ac:dyDescent="0.25">
      <c r="P5349" s="4"/>
    </row>
    <row r="5350" spans="16:16" x14ac:dyDescent="0.25">
      <c r="P5350" s="4"/>
    </row>
    <row r="5351" spans="16:16" x14ac:dyDescent="0.25">
      <c r="P5351" s="4"/>
    </row>
    <row r="5352" spans="16:16" x14ac:dyDescent="0.25">
      <c r="P5352" s="4"/>
    </row>
    <row r="5353" spans="16:16" x14ac:dyDescent="0.25">
      <c r="P5353" s="4"/>
    </row>
    <row r="5354" spans="16:16" x14ac:dyDescent="0.25">
      <c r="P5354" s="4"/>
    </row>
    <row r="5355" spans="16:16" x14ac:dyDescent="0.25">
      <c r="P5355" s="4"/>
    </row>
    <row r="5356" spans="16:16" x14ac:dyDescent="0.25">
      <c r="P5356" s="4"/>
    </row>
    <row r="5357" spans="16:16" x14ac:dyDescent="0.25">
      <c r="P5357" s="4"/>
    </row>
    <row r="5358" spans="16:16" x14ac:dyDescent="0.25">
      <c r="P5358" s="4"/>
    </row>
    <row r="5359" spans="16:16" x14ac:dyDescent="0.25">
      <c r="P5359" s="4"/>
    </row>
    <row r="5360" spans="16:16" x14ac:dyDescent="0.25">
      <c r="P5360" s="4"/>
    </row>
    <row r="5361" spans="16:16" x14ac:dyDescent="0.25">
      <c r="P5361" s="4"/>
    </row>
    <row r="5362" spans="16:16" x14ac:dyDescent="0.25">
      <c r="P5362" s="4"/>
    </row>
    <row r="5363" spans="16:16" x14ac:dyDescent="0.25">
      <c r="P5363" s="4"/>
    </row>
    <row r="5364" spans="16:16" x14ac:dyDescent="0.25">
      <c r="P5364" s="4"/>
    </row>
    <row r="5365" spans="16:16" x14ac:dyDescent="0.25">
      <c r="P5365" s="4"/>
    </row>
    <row r="5366" spans="16:16" x14ac:dyDescent="0.25">
      <c r="P5366" s="4"/>
    </row>
    <row r="5367" spans="16:16" x14ac:dyDescent="0.25">
      <c r="P5367" s="4"/>
    </row>
    <row r="5368" spans="16:16" x14ac:dyDescent="0.25">
      <c r="P5368" s="4"/>
    </row>
    <row r="5369" spans="16:16" x14ac:dyDescent="0.25">
      <c r="P5369" s="4"/>
    </row>
    <row r="5370" spans="16:16" x14ac:dyDescent="0.25">
      <c r="P5370" s="4"/>
    </row>
    <row r="5371" spans="16:16" x14ac:dyDescent="0.25">
      <c r="P5371" s="4"/>
    </row>
    <row r="5372" spans="16:16" x14ac:dyDescent="0.25">
      <c r="P5372" s="4"/>
    </row>
    <row r="5373" spans="16:16" x14ac:dyDescent="0.25">
      <c r="P5373" s="4"/>
    </row>
    <row r="5374" spans="16:16" x14ac:dyDescent="0.25">
      <c r="P5374" s="4"/>
    </row>
    <row r="5375" spans="16:16" x14ac:dyDescent="0.25">
      <c r="P5375" s="4"/>
    </row>
    <row r="5376" spans="16:16" x14ac:dyDescent="0.25">
      <c r="P5376" s="4"/>
    </row>
    <row r="5377" spans="16:16" x14ac:dyDescent="0.25">
      <c r="P5377" s="4"/>
    </row>
    <row r="5378" spans="16:16" x14ac:dyDescent="0.25">
      <c r="P5378" s="4"/>
    </row>
    <row r="5379" spans="16:16" x14ac:dyDescent="0.25">
      <c r="P5379" s="4"/>
    </row>
    <row r="5380" spans="16:16" x14ac:dyDescent="0.25">
      <c r="P5380" s="4"/>
    </row>
    <row r="5381" spans="16:16" x14ac:dyDescent="0.25">
      <c r="P5381" s="4"/>
    </row>
    <row r="5382" spans="16:16" x14ac:dyDescent="0.25">
      <c r="P5382" s="4"/>
    </row>
    <row r="5383" spans="16:16" x14ac:dyDescent="0.25">
      <c r="P5383" s="4"/>
    </row>
    <row r="5384" spans="16:16" x14ac:dyDescent="0.25">
      <c r="P5384" s="4"/>
    </row>
    <row r="5385" spans="16:16" x14ac:dyDescent="0.25">
      <c r="P5385" s="4"/>
    </row>
    <row r="5386" spans="16:16" x14ac:dyDescent="0.25">
      <c r="P5386" s="4"/>
    </row>
    <row r="5387" spans="16:16" x14ac:dyDescent="0.25">
      <c r="P5387" s="4"/>
    </row>
    <row r="5388" spans="16:16" x14ac:dyDescent="0.25">
      <c r="P5388" s="4"/>
    </row>
    <row r="5389" spans="16:16" x14ac:dyDescent="0.25">
      <c r="P5389" s="4"/>
    </row>
    <row r="5390" spans="16:16" x14ac:dyDescent="0.25">
      <c r="P5390" s="4"/>
    </row>
    <row r="5391" spans="16:16" x14ac:dyDescent="0.25">
      <c r="P5391" s="4"/>
    </row>
    <row r="5392" spans="16:16" x14ac:dyDescent="0.25">
      <c r="P5392" s="4"/>
    </row>
    <row r="5393" spans="16:16" x14ac:dyDescent="0.25">
      <c r="P5393" s="4"/>
    </row>
    <row r="5394" spans="16:16" x14ac:dyDescent="0.25">
      <c r="P5394" s="4"/>
    </row>
    <row r="5395" spans="16:16" x14ac:dyDescent="0.25">
      <c r="P5395" s="4"/>
    </row>
    <row r="5396" spans="16:16" x14ac:dyDescent="0.25">
      <c r="P5396" s="4"/>
    </row>
    <row r="5397" spans="16:16" x14ac:dyDescent="0.25">
      <c r="P5397" s="4"/>
    </row>
    <row r="5398" spans="16:16" x14ac:dyDescent="0.25">
      <c r="P5398" s="4"/>
    </row>
    <row r="5399" spans="16:16" x14ac:dyDescent="0.25">
      <c r="P5399" s="4"/>
    </row>
    <row r="5400" spans="16:16" x14ac:dyDescent="0.25">
      <c r="P5400" s="4"/>
    </row>
    <row r="5401" spans="16:16" x14ac:dyDescent="0.25">
      <c r="P5401" s="4"/>
    </row>
    <row r="5402" spans="16:16" x14ac:dyDescent="0.25">
      <c r="P5402" s="4"/>
    </row>
    <row r="5403" spans="16:16" x14ac:dyDescent="0.25">
      <c r="P5403" s="4"/>
    </row>
    <row r="5404" spans="16:16" x14ac:dyDescent="0.25">
      <c r="P5404" s="4"/>
    </row>
    <row r="5405" spans="16:16" x14ac:dyDescent="0.25">
      <c r="P5405" s="4"/>
    </row>
    <row r="5406" spans="16:16" x14ac:dyDescent="0.25">
      <c r="P5406" s="4"/>
    </row>
    <row r="5407" spans="16:16" x14ac:dyDescent="0.25">
      <c r="P5407" s="4"/>
    </row>
    <row r="5408" spans="16:16" x14ac:dyDescent="0.25">
      <c r="P5408" s="4"/>
    </row>
    <row r="5409" spans="16:16" x14ac:dyDescent="0.25">
      <c r="P5409" s="4"/>
    </row>
    <row r="5410" spans="16:16" x14ac:dyDescent="0.25">
      <c r="P5410" s="4"/>
    </row>
    <row r="5411" spans="16:16" x14ac:dyDescent="0.25">
      <c r="P5411" s="4"/>
    </row>
    <row r="5412" spans="16:16" x14ac:dyDescent="0.25">
      <c r="P5412" s="4"/>
    </row>
    <row r="5413" spans="16:16" x14ac:dyDescent="0.25">
      <c r="P5413" s="4"/>
    </row>
    <row r="5414" spans="16:16" x14ac:dyDescent="0.25">
      <c r="P5414" s="4"/>
    </row>
    <row r="5415" spans="16:16" x14ac:dyDescent="0.25">
      <c r="P5415" s="4"/>
    </row>
    <row r="5416" spans="16:16" x14ac:dyDescent="0.25">
      <c r="P5416" s="4"/>
    </row>
    <row r="5417" spans="16:16" x14ac:dyDescent="0.25">
      <c r="P5417" s="4"/>
    </row>
    <row r="5418" spans="16:16" x14ac:dyDescent="0.25">
      <c r="P5418" s="4"/>
    </row>
    <row r="5419" spans="16:16" x14ac:dyDescent="0.25">
      <c r="P5419" s="4"/>
    </row>
    <row r="5420" spans="16:16" x14ac:dyDescent="0.25">
      <c r="P5420" s="4"/>
    </row>
    <row r="5421" spans="16:16" x14ac:dyDescent="0.25">
      <c r="P5421" s="4"/>
    </row>
    <row r="5422" spans="16:16" x14ac:dyDescent="0.25">
      <c r="P5422" s="4"/>
    </row>
    <row r="5423" spans="16:16" x14ac:dyDescent="0.25">
      <c r="P5423" s="4"/>
    </row>
    <row r="5424" spans="16:16" x14ac:dyDescent="0.25">
      <c r="P5424" s="4"/>
    </row>
    <row r="5425" spans="16:16" x14ac:dyDescent="0.25">
      <c r="P5425" s="4"/>
    </row>
    <row r="5426" spans="16:16" x14ac:dyDescent="0.25">
      <c r="P5426" s="4"/>
    </row>
    <row r="5427" spans="16:16" x14ac:dyDescent="0.25">
      <c r="P5427" s="4"/>
    </row>
    <row r="5428" spans="16:16" x14ac:dyDescent="0.25">
      <c r="P5428" s="4"/>
    </row>
    <row r="5429" spans="16:16" x14ac:dyDescent="0.25">
      <c r="P5429" s="4"/>
    </row>
    <row r="5430" spans="16:16" x14ac:dyDescent="0.25">
      <c r="P5430" s="4"/>
    </row>
    <row r="5431" spans="16:16" x14ac:dyDescent="0.25">
      <c r="P5431" s="4"/>
    </row>
    <row r="5432" spans="16:16" x14ac:dyDescent="0.25">
      <c r="P5432" s="4"/>
    </row>
    <row r="5433" spans="16:16" x14ac:dyDescent="0.25">
      <c r="P5433" s="4"/>
    </row>
    <row r="5434" spans="16:16" x14ac:dyDescent="0.25">
      <c r="P5434" s="4"/>
    </row>
    <row r="5435" spans="16:16" x14ac:dyDescent="0.25">
      <c r="P5435" s="4"/>
    </row>
    <row r="5436" spans="16:16" x14ac:dyDescent="0.25">
      <c r="P5436" s="4"/>
    </row>
    <row r="5437" spans="16:16" x14ac:dyDescent="0.25">
      <c r="P5437" s="4"/>
    </row>
    <row r="5438" spans="16:16" x14ac:dyDescent="0.25">
      <c r="P5438" s="4"/>
    </row>
    <row r="5439" spans="16:16" x14ac:dyDescent="0.25">
      <c r="P5439" s="4"/>
    </row>
    <row r="5440" spans="16:16" x14ac:dyDescent="0.25">
      <c r="P5440" s="4"/>
    </row>
    <row r="5441" spans="16:16" x14ac:dyDescent="0.25">
      <c r="P5441" s="4"/>
    </row>
    <row r="5442" spans="16:16" x14ac:dyDescent="0.25">
      <c r="P5442" s="4"/>
    </row>
    <row r="5443" spans="16:16" x14ac:dyDescent="0.25">
      <c r="P5443" s="4"/>
    </row>
    <row r="5444" spans="16:16" x14ac:dyDescent="0.25">
      <c r="P5444" s="4"/>
    </row>
    <row r="5445" spans="16:16" x14ac:dyDescent="0.25">
      <c r="P5445" s="4"/>
    </row>
    <row r="5446" spans="16:16" x14ac:dyDescent="0.25">
      <c r="P5446" s="4"/>
    </row>
    <row r="5447" spans="16:16" x14ac:dyDescent="0.25">
      <c r="P5447" s="4"/>
    </row>
    <row r="5448" spans="16:16" x14ac:dyDescent="0.25">
      <c r="P5448" s="4"/>
    </row>
    <row r="5449" spans="16:16" x14ac:dyDescent="0.25">
      <c r="P5449" s="4"/>
    </row>
    <row r="5450" spans="16:16" x14ac:dyDescent="0.25">
      <c r="P5450" s="4"/>
    </row>
    <row r="5451" spans="16:16" x14ac:dyDescent="0.25">
      <c r="P5451" s="4"/>
    </row>
    <row r="5452" spans="16:16" x14ac:dyDescent="0.25">
      <c r="P5452" s="4"/>
    </row>
    <row r="5453" spans="16:16" x14ac:dyDescent="0.25">
      <c r="P5453" s="4"/>
    </row>
    <row r="5454" spans="16:16" x14ac:dyDescent="0.25">
      <c r="P5454" s="4"/>
    </row>
    <row r="5455" spans="16:16" x14ac:dyDescent="0.25">
      <c r="P5455" s="4"/>
    </row>
    <row r="5456" spans="16:16" x14ac:dyDescent="0.25">
      <c r="P5456" s="4"/>
    </row>
    <row r="5457" spans="16:16" x14ac:dyDescent="0.25">
      <c r="P5457" s="4"/>
    </row>
    <row r="5458" spans="16:16" x14ac:dyDescent="0.25">
      <c r="P5458" s="4"/>
    </row>
    <row r="5459" spans="16:16" x14ac:dyDescent="0.25">
      <c r="P5459" s="4"/>
    </row>
    <row r="5460" spans="16:16" x14ac:dyDescent="0.25">
      <c r="P5460" s="4"/>
    </row>
    <row r="5461" spans="16:16" x14ac:dyDescent="0.25">
      <c r="P5461" s="4"/>
    </row>
    <row r="5462" spans="16:16" x14ac:dyDescent="0.25">
      <c r="P5462" s="4"/>
    </row>
    <row r="5463" spans="16:16" x14ac:dyDescent="0.25">
      <c r="P5463" s="4"/>
    </row>
    <row r="5464" spans="16:16" x14ac:dyDescent="0.25">
      <c r="P5464" s="4"/>
    </row>
    <row r="5465" spans="16:16" x14ac:dyDescent="0.25">
      <c r="P5465" s="4"/>
    </row>
    <row r="5466" spans="16:16" x14ac:dyDescent="0.25">
      <c r="P5466" s="4"/>
    </row>
    <row r="5467" spans="16:16" x14ac:dyDescent="0.25">
      <c r="P5467" s="4"/>
    </row>
    <row r="5468" spans="16:16" x14ac:dyDescent="0.25">
      <c r="P5468" s="4"/>
    </row>
    <row r="5469" spans="16:16" x14ac:dyDescent="0.25">
      <c r="P5469" s="4"/>
    </row>
    <row r="5470" spans="16:16" x14ac:dyDescent="0.25">
      <c r="P5470" s="4"/>
    </row>
    <row r="5471" spans="16:16" x14ac:dyDescent="0.25">
      <c r="P5471" s="4"/>
    </row>
    <row r="5472" spans="16:16" x14ac:dyDescent="0.25">
      <c r="P5472" s="4"/>
    </row>
    <row r="5473" spans="16:16" x14ac:dyDescent="0.25">
      <c r="P5473" s="4"/>
    </row>
    <row r="5474" spans="16:16" x14ac:dyDescent="0.25">
      <c r="P5474" s="4"/>
    </row>
    <row r="5475" spans="16:16" x14ac:dyDescent="0.25">
      <c r="P5475" s="4"/>
    </row>
    <row r="5476" spans="16:16" x14ac:dyDescent="0.25">
      <c r="P5476" s="4"/>
    </row>
    <row r="5477" spans="16:16" x14ac:dyDescent="0.25">
      <c r="P5477" s="4"/>
    </row>
    <row r="5478" spans="16:16" x14ac:dyDescent="0.25">
      <c r="P5478" s="4"/>
    </row>
    <row r="5479" spans="16:16" x14ac:dyDescent="0.25">
      <c r="P5479" s="4"/>
    </row>
    <row r="5480" spans="16:16" x14ac:dyDescent="0.25">
      <c r="P5480" s="4"/>
    </row>
    <row r="5481" spans="16:16" x14ac:dyDescent="0.25">
      <c r="P5481" s="4"/>
    </row>
    <row r="5482" spans="16:16" x14ac:dyDescent="0.25">
      <c r="P5482" s="4"/>
    </row>
    <row r="5483" spans="16:16" x14ac:dyDescent="0.25">
      <c r="P5483" s="4"/>
    </row>
    <row r="5484" spans="16:16" x14ac:dyDescent="0.25">
      <c r="P5484" s="4"/>
    </row>
    <row r="5485" spans="16:16" x14ac:dyDescent="0.25">
      <c r="P5485" s="4"/>
    </row>
    <row r="5486" spans="16:16" x14ac:dyDescent="0.25">
      <c r="P5486" s="4"/>
    </row>
    <row r="5487" spans="16:16" x14ac:dyDescent="0.25">
      <c r="P5487" s="4"/>
    </row>
    <row r="5488" spans="16:16" x14ac:dyDescent="0.25">
      <c r="P5488" s="4"/>
    </row>
    <row r="5489" spans="16:16" x14ac:dyDescent="0.25">
      <c r="P5489" s="4"/>
    </row>
    <row r="5490" spans="16:16" x14ac:dyDescent="0.25">
      <c r="P5490" s="4"/>
    </row>
    <row r="5491" spans="16:16" x14ac:dyDescent="0.25">
      <c r="P5491" s="4"/>
    </row>
    <row r="5492" spans="16:16" x14ac:dyDescent="0.25">
      <c r="P5492" s="4"/>
    </row>
    <row r="5493" spans="16:16" x14ac:dyDescent="0.25">
      <c r="P5493" s="4"/>
    </row>
    <row r="5494" spans="16:16" x14ac:dyDescent="0.25">
      <c r="P5494" s="4"/>
    </row>
    <row r="5495" spans="16:16" x14ac:dyDescent="0.25">
      <c r="P5495" s="4"/>
    </row>
    <row r="5496" spans="16:16" x14ac:dyDescent="0.25">
      <c r="P5496" s="4"/>
    </row>
    <row r="5497" spans="16:16" x14ac:dyDescent="0.25">
      <c r="P5497" s="4"/>
    </row>
    <row r="5498" spans="16:16" x14ac:dyDescent="0.25">
      <c r="P5498" s="4"/>
    </row>
    <row r="5499" spans="16:16" x14ac:dyDescent="0.25">
      <c r="P5499" s="4"/>
    </row>
    <row r="5500" spans="16:16" x14ac:dyDescent="0.25">
      <c r="P5500" s="4"/>
    </row>
    <row r="5501" spans="16:16" x14ac:dyDescent="0.25">
      <c r="P5501" s="4"/>
    </row>
    <row r="5502" spans="16:16" x14ac:dyDescent="0.25">
      <c r="P5502" s="4"/>
    </row>
    <row r="5503" spans="16:16" x14ac:dyDescent="0.25">
      <c r="P5503" s="4"/>
    </row>
    <row r="5504" spans="16:16" x14ac:dyDescent="0.25">
      <c r="P5504" s="4"/>
    </row>
    <row r="5505" spans="16:16" x14ac:dyDescent="0.25">
      <c r="P5505" s="4"/>
    </row>
    <row r="5506" spans="16:16" x14ac:dyDescent="0.25">
      <c r="P5506" s="4"/>
    </row>
    <row r="5507" spans="16:16" x14ac:dyDescent="0.25">
      <c r="P5507" s="4"/>
    </row>
    <row r="5508" spans="16:16" x14ac:dyDescent="0.25">
      <c r="P5508" s="4"/>
    </row>
    <row r="5509" spans="16:16" x14ac:dyDescent="0.25">
      <c r="P5509" s="4"/>
    </row>
    <row r="5510" spans="16:16" x14ac:dyDescent="0.25">
      <c r="P5510" s="4"/>
    </row>
    <row r="5511" spans="16:16" x14ac:dyDescent="0.25">
      <c r="P5511" s="4"/>
    </row>
    <row r="5512" spans="16:16" x14ac:dyDescent="0.25">
      <c r="P5512" s="4"/>
    </row>
    <row r="5513" spans="16:16" x14ac:dyDescent="0.25">
      <c r="P5513" s="4"/>
    </row>
    <row r="5514" spans="16:16" x14ac:dyDescent="0.25">
      <c r="P5514" s="4"/>
    </row>
    <row r="5515" spans="16:16" x14ac:dyDescent="0.25">
      <c r="P5515" s="4"/>
    </row>
    <row r="5516" spans="16:16" x14ac:dyDescent="0.25">
      <c r="P5516" s="4"/>
    </row>
    <row r="5517" spans="16:16" x14ac:dyDescent="0.25">
      <c r="P5517" s="4"/>
    </row>
    <row r="5518" spans="16:16" x14ac:dyDescent="0.25">
      <c r="P5518" s="4"/>
    </row>
    <row r="5519" spans="16:16" x14ac:dyDescent="0.25">
      <c r="P5519" s="4"/>
    </row>
    <row r="5520" spans="16:16" x14ac:dyDescent="0.25">
      <c r="P5520" s="4"/>
    </row>
    <row r="5521" spans="16:16" x14ac:dyDescent="0.25">
      <c r="P5521" s="4"/>
    </row>
    <row r="5522" spans="16:16" x14ac:dyDescent="0.25">
      <c r="P5522" s="4"/>
    </row>
    <row r="5523" spans="16:16" x14ac:dyDescent="0.25">
      <c r="P5523" s="4"/>
    </row>
    <row r="5524" spans="16:16" x14ac:dyDescent="0.25">
      <c r="P5524" s="4"/>
    </row>
    <row r="5525" spans="16:16" x14ac:dyDescent="0.25">
      <c r="P5525" s="4"/>
    </row>
    <row r="5526" spans="16:16" x14ac:dyDescent="0.25">
      <c r="P5526" s="4"/>
    </row>
    <row r="5527" spans="16:16" x14ac:dyDescent="0.25">
      <c r="P5527" s="4"/>
    </row>
    <row r="5528" spans="16:16" x14ac:dyDescent="0.25">
      <c r="P5528" s="4"/>
    </row>
    <row r="5529" spans="16:16" x14ac:dyDescent="0.25">
      <c r="P5529" s="4"/>
    </row>
    <row r="5530" spans="16:16" x14ac:dyDescent="0.25">
      <c r="P5530" s="4"/>
    </row>
    <row r="5531" spans="16:16" x14ac:dyDescent="0.25">
      <c r="P5531" s="4"/>
    </row>
    <row r="5532" spans="16:16" x14ac:dyDescent="0.25">
      <c r="P5532" s="4"/>
    </row>
    <row r="5533" spans="16:16" x14ac:dyDescent="0.25">
      <c r="P5533" s="4"/>
    </row>
    <row r="5534" spans="16:16" x14ac:dyDescent="0.25">
      <c r="P5534" s="4"/>
    </row>
    <row r="5535" spans="16:16" x14ac:dyDescent="0.25">
      <c r="P5535" s="4"/>
    </row>
    <row r="5536" spans="16:16" x14ac:dyDescent="0.25">
      <c r="P5536" s="4"/>
    </row>
    <row r="5537" spans="16:16" x14ac:dyDescent="0.25">
      <c r="P5537" s="4"/>
    </row>
    <row r="5538" spans="16:16" x14ac:dyDescent="0.25">
      <c r="P5538" s="4"/>
    </row>
    <row r="5539" spans="16:16" x14ac:dyDescent="0.25">
      <c r="P5539" s="4"/>
    </row>
    <row r="5540" spans="16:16" x14ac:dyDescent="0.25">
      <c r="P5540" s="4"/>
    </row>
    <row r="5541" spans="16:16" x14ac:dyDescent="0.25">
      <c r="P5541" s="4"/>
    </row>
    <row r="5542" spans="16:16" x14ac:dyDescent="0.25">
      <c r="P5542" s="4"/>
    </row>
    <row r="5543" spans="16:16" x14ac:dyDescent="0.25">
      <c r="P5543" s="4"/>
    </row>
    <row r="5544" spans="16:16" x14ac:dyDescent="0.25">
      <c r="P5544" s="4"/>
    </row>
    <row r="5545" spans="16:16" x14ac:dyDescent="0.25">
      <c r="P5545" s="4"/>
    </row>
    <row r="5546" spans="16:16" x14ac:dyDescent="0.25">
      <c r="P5546" s="4"/>
    </row>
    <row r="5547" spans="16:16" x14ac:dyDescent="0.25">
      <c r="P5547" s="4"/>
    </row>
    <row r="5548" spans="16:16" x14ac:dyDescent="0.25">
      <c r="P5548" s="4"/>
    </row>
    <row r="5549" spans="16:16" x14ac:dyDescent="0.25">
      <c r="P5549" s="4"/>
    </row>
    <row r="5550" spans="16:16" x14ac:dyDescent="0.25">
      <c r="P5550" s="4"/>
    </row>
    <row r="5551" spans="16:16" x14ac:dyDescent="0.25">
      <c r="P5551" s="4"/>
    </row>
    <row r="5552" spans="16:16" x14ac:dyDescent="0.25">
      <c r="P5552" s="4"/>
    </row>
    <row r="5553" spans="16:16" x14ac:dyDescent="0.25">
      <c r="P5553" s="4"/>
    </row>
    <row r="5554" spans="16:16" x14ac:dyDescent="0.25">
      <c r="P5554" s="4"/>
    </row>
    <row r="5555" spans="16:16" x14ac:dyDescent="0.25">
      <c r="P5555" s="4"/>
    </row>
    <row r="5556" spans="16:16" x14ac:dyDescent="0.25">
      <c r="P5556" s="4"/>
    </row>
    <row r="5557" spans="16:16" x14ac:dyDescent="0.25">
      <c r="P5557" s="4"/>
    </row>
    <row r="5558" spans="16:16" x14ac:dyDescent="0.25">
      <c r="P5558" s="4"/>
    </row>
    <row r="5559" spans="16:16" x14ac:dyDescent="0.25">
      <c r="P5559" s="4"/>
    </row>
    <row r="5560" spans="16:16" x14ac:dyDescent="0.25">
      <c r="P5560" s="4"/>
    </row>
    <row r="5561" spans="16:16" x14ac:dyDescent="0.25">
      <c r="P5561" s="4"/>
    </row>
    <row r="5562" spans="16:16" x14ac:dyDescent="0.25">
      <c r="P5562" s="4"/>
    </row>
    <row r="5563" spans="16:16" x14ac:dyDescent="0.25">
      <c r="P5563" s="4"/>
    </row>
    <row r="5564" spans="16:16" x14ac:dyDescent="0.25">
      <c r="P5564" s="4"/>
    </row>
    <row r="5565" spans="16:16" x14ac:dyDescent="0.25">
      <c r="P5565" s="4"/>
    </row>
    <row r="5566" spans="16:16" x14ac:dyDescent="0.25">
      <c r="P5566" s="4"/>
    </row>
    <row r="5567" spans="16:16" x14ac:dyDescent="0.25">
      <c r="P5567" s="4"/>
    </row>
    <row r="5568" spans="16:16" x14ac:dyDescent="0.25">
      <c r="P5568" s="4"/>
    </row>
    <row r="5569" spans="16:16" x14ac:dyDescent="0.25">
      <c r="P5569" s="4"/>
    </row>
    <row r="5570" spans="16:16" x14ac:dyDescent="0.25">
      <c r="P5570" s="4"/>
    </row>
    <row r="5571" spans="16:16" x14ac:dyDescent="0.25">
      <c r="P5571" s="4"/>
    </row>
    <row r="5572" spans="16:16" x14ac:dyDescent="0.25">
      <c r="P5572" s="4"/>
    </row>
    <row r="5573" spans="16:16" x14ac:dyDescent="0.25">
      <c r="P5573" s="4"/>
    </row>
    <row r="5574" spans="16:16" x14ac:dyDescent="0.25">
      <c r="P5574" s="4"/>
    </row>
    <row r="5575" spans="16:16" x14ac:dyDescent="0.25">
      <c r="P5575" s="4"/>
    </row>
    <row r="5576" spans="16:16" x14ac:dyDescent="0.25">
      <c r="P5576" s="4"/>
    </row>
    <row r="5577" spans="16:16" x14ac:dyDescent="0.25">
      <c r="P5577" s="4"/>
    </row>
    <row r="5578" spans="16:16" x14ac:dyDescent="0.25">
      <c r="P5578" s="4"/>
    </row>
    <row r="5579" spans="16:16" x14ac:dyDescent="0.25">
      <c r="P5579" s="4"/>
    </row>
    <row r="5580" spans="16:16" x14ac:dyDescent="0.25">
      <c r="P5580" s="4"/>
    </row>
    <row r="5581" spans="16:16" x14ac:dyDescent="0.25">
      <c r="P5581" s="4"/>
    </row>
    <row r="5582" spans="16:16" x14ac:dyDescent="0.25">
      <c r="P5582" s="4"/>
    </row>
    <row r="5583" spans="16:16" x14ac:dyDescent="0.25">
      <c r="P5583" s="4"/>
    </row>
    <row r="5584" spans="16:16" x14ac:dyDescent="0.25">
      <c r="P5584" s="4"/>
    </row>
    <row r="5585" spans="16:16" x14ac:dyDescent="0.25">
      <c r="P5585" s="4"/>
    </row>
    <row r="5586" spans="16:16" x14ac:dyDescent="0.25">
      <c r="P5586" s="4"/>
    </row>
    <row r="5587" spans="16:16" x14ac:dyDescent="0.25">
      <c r="P5587" s="4"/>
    </row>
    <row r="5588" spans="16:16" x14ac:dyDescent="0.25">
      <c r="P5588" s="4"/>
    </row>
    <row r="5589" spans="16:16" x14ac:dyDescent="0.25">
      <c r="P5589" s="4"/>
    </row>
    <row r="5590" spans="16:16" x14ac:dyDescent="0.25">
      <c r="P5590" s="4"/>
    </row>
    <row r="5591" spans="16:16" x14ac:dyDescent="0.25">
      <c r="P5591" s="4"/>
    </row>
    <row r="5592" spans="16:16" x14ac:dyDescent="0.25">
      <c r="P5592" s="4"/>
    </row>
    <row r="5593" spans="16:16" x14ac:dyDescent="0.25">
      <c r="P5593" s="4"/>
    </row>
    <row r="5594" spans="16:16" x14ac:dyDescent="0.25">
      <c r="P5594" s="4"/>
    </row>
    <row r="5595" spans="16:16" x14ac:dyDescent="0.25">
      <c r="P5595" s="4"/>
    </row>
    <row r="5596" spans="16:16" x14ac:dyDescent="0.25">
      <c r="P5596" s="4"/>
    </row>
    <row r="5597" spans="16:16" x14ac:dyDescent="0.25">
      <c r="P5597" s="4"/>
    </row>
    <row r="5598" spans="16:16" x14ac:dyDescent="0.25">
      <c r="P5598" s="4"/>
    </row>
    <row r="5599" spans="16:16" x14ac:dyDescent="0.25">
      <c r="P5599" s="4"/>
    </row>
    <row r="5600" spans="16:16" x14ac:dyDescent="0.25">
      <c r="P5600" s="4"/>
    </row>
    <row r="5601" spans="16:16" x14ac:dyDescent="0.25">
      <c r="P5601" s="4"/>
    </row>
    <row r="5602" spans="16:16" x14ac:dyDescent="0.25">
      <c r="P5602" s="4"/>
    </row>
    <row r="5603" spans="16:16" x14ac:dyDescent="0.25">
      <c r="P5603" s="4"/>
    </row>
    <row r="5604" spans="16:16" x14ac:dyDescent="0.25">
      <c r="P5604" s="4"/>
    </row>
    <row r="5605" spans="16:16" x14ac:dyDescent="0.25">
      <c r="P5605" s="4"/>
    </row>
    <row r="5606" spans="16:16" x14ac:dyDescent="0.25">
      <c r="P5606" s="4"/>
    </row>
    <row r="5607" spans="16:16" x14ac:dyDescent="0.25">
      <c r="P5607" s="4"/>
    </row>
    <row r="5608" spans="16:16" x14ac:dyDescent="0.25">
      <c r="P5608" s="4"/>
    </row>
    <row r="5609" spans="16:16" x14ac:dyDescent="0.25">
      <c r="P5609" s="4"/>
    </row>
    <row r="5610" spans="16:16" x14ac:dyDescent="0.25">
      <c r="P5610" s="4"/>
    </row>
    <row r="5611" spans="16:16" x14ac:dyDescent="0.25">
      <c r="P5611" s="4"/>
    </row>
    <row r="5612" spans="16:16" x14ac:dyDescent="0.25">
      <c r="P5612" s="4"/>
    </row>
    <row r="5613" spans="16:16" x14ac:dyDescent="0.25">
      <c r="P5613" s="4"/>
    </row>
    <row r="5614" spans="16:16" x14ac:dyDescent="0.25">
      <c r="P5614" s="4"/>
    </row>
    <row r="5615" spans="16:16" x14ac:dyDescent="0.25">
      <c r="P5615" s="4"/>
    </row>
    <row r="5616" spans="16:16" x14ac:dyDescent="0.25">
      <c r="P5616" s="4"/>
    </row>
    <row r="5617" spans="16:16" x14ac:dyDescent="0.25">
      <c r="P5617" s="4"/>
    </row>
    <row r="5618" spans="16:16" x14ac:dyDescent="0.25">
      <c r="P5618" s="4"/>
    </row>
    <row r="5619" spans="16:16" x14ac:dyDescent="0.25">
      <c r="P5619" s="4"/>
    </row>
    <row r="5620" spans="16:16" x14ac:dyDescent="0.25">
      <c r="P5620" s="4"/>
    </row>
    <row r="5621" spans="16:16" x14ac:dyDescent="0.25">
      <c r="P5621" s="4"/>
    </row>
    <row r="5622" spans="16:16" x14ac:dyDescent="0.25">
      <c r="P5622" s="4"/>
    </row>
    <row r="5623" spans="16:16" x14ac:dyDescent="0.25">
      <c r="P5623" s="4"/>
    </row>
    <row r="5624" spans="16:16" x14ac:dyDescent="0.25">
      <c r="P5624" s="4"/>
    </row>
    <row r="5625" spans="16:16" x14ac:dyDescent="0.25">
      <c r="P5625" s="4"/>
    </row>
    <row r="5626" spans="16:16" x14ac:dyDescent="0.25">
      <c r="P5626" s="4"/>
    </row>
    <row r="5627" spans="16:16" x14ac:dyDescent="0.25">
      <c r="P5627" s="4"/>
    </row>
    <row r="5628" spans="16:16" x14ac:dyDescent="0.25">
      <c r="P5628" s="4"/>
    </row>
    <row r="5629" spans="16:16" x14ac:dyDescent="0.25">
      <c r="P5629" s="4"/>
    </row>
    <row r="5630" spans="16:16" x14ac:dyDescent="0.25">
      <c r="P5630" s="4"/>
    </row>
    <row r="5631" spans="16:16" x14ac:dyDescent="0.25">
      <c r="P5631" s="4"/>
    </row>
    <row r="5632" spans="16:16" x14ac:dyDescent="0.25">
      <c r="P5632" s="4"/>
    </row>
    <row r="5633" spans="16:16" x14ac:dyDescent="0.25">
      <c r="P5633" s="4"/>
    </row>
    <row r="5634" spans="16:16" x14ac:dyDescent="0.25">
      <c r="P5634" s="4"/>
    </row>
    <row r="5635" spans="16:16" x14ac:dyDescent="0.25">
      <c r="P5635" s="4"/>
    </row>
    <row r="5636" spans="16:16" x14ac:dyDescent="0.25">
      <c r="P5636" s="4"/>
    </row>
    <row r="5637" spans="16:16" x14ac:dyDescent="0.25">
      <c r="P5637" s="4"/>
    </row>
    <row r="5638" spans="16:16" x14ac:dyDescent="0.25">
      <c r="P5638" s="4"/>
    </row>
    <row r="5639" spans="16:16" x14ac:dyDescent="0.25">
      <c r="P5639" s="4"/>
    </row>
    <row r="5640" spans="16:16" x14ac:dyDescent="0.25">
      <c r="P5640" s="4"/>
    </row>
    <row r="5641" spans="16:16" x14ac:dyDescent="0.25">
      <c r="P5641" s="4"/>
    </row>
    <row r="5642" spans="16:16" x14ac:dyDescent="0.25">
      <c r="P5642" s="4"/>
    </row>
    <row r="5643" spans="16:16" x14ac:dyDescent="0.25">
      <c r="P5643" s="4"/>
    </row>
    <row r="5644" spans="16:16" x14ac:dyDescent="0.25">
      <c r="P5644" s="4"/>
    </row>
    <row r="5645" spans="16:16" x14ac:dyDescent="0.25">
      <c r="P5645" s="4"/>
    </row>
    <row r="5646" spans="16:16" x14ac:dyDescent="0.25">
      <c r="P5646" s="4"/>
    </row>
    <row r="5647" spans="16:16" x14ac:dyDescent="0.25">
      <c r="P5647" s="4"/>
    </row>
    <row r="5648" spans="16:16" x14ac:dyDescent="0.25">
      <c r="P5648" s="4"/>
    </row>
    <row r="5649" spans="16:16" x14ac:dyDescent="0.25">
      <c r="P5649" s="4"/>
    </row>
    <row r="5650" spans="16:16" x14ac:dyDescent="0.25">
      <c r="P5650" s="4"/>
    </row>
    <row r="5651" spans="16:16" x14ac:dyDescent="0.25">
      <c r="P5651" s="4"/>
    </row>
    <row r="5652" spans="16:16" x14ac:dyDescent="0.25">
      <c r="P5652" s="4"/>
    </row>
    <row r="5653" spans="16:16" x14ac:dyDescent="0.25">
      <c r="P5653" s="4"/>
    </row>
    <row r="5654" spans="16:16" x14ac:dyDescent="0.25">
      <c r="P5654" s="4"/>
    </row>
    <row r="5655" spans="16:16" x14ac:dyDescent="0.25">
      <c r="P5655" s="4"/>
    </row>
    <row r="5656" spans="16:16" x14ac:dyDescent="0.25">
      <c r="P5656" s="4"/>
    </row>
    <row r="5657" spans="16:16" x14ac:dyDescent="0.25">
      <c r="P5657" s="4"/>
    </row>
    <row r="5658" spans="16:16" x14ac:dyDescent="0.25">
      <c r="P5658" s="4"/>
    </row>
    <row r="5659" spans="16:16" x14ac:dyDescent="0.25">
      <c r="P5659" s="4"/>
    </row>
    <row r="5660" spans="16:16" x14ac:dyDescent="0.25">
      <c r="P5660" s="4"/>
    </row>
    <row r="5661" spans="16:16" x14ac:dyDescent="0.25">
      <c r="P5661" s="4"/>
    </row>
    <row r="5662" spans="16:16" x14ac:dyDescent="0.25">
      <c r="P5662" s="4"/>
    </row>
    <row r="5663" spans="16:16" x14ac:dyDescent="0.25">
      <c r="P5663" s="4"/>
    </row>
    <row r="5664" spans="16:16" x14ac:dyDescent="0.25">
      <c r="P5664" s="4"/>
    </row>
    <row r="5665" spans="16:16" x14ac:dyDescent="0.25">
      <c r="P5665" s="4"/>
    </row>
    <row r="5666" spans="16:16" x14ac:dyDescent="0.25">
      <c r="P5666" s="4"/>
    </row>
    <row r="5667" spans="16:16" x14ac:dyDescent="0.25">
      <c r="P5667" s="4"/>
    </row>
    <row r="5668" spans="16:16" x14ac:dyDescent="0.25">
      <c r="P5668" s="4"/>
    </row>
    <row r="5669" spans="16:16" x14ac:dyDescent="0.25">
      <c r="P5669" s="4"/>
    </row>
    <row r="5670" spans="16:16" x14ac:dyDescent="0.25">
      <c r="P5670" s="4"/>
    </row>
    <row r="5671" spans="16:16" x14ac:dyDescent="0.25">
      <c r="P5671" s="4"/>
    </row>
    <row r="5672" spans="16:16" x14ac:dyDescent="0.25">
      <c r="P5672" s="4"/>
    </row>
    <row r="5673" spans="16:16" x14ac:dyDescent="0.25">
      <c r="P5673" s="4"/>
    </row>
    <row r="5674" spans="16:16" x14ac:dyDescent="0.25">
      <c r="P5674" s="4"/>
    </row>
    <row r="5675" spans="16:16" x14ac:dyDescent="0.25">
      <c r="P5675" s="4"/>
    </row>
    <row r="5676" spans="16:16" x14ac:dyDescent="0.25">
      <c r="P5676" s="4"/>
    </row>
    <row r="5677" spans="16:16" x14ac:dyDescent="0.25">
      <c r="P5677" s="4"/>
    </row>
    <row r="5678" spans="16:16" x14ac:dyDescent="0.25">
      <c r="P5678" s="4"/>
    </row>
    <row r="5679" spans="16:16" x14ac:dyDescent="0.25">
      <c r="P5679" s="4"/>
    </row>
    <row r="5680" spans="16:16" x14ac:dyDescent="0.25">
      <c r="P5680" s="4"/>
    </row>
    <row r="5681" spans="16:16" x14ac:dyDescent="0.25">
      <c r="P5681" s="4"/>
    </row>
    <row r="5682" spans="16:16" x14ac:dyDescent="0.25">
      <c r="P5682" s="4"/>
    </row>
    <row r="5683" spans="16:16" x14ac:dyDescent="0.25">
      <c r="P5683" s="4"/>
    </row>
    <row r="5684" spans="16:16" x14ac:dyDescent="0.25">
      <c r="P5684" s="4"/>
    </row>
    <row r="5685" spans="16:16" x14ac:dyDescent="0.25">
      <c r="P5685" s="4"/>
    </row>
    <row r="5686" spans="16:16" x14ac:dyDescent="0.25">
      <c r="P5686" s="4"/>
    </row>
    <row r="5687" spans="16:16" x14ac:dyDescent="0.25">
      <c r="P5687" s="4"/>
    </row>
    <row r="5688" spans="16:16" x14ac:dyDescent="0.25">
      <c r="P5688" s="4"/>
    </row>
    <row r="5689" spans="16:16" x14ac:dyDescent="0.25">
      <c r="P5689" s="4"/>
    </row>
    <row r="5690" spans="16:16" x14ac:dyDescent="0.25">
      <c r="P5690" s="4"/>
    </row>
    <row r="5691" spans="16:16" x14ac:dyDescent="0.25">
      <c r="P5691" s="4"/>
    </row>
    <row r="5692" spans="16:16" x14ac:dyDescent="0.25">
      <c r="P5692" s="4"/>
    </row>
    <row r="5693" spans="16:16" x14ac:dyDescent="0.25">
      <c r="P5693" s="4"/>
    </row>
    <row r="5694" spans="16:16" x14ac:dyDescent="0.25">
      <c r="P5694" s="4"/>
    </row>
    <row r="5695" spans="16:16" x14ac:dyDescent="0.25">
      <c r="P5695" s="4"/>
    </row>
    <row r="5696" spans="16:16" x14ac:dyDescent="0.25">
      <c r="P5696" s="4"/>
    </row>
    <row r="5697" spans="16:16" x14ac:dyDescent="0.25">
      <c r="P5697" s="4"/>
    </row>
    <row r="5698" spans="16:16" x14ac:dyDescent="0.25">
      <c r="P5698" s="4"/>
    </row>
    <row r="5699" spans="16:16" x14ac:dyDescent="0.25">
      <c r="P5699" s="4"/>
    </row>
    <row r="5700" spans="16:16" x14ac:dyDescent="0.25">
      <c r="P5700" s="4"/>
    </row>
    <row r="5701" spans="16:16" x14ac:dyDescent="0.25">
      <c r="P5701" s="4"/>
    </row>
    <row r="5702" spans="16:16" x14ac:dyDescent="0.25">
      <c r="P5702" s="4"/>
    </row>
    <row r="5703" spans="16:16" x14ac:dyDescent="0.25">
      <c r="P5703" s="4"/>
    </row>
    <row r="5704" spans="16:16" x14ac:dyDescent="0.25">
      <c r="P5704" s="4"/>
    </row>
    <row r="5705" spans="16:16" x14ac:dyDescent="0.25">
      <c r="P5705" s="4"/>
    </row>
    <row r="5706" spans="16:16" x14ac:dyDescent="0.25">
      <c r="P5706" s="4"/>
    </row>
    <row r="5707" spans="16:16" x14ac:dyDescent="0.25">
      <c r="P5707" s="4"/>
    </row>
    <row r="5708" spans="16:16" x14ac:dyDescent="0.25">
      <c r="P5708" s="4"/>
    </row>
    <row r="5709" spans="16:16" x14ac:dyDescent="0.25">
      <c r="P5709" s="4"/>
    </row>
    <row r="5710" spans="16:16" x14ac:dyDescent="0.25">
      <c r="P5710" s="4"/>
    </row>
    <row r="5711" spans="16:16" x14ac:dyDescent="0.25">
      <c r="P5711" s="4"/>
    </row>
    <row r="5712" spans="16:16" x14ac:dyDescent="0.25">
      <c r="P5712" s="4"/>
    </row>
    <row r="5713" spans="16:16" x14ac:dyDescent="0.25">
      <c r="P5713" s="4"/>
    </row>
    <row r="5714" spans="16:16" x14ac:dyDescent="0.25">
      <c r="P5714" s="4"/>
    </row>
    <row r="5715" spans="16:16" x14ac:dyDescent="0.25">
      <c r="P5715" s="4"/>
    </row>
    <row r="5716" spans="16:16" x14ac:dyDescent="0.25">
      <c r="P5716" s="4"/>
    </row>
    <row r="5717" spans="16:16" x14ac:dyDescent="0.25">
      <c r="P5717" s="4"/>
    </row>
    <row r="5718" spans="16:16" x14ac:dyDescent="0.25">
      <c r="P5718" s="4"/>
    </row>
    <row r="5719" spans="16:16" x14ac:dyDescent="0.25">
      <c r="P5719" s="4"/>
    </row>
    <row r="5720" spans="16:16" x14ac:dyDescent="0.25">
      <c r="P5720" s="4"/>
    </row>
    <row r="5721" spans="16:16" x14ac:dyDescent="0.25">
      <c r="P5721" s="4"/>
    </row>
    <row r="5722" spans="16:16" x14ac:dyDescent="0.25">
      <c r="P5722" s="4"/>
    </row>
    <row r="5723" spans="16:16" x14ac:dyDescent="0.25">
      <c r="P5723" s="4"/>
    </row>
    <row r="5724" spans="16:16" x14ac:dyDescent="0.25">
      <c r="P5724" s="4"/>
    </row>
    <row r="5725" spans="16:16" x14ac:dyDescent="0.25">
      <c r="P5725" s="4"/>
    </row>
    <row r="5726" spans="16:16" x14ac:dyDescent="0.25">
      <c r="P5726" s="4"/>
    </row>
    <row r="5727" spans="16:16" x14ac:dyDescent="0.25">
      <c r="P5727" s="4"/>
    </row>
    <row r="5728" spans="16:16" x14ac:dyDescent="0.25">
      <c r="P5728" s="4"/>
    </row>
    <row r="5729" spans="16:16" x14ac:dyDescent="0.25">
      <c r="P5729" s="4"/>
    </row>
    <row r="5730" spans="16:16" x14ac:dyDescent="0.25">
      <c r="P5730" s="4"/>
    </row>
    <row r="5731" spans="16:16" x14ac:dyDescent="0.25">
      <c r="P5731" s="4"/>
    </row>
    <row r="5732" spans="16:16" x14ac:dyDescent="0.25">
      <c r="P5732" s="4"/>
    </row>
    <row r="5733" spans="16:16" x14ac:dyDescent="0.25">
      <c r="P5733" s="4"/>
    </row>
    <row r="5734" spans="16:16" x14ac:dyDescent="0.25">
      <c r="P5734" s="4"/>
    </row>
    <row r="5735" spans="16:16" x14ac:dyDescent="0.25">
      <c r="P5735" s="4"/>
    </row>
    <row r="5736" spans="16:16" x14ac:dyDescent="0.25">
      <c r="P5736" s="4"/>
    </row>
    <row r="5737" spans="16:16" x14ac:dyDescent="0.25">
      <c r="P5737" s="4"/>
    </row>
    <row r="5738" spans="16:16" x14ac:dyDescent="0.25">
      <c r="P5738" s="4"/>
    </row>
    <row r="5739" spans="16:16" x14ac:dyDescent="0.25">
      <c r="P5739" s="4"/>
    </row>
    <row r="5740" spans="16:16" x14ac:dyDescent="0.25">
      <c r="P5740" s="4"/>
    </row>
    <row r="5741" spans="16:16" x14ac:dyDescent="0.25">
      <c r="P5741" s="4"/>
    </row>
    <row r="5742" spans="16:16" x14ac:dyDescent="0.25">
      <c r="P5742" s="4"/>
    </row>
    <row r="5743" spans="16:16" x14ac:dyDescent="0.25">
      <c r="P5743" s="4"/>
    </row>
    <row r="5744" spans="16:16" x14ac:dyDescent="0.25">
      <c r="P5744" s="4"/>
    </row>
    <row r="5745" spans="16:16" x14ac:dyDescent="0.25">
      <c r="P5745" s="4"/>
    </row>
    <row r="5746" spans="16:16" x14ac:dyDescent="0.25">
      <c r="P5746" s="4"/>
    </row>
    <row r="5747" spans="16:16" x14ac:dyDescent="0.25">
      <c r="P5747" s="4"/>
    </row>
    <row r="5748" spans="16:16" x14ac:dyDescent="0.25">
      <c r="P5748" s="4"/>
    </row>
    <row r="5749" spans="16:16" x14ac:dyDescent="0.25">
      <c r="P5749" s="4"/>
    </row>
    <row r="5750" spans="16:16" x14ac:dyDescent="0.25">
      <c r="P5750" s="4"/>
    </row>
    <row r="5751" spans="16:16" x14ac:dyDescent="0.25">
      <c r="P5751" s="4"/>
    </row>
    <row r="5752" spans="16:16" x14ac:dyDescent="0.25">
      <c r="P5752" s="4"/>
    </row>
    <row r="5753" spans="16:16" x14ac:dyDescent="0.25">
      <c r="P5753" s="4"/>
    </row>
    <row r="5754" spans="16:16" x14ac:dyDescent="0.25">
      <c r="P5754" s="4"/>
    </row>
    <row r="5755" spans="16:16" x14ac:dyDescent="0.25">
      <c r="P5755" s="4"/>
    </row>
    <row r="5756" spans="16:16" x14ac:dyDescent="0.25">
      <c r="P5756" s="4"/>
    </row>
    <row r="5757" spans="16:16" x14ac:dyDescent="0.25">
      <c r="P5757" s="4"/>
    </row>
    <row r="5758" spans="16:16" x14ac:dyDescent="0.25">
      <c r="P5758" s="4"/>
    </row>
    <row r="5759" spans="16:16" x14ac:dyDescent="0.25">
      <c r="P5759" s="4"/>
    </row>
    <row r="5760" spans="16:16" x14ac:dyDescent="0.25">
      <c r="P5760" s="4"/>
    </row>
    <row r="5761" spans="16:16" x14ac:dyDescent="0.25">
      <c r="P5761" s="4"/>
    </row>
    <row r="5762" spans="16:16" x14ac:dyDescent="0.25">
      <c r="P5762" s="4"/>
    </row>
    <row r="5763" spans="16:16" x14ac:dyDescent="0.25">
      <c r="P5763" s="4"/>
    </row>
    <row r="5764" spans="16:16" x14ac:dyDescent="0.25">
      <c r="P5764" s="4"/>
    </row>
    <row r="5765" spans="16:16" x14ac:dyDescent="0.25">
      <c r="P5765" s="4"/>
    </row>
    <row r="5766" spans="16:16" x14ac:dyDescent="0.25">
      <c r="P5766" s="4"/>
    </row>
    <row r="5767" spans="16:16" x14ac:dyDescent="0.25">
      <c r="P5767" s="4"/>
    </row>
    <row r="5768" spans="16:16" x14ac:dyDescent="0.25">
      <c r="P5768" s="4"/>
    </row>
    <row r="5769" spans="16:16" x14ac:dyDescent="0.25">
      <c r="P5769" s="4"/>
    </row>
    <row r="5770" spans="16:16" x14ac:dyDescent="0.25">
      <c r="P5770" s="4"/>
    </row>
    <row r="5771" spans="16:16" x14ac:dyDescent="0.25">
      <c r="P5771" s="4"/>
    </row>
    <row r="5772" spans="16:16" x14ac:dyDescent="0.25">
      <c r="P5772" s="4"/>
    </row>
    <row r="5773" spans="16:16" x14ac:dyDescent="0.25">
      <c r="P5773" s="4"/>
    </row>
    <row r="5774" spans="16:16" x14ac:dyDescent="0.25">
      <c r="P5774" s="4"/>
    </row>
    <row r="5775" spans="16:16" x14ac:dyDescent="0.25">
      <c r="P5775" s="4"/>
    </row>
    <row r="5776" spans="16:16" x14ac:dyDescent="0.25">
      <c r="P5776" s="4"/>
    </row>
    <row r="5777" spans="16:16" x14ac:dyDescent="0.25">
      <c r="P5777" s="4"/>
    </row>
    <row r="5778" spans="16:16" x14ac:dyDescent="0.25">
      <c r="P5778" s="4"/>
    </row>
    <row r="5779" spans="16:16" x14ac:dyDescent="0.25">
      <c r="P5779" s="4"/>
    </row>
    <row r="5780" spans="16:16" x14ac:dyDescent="0.25">
      <c r="P5780" s="4"/>
    </row>
    <row r="5781" spans="16:16" x14ac:dyDescent="0.25">
      <c r="P5781" s="4"/>
    </row>
    <row r="5782" spans="16:16" x14ac:dyDescent="0.25">
      <c r="P5782" s="4"/>
    </row>
    <row r="5783" spans="16:16" x14ac:dyDescent="0.25">
      <c r="P5783" s="4"/>
    </row>
    <row r="5784" spans="16:16" x14ac:dyDescent="0.25">
      <c r="P5784" s="4"/>
    </row>
    <row r="5785" spans="16:16" x14ac:dyDescent="0.25">
      <c r="P5785" s="4"/>
    </row>
    <row r="5786" spans="16:16" x14ac:dyDescent="0.25">
      <c r="P5786" s="4"/>
    </row>
    <row r="5787" spans="16:16" x14ac:dyDescent="0.25">
      <c r="P5787" s="4"/>
    </row>
    <row r="5788" spans="16:16" x14ac:dyDescent="0.25">
      <c r="P5788" s="4"/>
    </row>
    <row r="5789" spans="16:16" x14ac:dyDescent="0.25">
      <c r="P5789" s="4"/>
    </row>
    <row r="5790" spans="16:16" x14ac:dyDescent="0.25">
      <c r="P5790" s="4"/>
    </row>
    <row r="5791" spans="16:16" x14ac:dyDescent="0.25">
      <c r="P5791" s="4"/>
    </row>
    <row r="5792" spans="16:16" x14ac:dyDescent="0.25">
      <c r="P5792" s="4"/>
    </row>
    <row r="5793" spans="16:16" x14ac:dyDescent="0.25">
      <c r="P5793" s="4"/>
    </row>
    <row r="5794" spans="16:16" x14ac:dyDescent="0.25">
      <c r="P5794" s="4"/>
    </row>
    <row r="5795" spans="16:16" x14ac:dyDescent="0.25">
      <c r="P5795" s="4"/>
    </row>
    <row r="5796" spans="16:16" x14ac:dyDescent="0.25">
      <c r="P5796" s="4"/>
    </row>
    <row r="5797" spans="16:16" x14ac:dyDescent="0.25">
      <c r="P5797" s="4"/>
    </row>
    <row r="5798" spans="16:16" x14ac:dyDescent="0.25">
      <c r="P5798" s="4"/>
    </row>
    <row r="5799" spans="16:16" x14ac:dyDescent="0.25">
      <c r="P5799" s="4"/>
    </row>
    <row r="5800" spans="16:16" x14ac:dyDescent="0.25">
      <c r="P5800" s="4"/>
    </row>
    <row r="5801" spans="16:16" x14ac:dyDescent="0.25">
      <c r="P5801" s="4"/>
    </row>
    <row r="5802" spans="16:16" x14ac:dyDescent="0.25">
      <c r="P5802" s="4"/>
    </row>
    <row r="5803" spans="16:16" x14ac:dyDescent="0.25">
      <c r="P5803" s="4"/>
    </row>
    <row r="5804" spans="16:16" x14ac:dyDescent="0.25">
      <c r="P5804" s="4"/>
    </row>
    <row r="5805" spans="16:16" x14ac:dyDescent="0.25">
      <c r="P5805" s="4"/>
    </row>
    <row r="5806" spans="16:16" x14ac:dyDescent="0.25">
      <c r="P5806" s="4"/>
    </row>
    <row r="5807" spans="16:16" x14ac:dyDescent="0.25">
      <c r="P5807" s="4"/>
    </row>
    <row r="5808" spans="16:16" x14ac:dyDescent="0.25">
      <c r="P5808" s="4"/>
    </row>
    <row r="5809" spans="16:16" x14ac:dyDescent="0.25">
      <c r="P5809" s="4"/>
    </row>
    <row r="5810" spans="16:16" x14ac:dyDescent="0.25">
      <c r="P5810" s="4"/>
    </row>
    <row r="5811" spans="16:16" x14ac:dyDescent="0.25">
      <c r="P5811" s="4"/>
    </row>
    <row r="5812" spans="16:16" x14ac:dyDescent="0.25">
      <c r="P5812" s="4"/>
    </row>
    <row r="5813" spans="16:16" x14ac:dyDescent="0.25">
      <c r="P5813" s="4"/>
    </row>
    <row r="5814" spans="16:16" x14ac:dyDescent="0.25">
      <c r="P5814" s="4"/>
    </row>
    <row r="5815" spans="16:16" x14ac:dyDescent="0.25">
      <c r="P5815" s="4"/>
    </row>
    <row r="5816" spans="16:16" x14ac:dyDescent="0.25">
      <c r="P5816" s="4"/>
    </row>
    <row r="5817" spans="16:16" x14ac:dyDescent="0.25">
      <c r="P5817" s="4"/>
    </row>
    <row r="5818" spans="16:16" x14ac:dyDescent="0.25">
      <c r="P5818" s="4"/>
    </row>
    <row r="5819" spans="16:16" x14ac:dyDescent="0.25">
      <c r="P5819" s="4"/>
    </row>
    <row r="5820" spans="16:16" x14ac:dyDescent="0.25">
      <c r="P5820" s="4"/>
    </row>
    <row r="5821" spans="16:16" x14ac:dyDescent="0.25">
      <c r="P5821" s="4"/>
    </row>
    <row r="5822" spans="16:16" x14ac:dyDescent="0.25">
      <c r="P5822" s="4"/>
    </row>
    <row r="5823" spans="16:16" x14ac:dyDescent="0.25">
      <c r="P5823" s="4"/>
    </row>
    <row r="5824" spans="16:16" x14ac:dyDescent="0.25">
      <c r="P5824" s="4"/>
    </row>
    <row r="5825" spans="16:16" x14ac:dyDescent="0.25">
      <c r="P5825" s="4"/>
    </row>
    <row r="5826" spans="16:16" x14ac:dyDescent="0.25">
      <c r="P5826" s="4"/>
    </row>
    <row r="5827" spans="16:16" x14ac:dyDescent="0.25">
      <c r="P5827" s="4"/>
    </row>
    <row r="5828" spans="16:16" x14ac:dyDescent="0.25">
      <c r="P5828" s="4"/>
    </row>
    <row r="5829" spans="16:16" x14ac:dyDescent="0.25">
      <c r="P5829" s="4"/>
    </row>
    <row r="5830" spans="16:16" x14ac:dyDescent="0.25">
      <c r="P5830" s="4"/>
    </row>
    <row r="5831" spans="16:16" x14ac:dyDescent="0.25">
      <c r="P5831" s="4"/>
    </row>
    <row r="5832" spans="16:16" x14ac:dyDescent="0.25">
      <c r="P5832" s="4"/>
    </row>
    <row r="5833" spans="16:16" x14ac:dyDescent="0.25">
      <c r="P5833" s="4"/>
    </row>
    <row r="5834" spans="16:16" x14ac:dyDescent="0.25">
      <c r="P5834" s="4"/>
    </row>
    <row r="5835" spans="16:16" x14ac:dyDescent="0.25">
      <c r="P5835" s="4"/>
    </row>
    <row r="5836" spans="16:16" x14ac:dyDescent="0.25">
      <c r="P5836" s="4"/>
    </row>
    <row r="5837" spans="16:16" x14ac:dyDescent="0.25">
      <c r="P5837" s="4"/>
    </row>
    <row r="5838" spans="16:16" x14ac:dyDescent="0.25">
      <c r="P5838" s="4"/>
    </row>
    <row r="5839" spans="16:16" x14ac:dyDescent="0.25">
      <c r="P5839" s="4"/>
    </row>
    <row r="5840" spans="16:16" x14ac:dyDescent="0.25">
      <c r="P5840" s="4"/>
    </row>
    <row r="5841" spans="16:16" x14ac:dyDescent="0.25">
      <c r="P5841" s="4"/>
    </row>
    <row r="5842" spans="16:16" x14ac:dyDescent="0.25">
      <c r="P5842" s="4"/>
    </row>
    <row r="5843" spans="16:16" x14ac:dyDescent="0.25">
      <c r="P5843" s="4"/>
    </row>
    <row r="5844" spans="16:16" x14ac:dyDescent="0.25">
      <c r="P5844" s="4"/>
    </row>
    <row r="5845" spans="16:16" x14ac:dyDescent="0.25">
      <c r="P5845" s="4"/>
    </row>
    <row r="5846" spans="16:16" x14ac:dyDescent="0.25">
      <c r="P5846" s="4"/>
    </row>
    <row r="5847" spans="16:16" x14ac:dyDescent="0.25">
      <c r="P5847" s="4"/>
    </row>
    <row r="5848" spans="16:16" x14ac:dyDescent="0.25">
      <c r="P5848" s="4"/>
    </row>
    <row r="5849" spans="16:16" x14ac:dyDescent="0.25">
      <c r="P5849" s="4"/>
    </row>
    <row r="5850" spans="16:16" x14ac:dyDescent="0.25">
      <c r="P5850" s="4"/>
    </row>
    <row r="5851" spans="16:16" x14ac:dyDescent="0.25">
      <c r="P5851" s="4"/>
    </row>
    <row r="5852" spans="16:16" x14ac:dyDescent="0.25">
      <c r="P5852" s="4"/>
    </row>
    <row r="5853" spans="16:16" x14ac:dyDescent="0.25">
      <c r="P5853" s="4"/>
    </row>
    <row r="5854" spans="16:16" x14ac:dyDescent="0.25">
      <c r="P5854" s="4"/>
    </row>
    <row r="5855" spans="16:16" x14ac:dyDescent="0.25">
      <c r="P5855" s="4"/>
    </row>
    <row r="5856" spans="16:16" x14ac:dyDescent="0.25">
      <c r="P5856" s="4"/>
    </row>
    <row r="5857" spans="16:16" x14ac:dyDescent="0.25">
      <c r="P5857" s="4"/>
    </row>
    <row r="5858" spans="16:16" x14ac:dyDescent="0.25">
      <c r="P5858" s="4"/>
    </row>
    <row r="5859" spans="16:16" x14ac:dyDescent="0.25">
      <c r="P5859" s="4"/>
    </row>
    <row r="5860" spans="16:16" x14ac:dyDescent="0.25">
      <c r="P5860" s="4"/>
    </row>
    <row r="5861" spans="16:16" x14ac:dyDescent="0.25">
      <c r="P5861" s="4"/>
    </row>
    <row r="5862" spans="16:16" x14ac:dyDescent="0.25">
      <c r="P5862" s="4"/>
    </row>
    <row r="5863" spans="16:16" x14ac:dyDescent="0.25">
      <c r="P5863" s="4"/>
    </row>
    <row r="5864" spans="16:16" x14ac:dyDescent="0.25">
      <c r="P5864" s="4"/>
    </row>
    <row r="5865" spans="16:16" x14ac:dyDescent="0.25">
      <c r="P5865" s="4"/>
    </row>
    <row r="5866" spans="16:16" x14ac:dyDescent="0.25">
      <c r="P5866" s="4"/>
    </row>
    <row r="5867" spans="16:16" x14ac:dyDescent="0.25">
      <c r="P5867" s="4"/>
    </row>
    <row r="5868" spans="16:16" x14ac:dyDescent="0.25">
      <c r="P5868" s="4"/>
    </row>
    <row r="5869" spans="16:16" x14ac:dyDescent="0.25">
      <c r="P5869" s="4"/>
    </row>
    <row r="5870" spans="16:16" x14ac:dyDescent="0.25">
      <c r="P5870" s="4"/>
    </row>
    <row r="5871" spans="16:16" x14ac:dyDescent="0.25">
      <c r="P5871" s="4"/>
    </row>
    <row r="5872" spans="16:16" x14ac:dyDescent="0.25">
      <c r="P5872" s="4"/>
    </row>
    <row r="5873" spans="16:16" x14ac:dyDescent="0.25">
      <c r="P5873" s="4"/>
    </row>
    <row r="5874" spans="16:16" x14ac:dyDescent="0.25">
      <c r="P5874" s="4"/>
    </row>
    <row r="5875" spans="16:16" x14ac:dyDescent="0.25">
      <c r="P5875" s="4"/>
    </row>
    <row r="5876" spans="16:16" x14ac:dyDescent="0.25">
      <c r="P5876" s="4"/>
    </row>
    <row r="5877" spans="16:16" x14ac:dyDescent="0.25">
      <c r="P5877" s="4"/>
    </row>
    <row r="5878" spans="16:16" x14ac:dyDescent="0.25">
      <c r="P5878" s="4"/>
    </row>
    <row r="5879" spans="16:16" x14ac:dyDescent="0.25">
      <c r="P5879" s="4"/>
    </row>
    <row r="5880" spans="16:16" x14ac:dyDescent="0.25">
      <c r="P5880" s="4"/>
    </row>
    <row r="5881" spans="16:16" x14ac:dyDescent="0.25">
      <c r="P5881" s="4"/>
    </row>
    <row r="5882" spans="16:16" x14ac:dyDescent="0.25">
      <c r="P5882" s="4"/>
    </row>
    <row r="5883" spans="16:16" x14ac:dyDescent="0.25">
      <c r="P5883" s="4"/>
    </row>
    <row r="5884" spans="16:16" x14ac:dyDescent="0.25">
      <c r="P5884" s="4"/>
    </row>
    <row r="5885" spans="16:16" x14ac:dyDescent="0.25">
      <c r="P5885" s="4"/>
    </row>
    <row r="5886" spans="16:16" x14ac:dyDescent="0.25">
      <c r="P5886" s="4"/>
    </row>
    <row r="5887" spans="16:16" x14ac:dyDescent="0.25">
      <c r="P5887" s="4"/>
    </row>
    <row r="5888" spans="16:16" x14ac:dyDescent="0.25">
      <c r="P5888" s="4"/>
    </row>
    <row r="5889" spans="16:16" x14ac:dyDescent="0.25">
      <c r="P5889" s="4"/>
    </row>
    <row r="5890" spans="16:16" x14ac:dyDescent="0.25">
      <c r="P5890" s="4"/>
    </row>
    <row r="5891" spans="16:16" x14ac:dyDescent="0.25">
      <c r="P5891" s="4"/>
    </row>
    <row r="5892" spans="16:16" x14ac:dyDescent="0.25">
      <c r="P5892" s="4"/>
    </row>
    <row r="5893" spans="16:16" x14ac:dyDescent="0.25">
      <c r="P5893" s="4"/>
    </row>
    <row r="5894" spans="16:16" x14ac:dyDescent="0.25">
      <c r="P5894" s="4"/>
    </row>
    <row r="5895" spans="16:16" x14ac:dyDescent="0.25">
      <c r="P5895" s="4"/>
    </row>
    <row r="5896" spans="16:16" x14ac:dyDescent="0.25">
      <c r="P5896" s="4"/>
    </row>
    <row r="5897" spans="16:16" x14ac:dyDescent="0.25">
      <c r="P5897" s="4"/>
    </row>
    <row r="5898" spans="16:16" x14ac:dyDescent="0.25">
      <c r="P5898" s="4"/>
    </row>
    <row r="5899" spans="16:16" x14ac:dyDescent="0.25">
      <c r="P5899" s="4"/>
    </row>
    <row r="5900" spans="16:16" x14ac:dyDescent="0.25">
      <c r="P5900" s="4"/>
    </row>
    <row r="5901" spans="16:16" x14ac:dyDescent="0.25">
      <c r="P5901" s="4"/>
    </row>
    <row r="5902" spans="16:16" x14ac:dyDescent="0.25">
      <c r="P5902" s="4"/>
    </row>
    <row r="5903" spans="16:16" x14ac:dyDescent="0.25">
      <c r="P5903" s="4"/>
    </row>
    <row r="5904" spans="16:16" x14ac:dyDescent="0.25">
      <c r="P5904" s="4"/>
    </row>
    <row r="5905" spans="16:16" x14ac:dyDescent="0.25">
      <c r="P5905" s="4"/>
    </row>
    <row r="5906" spans="16:16" x14ac:dyDescent="0.25">
      <c r="P5906" s="4"/>
    </row>
    <row r="5907" spans="16:16" x14ac:dyDescent="0.25">
      <c r="P5907" s="4"/>
    </row>
    <row r="5908" spans="16:16" x14ac:dyDescent="0.25">
      <c r="P5908" s="4"/>
    </row>
    <row r="5909" spans="16:16" x14ac:dyDescent="0.25">
      <c r="P5909" s="4"/>
    </row>
    <row r="5910" spans="16:16" x14ac:dyDescent="0.25">
      <c r="P5910" s="4"/>
    </row>
    <row r="5911" spans="16:16" x14ac:dyDescent="0.25">
      <c r="P5911" s="4"/>
    </row>
    <row r="5912" spans="16:16" x14ac:dyDescent="0.25">
      <c r="P5912" s="4"/>
    </row>
    <row r="5913" spans="16:16" x14ac:dyDescent="0.25">
      <c r="P5913" s="4"/>
    </row>
    <row r="5914" spans="16:16" x14ac:dyDescent="0.25">
      <c r="P5914" s="4"/>
    </row>
    <row r="5915" spans="16:16" x14ac:dyDescent="0.25">
      <c r="P5915" s="4"/>
    </row>
    <row r="5916" spans="16:16" x14ac:dyDescent="0.25">
      <c r="P5916" s="4"/>
    </row>
    <row r="5917" spans="16:16" x14ac:dyDescent="0.25">
      <c r="P5917" s="4"/>
    </row>
    <row r="5918" spans="16:16" x14ac:dyDescent="0.25">
      <c r="P5918" s="4"/>
    </row>
    <row r="5919" spans="16:16" x14ac:dyDescent="0.25">
      <c r="P5919" s="4"/>
    </row>
    <row r="5920" spans="16:16" x14ac:dyDescent="0.25">
      <c r="P5920" s="4"/>
    </row>
    <row r="5921" spans="16:16" x14ac:dyDescent="0.25">
      <c r="P5921" s="4"/>
    </row>
    <row r="5922" spans="16:16" x14ac:dyDescent="0.25">
      <c r="P5922" s="4"/>
    </row>
    <row r="5923" spans="16:16" x14ac:dyDescent="0.25">
      <c r="P5923" s="4"/>
    </row>
    <row r="5924" spans="16:16" x14ac:dyDescent="0.25">
      <c r="P5924" s="4"/>
    </row>
    <row r="5925" spans="16:16" x14ac:dyDescent="0.25">
      <c r="P5925" s="4"/>
    </row>
    <row r="5926" spans="16:16" x14ac:dyDescent="0.25">
      <c r="P5926" s="4"/>
    </row>
    <row r="5927" spans="16:16" x14ac:dyDescent="0.25">
      <c r="P5927" s="4"/>
    </row>
    <row r="5928" spans="16:16" x14ac:dyDescent="0.25">
      <c r="P5928" s="4"/>
    </row>
    <row r="5929" spans="16:16" x14ac:dyDescent="0.25">
      <c r="P5929" s="4"/>
    </row>
    <row r="5930" spans="16:16" x14ac:dyDescent="0.25">
      <c r="P5930" s="4"/>
    </row>
    <row r="5931" spans="16:16" x14ac:dyDescent="0.25">
      <c r="P5931" s="4"/>
    </row>
    <row r="5932" spans="16:16" x14ac:dyDescent="0.25">
      <c r="P5932" s="4"/>
    </row>
    <row r="5933" spans="16:16" x14ac:dyDescent="0.25">
      <c r="P5933" s="4"/>
    </row>
    <row r="5934" spans="16:16" x14ac:dyDescent="0.25">
      <c r="P5934" s="4"/>
    </row>
    <row r="5935" spans="16:16" x14ac:dyDescent="0.25">
      <c r="P5935" s="4"/>
    </row>
    <row r="5936" spans="16:16" x14ac:dyDescent="0.25">
      <c r="P5936" s="4"/>
    </row>
    <row r="5937" spans="16:16" x14ac:dyDescent="0.25">
      <c r="P5937" s="4"/>
    </row>
    <row r="5938" spans="16:16" x14ac:dyDescent="0.25">
      <c r="P5938" s="4"/>
    </row>
    <row r="5939" spans="16:16" x14ac:dyDescent="0.25">
      <c r="P5939" s="4"/>
    </row>
    <row r="5940" spans="16:16" x14ac:dyDescent="0.25">
      <c r="P5940" s="4"/>
    </row>
    <row r="5941" spans="16:16" x14ac:dyDescent="0.25">
      <c r="P5941" s="4"/>
    </row>
    <row r="5942" spans="16:16" x14ac:dyDescent="0.25">
      <c r="P5942" s="4"/>
    </row>
    <row r="5943" spans="16:16" x14ac:dyDescent="0.25">
      <c r="P5943" s="4"/>
    </row>
    <row r="5944" spans="16:16" x14ac:dyDescent="0.25">
      <c r="P5944" s="4"/>
    </row>
    <row r="5945" spans="16:16" x14ac:dyDescent="0.25">
      <c r="P5945" s="4"/>
    </row>
    <row r="5946" spans="16:16" x14ac:dyDescent="0.25">
      <c r="P5946" s="4"/>
    </row>
    <row r="5947" spans="16:16" x14ac:dyDescent="0.25">
      <c r="P5947" s="4"/>
    </row>
    <row r="5948" spans="16:16" x14ac:dyDescent="0.25">
      <c r="P5948" s="4"/>
    </row>
    <row r="5949" spans="16:16" x14ac:dyDescent="0.25">
      <c r="P5949" s="4"/>
    </row>
    <row r="5950" spans="16:16" x14ac:dyDescent="0.25">
      <c r="P5950" s="4"/>
    </row>
    <row r="5951" spans="16:16" x14ac:dyDescent="0.25">
      <c r="P5951" s="4"/>
    </row>
    <row r="5952" spans="16:16" x14ac:dyDescent="0.25">
      <c r="P5952" s="4"/>
    </row>
    <row r="5953" spans="16:16" x14ac:dyDescent="0.25">
      <c r="P5953" s="4"/>
    </row>
    <row r="5954" spans="16:16" x14ac:dyDescent="0.25">
      <c r="P5954" s="4"/>
    </row>
    <row r="5955" spans="16:16" x14ac:dyDescent="0.25">
      <c r="P5955" s="4"/>
    </row>
    <row r="5956" spans="16:16" x14ac:dyDescent="0.25">
      <c r="P5956" s="4"/>
    </row>
    <row r="5957" spans="16:16" x14ac:dyDescent="0.25">
      <c r="P5957" s="4"/>
    </row>
    <row r="5958" spans="16:16" x14ac:dyDescent="0.25">
      <c r="P5958" s="4"/>
    </row>
    <row r="5959" spans="16:16" x14ac:dyDescent="0.25">
      <c r="P5959" s="4"/>
    </row>
    <row r="5960" spans="16:16" x14ac:dyDescent="0.25">
      <c r="P5960" s="4"/>
    </row>
    <row r="5961" spans="16:16" x14ac:dyDescent="0.25">
      <c r="P5961" s="4"/>
    </row>
    <row r="5962" spans="16:16" x14ac:dyDescent="0.25">
      <c r="P5962" s="4"/>
    </row>
    <row r="5963" spans="16:16" x14ac:dyDescent="0.25">
      <c r="P5963" s="4"/>
    </row>
    <row r="5964" spans="16:16" x14ac:dyDescent="0.25">
      <c r="P5964" s="4"/>
    </row>
    <row r="5965" spans="16:16" x14ac:dyDescent="0.25">
      <c r="P5965" s="4"/>
    </row>
    <row r="5966" spans="16:16" x14ac:dyDescent="0.25">
      <c r="P5966" s="4"/>
    </row>
    <row r="5967" spans="16:16" x14ac:dyDescent="0.25">
      <c r="P5967" s="4"/>
    </row>
    <row r="5968" spans="16:16" x14ac:dyDescent="0.25">
      <c r="P5968" s="4"/>
    </row>
    <row r="5969" spans="16:16" x14ac:dyDescent="0.25">
      <c r="P5969" s="4"/>
    </row>
    <row r="5970" spans="16:16" x14ac:dyDescent="0.25">
      <c r="P5970" s="4"/>
    </row>
    <row r="5971" spans="16:16" x14ac:dyDescent="0.25">
      <c r="P5971" s="4"/>
    </row>
    <row r="5972" spans="16:16" x14ac:dyDescent="0.25">
      <c r="P5972" s="4"/>
    </row>
    <row r="5973" spans="16:16" x14ac:dyDescent="0.25">
      <c r="P5973" s="4"/>
    </row>
    <row r="5974" spans="16:16" x14ac:dyDescent="0.25">
      <c r="P5974" s="4"/>
    </row>
    <row r="5975" spans="16:16" x14ac:dyDescent="0.25">
      <c r="P5975" s="4"/>
    </row>
    <row r="5976" spans="16:16" x14ac:dyDescent="0.25">
      <c r="P5976" s="4"/>
    </row>
    <row r="5977" spans="16:16" x14ac:dyDescent="0.25">
      <c r="P5977" s="4"/>
    </row>
    <row r="5978" spans="16:16" x14ac:dyDescent="0.25">
      <c r="P5978" s="4"/>
    </row>
    <row r="5979" spans="16:16" x14ac:dyDescent="0.25">
      <c r="P5979" s="4"/>
    </row>
    <row r="5980" spans="16:16" x14ac:dyDescent="0.25">
      <c r="P5980" s="4"/>
    </row>
    <row r="5981" spans="16:16" x14ac:dyDescent="0.25">
      <c r="P5981" s="4"/>
    </row>
    <row r="5982" spans="16:16" x14ac:dyDescent="0.25">
      <c r="P5982" s="4"/>
    </row>
    <row r="5983" spans="16:16" x14ac:dyDescent="0.25">
      <c r="P5983" s="4"/>
    </row>
    <row r="5984" spans="16:16" x14ac:dyDescent="0.25">
      <c r="P5984" s="4"/>
    </row>
    <row r="5985" spans="16:16" x14ac:dyDescent="0.25">
      <c r="P5985" s="4"/>
    </row>
    <row r="5986" spans="16:16" x14ac:dyDescent="0.25">
      <c r="P5986" s="4"/>
    </row>
    <row r="5987" spans="16:16" x14ac:dyDescent="0.25">
      <c r="P5987" s="4"/>
    </row>
    <row r="5988" spans="16:16" x14ac:dyDescent="0.25">
      <c r="P5988" s="4"/>
    </row>
    <row r="5989" spans="16:16" x14ac:dyDescent="0.25">
      <c r="P5989" s="4"/>
    </row>
    <row r="5990" spans="16:16" x14ac:dyDescent="0.25">
      <c r="P5990" s="4"/>
    </row>
    <row r="5991" spans="16:16" x14ac:dyDescent="0.25">
      <c r="P5991" s="4"/>
    </row>
    <row r="5992" spans="16:16" x14ac:dyDescent="0.25">
      <c r="P5992" s="4"/>
    </row>
    <row r="5993" spans="16:16" x14ac:dyDescent="0.25">
      <c r="P5993" s="4"/>
    </row>
    <row r="5994" spans="16:16" x14ac:dyDescent="0.25">
      <c r="P5994" s="4"/>
    </row>
    <row r="5995" spans="16:16" x14ac:dyDescent="0.25">
      <c r="P5995" s="4"/>
    </row>
    <row r="5996" spans="16:16" x14ac:dyDescent="0.25">
      <c r="P5996" s="4"/>
    </row>
    <row r="5997" spans="16:16" x14ac:dyDescent="0.25">
      <c r="P5997" s="4"/>
    </row>
    <row r="5998" spans="16:16" x14ac:dyDescent="0.25">
      <c r="P5998" s="4"/>
    </row>
    <row r="5999" spans="16:16" x14ac:dyDescent="0.25">
      <c r="P5999" s="4"/>
    </row>
    <row r="6000" spans="16:16" x14ac:dyDescent="0.25">
      <c r="P6000" s="4"/>
    </row>
    <row r="6001" spans="16:16" x14ac:dyDescent="0.25">
      <c r="P6001" s="4"/>
    </row>
    <row r="6002" spans="16:16" x14ac:dyDescent="0.25">
      <c r="P6002" s="4"/>
    </row>
    <row r="6003" spans="16:16" x14ac:dyDescent="0.25">
      <c r="P6003" s="4"/>
    </row>
    <row r="6004" spans="16:16" x14ac:dyDescent="0.25">
      <c r="P6004" s="4"/>
    </row>
    <row r="6005" spans="16:16" x14ac:dyDescent="0.25">
      <c r="P6005" s="4"/>
    </row>
    <row r="6006" spans="16:16" x14ac:dyDescent="0.25">
      <c r="P6006" s="4"/>
    </row>
    <row r="6007" spans="16:16" x14ac:dyDescent="0.25">
      <c r="P6007" s="4"/>
    </row>
    <row r="6008" spans="16:16" x14ac:dyDescent="0.25">
      <c r="P6008" s="4"/>
    </row>
    <row r="6009" spans="16:16" x14ac:dyDescent="0.25">
      <c r="P6009" s="4"/>
    </row>
    <row r="6010" spans="16:16" x14ac:dyDescent="0.25">
      <c r="P6010" s="4"/>
    </row>
    <row r="6011" spans="16:16" x14ac:dyDescent="0.25">
      <c r="P6011" s="4"/>
    </row>
    <row r="6012" spans="16:16" x14ac:dyDescent="0.25">
      <c r="P6012" s="4"/>
    </row>
    <row r="6013" spans="16:16" x14ac:dyDescent="0.25">
      <c r="P6013" s="4"/>
    </row>
    <row r="6014" spans="16:16" x14ac:dyDescent="0.25">
      <c r="P6014" s="4"/>
    </row>
    <row r="6015" spans="16:16" x14ac:dyDescent="0.25">
      <c r="P6015" s="4"/>
    </row>
    <row r="6016" spans="16:16" x14ac:dyDescent="0.25">
      <c r="P6016" s="4"/>
    </row>
    <row r="6017" spans="16:16" x14ac:dyDescent="0.25">
      <c r="P6017" s="4"/>
    </row>
    <row r="6018" spans="16:16" x14ac:dyDescent="0.25">
      <c r="P6018" s="4"/>
    </row>
    <row r="6019" spans="16:16" x14ac:dyDescent="0.25">
      <c r="P6019" s="4"/>
    </row>
    <row r="6020" spans="16:16" x14ac:dyDescent="0.25">
      <c r="P6020" s="4"/>
    </row>
    <row r="6021" spans="16:16" x14ac:dyDescent="0.25">
      <c r="P6021" s="4"/>
    </row>
    <row r="6022" spans="16:16" x14ac:dyDescent="0.25">
      <c r="P6022" s="4"/>
    </row>
    <row r="6023" spans="16:16" x14ac:dyDescent="0.25">
      <c r="P6023" s="4"/>
    </row>
    <row r="6024" spans="16:16" x14ac:dyDescent="0.25">
      <c r="P6024" s="4"/>
    </row>
    <row r="6025" spans="16:16" x14ac:dyDescent="0.25">
      <c r="P6025" s="4"/>
    </row>
    <row r="6026" spans="16:16" x14ac:dyDescent="0.25">
      <c r="P6026" s="4"/>
    </row>
    <row r="6027" spans="16:16" x14ac:dyDescent="0.25">
      <c r="P6027" s="4"/>
    </row>
    <row r="6028" spans="16:16" x14ac:dyDescent="0.25">
      <c r="P6028" s="4"/>
    </row>
    <row r="6029" spans="16:16" x14ac:dyDescent="0.25">
      <c r="P6029" s="4"/>
    </row>
    <row r="6030" spans="16:16" x14ac:dyDescent="0.25">
      <c r="P6030" s="4"/>
    </row>
    <row r="6031" spans="16:16" x14ac:dyDescent="0.25">
      <c r="P6031" s="4"/>
    </row>
    <row r="6032" spans="16:16" x14ac:dyDescent="0.25">
      <c r="P6032" s="4"/>
    </row>
    <row r="6033" spans="16:16" x14ac:dyDescent="0.25">
      <c r="P6033" s="4"/>
    </row>
    <row r="6034" spans="16:16" x14ac:dyDescent="0.25">
      <c r="P6034" s="4"/>
    </row>
    <row r="6035" spans="16:16" x14ac:dyDescent="0.25">
      <c r="P6035" s="4"/>
    </row>
    <row r="6036" spans="16:16" x14ac:dyDescent="0.25">
      <c r="P6036" s="4"/>
    </row>
    <row r="6037" spans="16:16" x14ac:dyDescent="0.25">
      <c r="P6037" s="4"/>
    </row>
    <row r="6038" spans="16:16" x14ac:dyDescent="0.25">
      <c r="P6038" s="4"/>
    </row>
    <row r="6039" spans="16:16" x14ac:dyDescent="0.25">
      <c r="P6039" s="4"/>
    </row>
    <row r="6040" spans="16:16" x14ac:dyDescent="0.25">
      <c r="P6040" s="4"/>
    </row>
    <row r="6041" spans="16:16" x14ac:dyDescent="0.25">
      <c r="P6041" s="4"/>
    </row>
    <row r="6042" spans="16:16" x14ac:dyDescent="0.25">
      <c r="P6042" s="4"/>
    </row>
    <row r="6043" spans="16:16" x14ac:dyDescent="0.25">
      <c r="P6043" s="4"/>
    </row>
    <row r="6044" spans="16:16" x14ac:dyDescent="0.25">
      <c r="P6044" s="4"/>
    </row>
    <row r="6045" spans="16:16" x14ac:dyDescent="0.25">
      <c r="P6045" s="4"/>
    </row>
    <row r="6046" spans="16:16" x14ac:dyDescent="0.25">
      <c r="P6046" s="4"/>
    </row>
    <row r="6047" spans="16:16" x14ac:dyDescent="0.25">
      <c r="P6047" s="4"/>
    </row>
    <row r="6048" spans="16:16" x14ac:dyDescent="0.25">
      <c r="P6048" s="4"/>
    </row>
    <row r="6049" spans="16:16" x14ac:dyDescent="0.25">
      <c r="P6049" s="4"/>
    </row>
    <row r="6050" spans="16:16" x14ac:dyDescent="0.25">
      <c r="P6050" s="4"/>
    </row>
    <row r="6051" spans="16:16" x14ac:dyDescent="0.25">
      <c r="P6051" s="4"/>
    </row>
    <row r="6052" spans="16:16" x14ac:dyDescent="0.25">
      <c r="P6052" s="4"/>
    </row>
    <row r="6053" spans="16:16" x14ac:dyDescent="0.25">
      <c r="P6053" s="4"/>
    </row>
    <row r="6054" spans="16:16" x14ac:dyDescent="0.25">
      <c r="P6054" s="4"/>
    </row>
    <row r="6055" spans="16:16" x14ac:dyDescent="0.25">
      <c r="P6055" s="4"/>
    </row>
    <row r="6056" spans="16:16" x14ac:dyDescent="0.25">
      <c r="P6056" s="4"/>
    </row>
    <row r="6057" spans="16:16" x14ac:dyDescent="0.25">
      <c r="P6057" s="4"/>
    </row>
    <row r="6058" spans="16:16" x14ac:dyDescent="0.25">
      <c r="P6058" s="4"/>
    </row>
    <row r="6059" spans="16:16" x14ac:dyDescent="0.25">
      <c r="P6059" s="4"/>
    </row>
    <row r="6060" spans="16:16" x14ac:dyDescent="0.25">
      <c r="P6060" s="4"/>
    </row>
    <row r="6061" spans="16:16" x14ac:dyDescent="0.25">
      <c r="P6061" s="4"/>
    </row>
    <row r="6062" spans="16:16" x14ac:dyDescent="0.25">
      <c r="P6062" s="4"/>
    </row>
    <row r="6063" spans="16:16" x14ac:dyDescent="0.25">
      <c r="P6063" s="4"/>
    </row>
    <row r="6064" spans="16:16" x14ac:dyDescent="0.25">
      <c r="P6064" s="4"/>
    </row>
    <row r="6065" spans="16:16" x14ac:dyDescent="0.25">
      <c r="P6065" s="4"/>
    </row>
    <row r="6066" spans="16:16" x14ac:dyDescent="0.25">
      <c r="P6066" s="4"/>
    </row>
    <row r="6067" spans="16:16" x14ac:dyDescent="0.25">
      <c r="P6067" s="4"/>
    </row>
    <row r="6068" spans="16:16" x14ac:dyDescent="0.25">
      <c r="P6068" s="4"/>
    </row>
    <row r="6069" spans="16:16" x14ac:dyDescent="0.25">
      <c r="P6069" s="4"/>
    </row>
    <row r="6070" spans="16:16" x14ac:dyDescent="0.25">
      <c r="P6070" s="4"/>
    </row>
    <row r="6071" spans="16:16" x14ac:dyDescent="0.25">
      <c r="P6071" s="4"/>
    </row>
    <row r="6072" spans="16:16" x14ac:dyDescent="0.25">
      <c r="P6072" s="4"/>
    </row>
    <row r="6073" spans="16:16" x14ac:dyDescent="0.25">
      <c r="P6073" s="4"/>
    </row>
    <row r="6074" spans="16:16" x14ac:dyDescent="0.25">
      <c r="P6074" s="4"/>
    </row>
    <row r="6075" spans="16:16" x14ac:dyDescent="0.25">
      <c r="P6075" s="4"/>
    </row>
    <row r="6076" spans="16:16" x14ac:dyDescent="0.25">
      <c r="P6076" s="4"/>
    </row>
    <row r="6077" spans="16:16" x14ac:dyDescent="0.25">
      <c r="P6077" s="4"/>
    </row>
    <row r="6078" spans="16:16" x14ac:dyDescent="0.25">
      <c r="P6078" s="4"/>
    </row>
    <row r="6079" spans="16:16" x14ac:dyDescent="0.25">
      <c r="P6079" s="4"/>
    </row>
    <row r="6080" spans="16:16" x14ac:dyDescent="0.25">
      <c r="P6080" s="4"/>
    </row>
    <row r="6081" spans="16:16" x14ac:dyDescent="0.25">
      <c r="P6081" s="4"/>
    </row>
    <row r="6082" spans="16:16" x14ac:dyDescent="0.25">
      <c r="P6082" s="4"/>
    </row>
    <row r="6083" spans="16:16" x14ac:dyDescent="0.25">
      <c r="P6083" s="4"/>
    </row>
    <row r="6084" spans="16:16" x14ac:dyDescent="0.25">
      <c r="P6084" s="4"/>
    </row>
    <row r="6085" spans="16:16" x14ac:dyDescent="0.25">
      <c r="P6085" s="4"/>
    </row>
    <row r="6086" spans="16:16" x14ac:dyDescent="0.25">
      <c r="P6086" s="4"/>
    </row>
    <row r="6087" spans="16:16" x14ac:dyDescent="0.25">
      <c r="P6087" s="4"/>
    </row>
    <row r="6088" spans="16:16" x14ac:dyDescent="0.25">
      <c r="P6088" s="4"/>
    </row>
    <row r="6089" spans="16:16" x14ac:dyDescent="0.25">
      <c r="P6089" s="4"/>
    </row>
    <row r="6090" spans="16:16" x14ac:dyDescent="0.25">
      <c r="P6090" s="4"/>
    </row>
    <row r="6091" spans="16:16" x14ac:dyDescent="0.25">
      <c r="P6091" s="4"/>
    </row>
    <row r="6092" spans="16:16" x14ac:dyDescent="0.25">
      <c r="P6092" s="4"/>
    </row>
    <row r="6093" spans="16:16" x14ac:dyDescent="0.25">
      <c r="P6093" s="4"/>
    </row>
    <row r="6094" spans="16:16" x14ac:dyDescent="0.25">
      <c r="P6094" s="4"/>
    </row>
    <row r="6095" spans="16:16" x14ac:dyDescent="0.25">
      <c r="P6095" s="4"/>
    </row>
    <row r="6096" spans="16:16" x14ac:dyDescent="0.25">
      <c r="P6096" s="4"/>
    </row>
    <row r="6097" spans="16:16" x14ac:dyDescent="0.25">
      <c r="P6097" s="4"/>
    </row>
    <row r="6098" spans="16:16" x14ac:dyDescent="0.25">
      <c r="P6098" s="4"/>
    </row>
    <row r="6099" spans="16:16" x14ac:dyDescent="0.25">
      <c r="P6099" s="4"/>
    </row>
    <row r="6100" spans="16:16" x14ac:dyDescent="0.25">
      <c r="P6100" s="4"/>
    </row>
    <row r="6101" spans="16:16" x14ac:dyDescent="0.25">
      <c r="P6101" s="4"/>
    </row>
    <row r="6102" spans="16:16" x14ac:dyDescent="0.25">
      <c r="P6102" s="4"/>
    </row>
    <row r="6103" spans="16:16" x14ac:dyDescent="0.25">
      <c r="P6103" s="4"/>
    </row>
    <row r="6104" spans="16:16" x14ac:dyDescent="0.25">
      <c r="P6104" s="4"/>
    </row>
    <row r="6105" spans="16:16" x14ac:dyDescent="0.25">
      <c r="P6105" s="4"/>
    </row>
    <row r="6106" spans="16:16" x14ac:dyDescent="0.25">
      <c r="P6106" s="4"/>
    </row>
    <row r="6107" spans="16:16" x14ac:dyDescent="0.25">
      <c r="P6107" s="4"/>
    </row>
    <row r="6108" spans="16:16" x14ac:dyDescent="0.25">
      <c r="P6108" s="4"/>
    </row>
    <row r="6109" spans="16:16" x14ac:dyDescent="0.25">
      <c r="P6109" s="4"/>
    </row>
    <row r="6110" spans="16:16" x14ac:dyDescent="0.25">
      <c r="P6110" s="4"/>
    </row>
    <row r="6111" spans="16:16" x14ac:dyDescent="0.25">
      <c r="P6111" s="4"/>
    </row>
    <row r="6112" spans="16:16" x14ac:dyDescent="0.25">
      <c r="P6112" s="4"/>
    </row>
    <row r="6113" spans="16:16" x14ac:dyDescent="0.25">
      <c r="P6113" s="4"/>
    </row>
    <row r="6114" spans="16:16" x14ac:dyDescent="0.25">
      <c r="P6114" s="4"/>
    </row>
    <row r="6115" spans="16:16" x14ac:dyDescent="0.25">
      <c r="P6115" s="4"/>
    </row>
    <row r="6116" spans="16:16" x14ac:dyDescent="0.25">
      <c r="P6116" s="4"/>
    </row>
    <row r="6117" spans="16:16" x14ac:dyDescent="0.25">
      <c r="P6117" s="4"/>
    </row>
    <row r="6118" spans="16:16" x14ac:dyDescent="0.25">
      <c r="P6118" s="4"/>
    </row>
    <row r="6119" spans="16:16" x14ac:dyDescent="0.25">
      <c r="P6119" s="4"/>
    </row>
    <row r="6120" spans="16:16" x14ac:dyDescent="0.25">
      <c r="P6120" s="4"/>
    </row>
    <row r="6121" spans="16:16" x14ac:dyDescent="0.25">
      <c r="P6121" s="4"/>
    </row>
    <row r="6122" spans="16:16" x14ac:dyDescent="0.25">
      <c r="P6122" s="4"/>
    </row>
    <row r="6123" spans="16:16" x14ac:dyDescent="0.25">
      <c r="P6123" s="4"/>
    </row>
    <row r="6124" spans="16:16" x14ac:dyDescent="0.25">
      <c r="P6124" s="4"/>
    </row>
    <row r="6125" spans="16:16" x14ac:dyDescent="0.25">
      <c r="P6125" s="4"/>
    </row>
    <row r="6126" spans="16:16" x14ac:dyDescent="0.25">
      <c r="P6126" s="4"/>
    </row>
    <row r="6127" spans="16:16" x14ac:dyDescent="0.25">
      <c r="P6127" s="4"/>
    </row>
    <row r="6128" spans="16:16" x14ac:dyDescent="0.25">
      <c r="P6128" s="4"/>
    </row>
    <row r="6129" spans="16:16" x14ac:dyDescent="0.25">
      <c r="P6129" s="4"/>
    </row>
    <row r="6130" spans="16:16" x14ac:dyDescent="0.25">
      <c r="P6130" s="4"/>
    </row>
    <row r="6131" spans="16:16" x14ac:dyDescent="0.25">
      <c r="P6131" s="4"/>
    </row>
    <row r="6132" spans="16:16" x14ac:dyDescent="0.25">
      <c r="P6132" s="4"/>
    </row>
    <row r="6133" spans="16:16" x14ac:dyDescent="0.25">
      <c r="P6133" s="4"/>
    </row>
    <row r="6134" spans="16:16" x14ac:dyDescent="0.25">
      <c r="P6134" s="4"/>
    </row>
    <row r="6135" spans="16:16" x14ac:dyDescent="0.25">
      <c r="P6135" s="4"/>
    </row>
    <row r="6136" spans="16:16" x14ac:dyDescent="0.25">
      <c r="P6136" s="4"/>
    </row>
    <row r="6137" spans="16:16" x14ac:dyDescent="0.25">
      <c r="P6137" s="4"/>
    </row>
    <row r="6138" spans="16:16" x14ac:dyDescent="0.25">
      <c r="P6138" s="4"/>
    </row>
    <row r="6139" spans="16:16" x14ac:dyDescent="0.25">
      <c r="P6139" s="4"/>
    </row>
    <row r="6140" spans="16:16" x14ac:dyDescent="0.25">
      <c r="P6140" s="4"/>
    </row>
    <row r="6141" spans="16:16" x14ac:dyDescent="0.25">
      <c r="P6141" s="4"/>
    </row>
    <row r="6142" spans="16:16" x14ac:dyDescent="0.25">
      <c r="P6142" s="4"/>
    </row>
    <row r="6143" spans="16:16" x14ac:dyDescent="0.25">
      <c r="P6143" s="4"/>
    </row>
    <row r="6144" spans="16:16" x14ac:dyDescent="0.25">
      <c r="P6144" s="4"/>
    </row>
    <row r="6145" spans="16:16" x14ac:dyDescent="0.25">
      <c r="P6145" s="4"/>
    </row>
    <row r="6146" spans="16:16" x14ac:dyDescent="0.25">
      <c r="P6146" s="4"/>
    </row>
    <row r="6147" spans="16:16" x14ac:dyDescent="0.25">
      <c r="P6147" s="4"/>
    </row>
    <row r="6148" spans="16:16" x14ac:dyDescent="0.25">
      <c r="P6148" s="4"/>
    </row>
    <row r="6149" spans="16:16" x14ac:dyDescent="0.25">
      <c r="P6149" s="4"/>
    </row>
    <row r="6150" spans="16:16" x14ac:dyDescent="0.25">
      <c r="P6150" s="4"/>
    </row>
    <row r="6151" spans="16:16" x14ac:dyDescent="0.25">
      <c r="P6151" s="4"/>
    </row>
    <row r="6152" spans="16:16" x14ac:dyDescent="0.25">
      <c r="P6152" s="4"/>
    </row>
    <row r="6153" spans="16:16" x14ac:dyDescent="0.25">
      <c r="P6153" s="4"/>
    </row>
    <row r="6154" spans="16:16" x14ac:dyDescent="0.25">
      <c r="P6154" s="4"/>
    </row>
    <row r="6155" spans="16:16" x14ac:dyDescent="0.25">
      <c r="P6155" s="4"/>
    </row>
    <row r="6156" spans="16:16" x14ac:dyDescent="0.25">
      <c r="P6156" s="4"/>
    </row>
    <row r="6157" spans="16:16" x14ac:dyDescent="0.25">
      <c r="P6157" s="4"/>
    </row>
    <row r="6158" spans="16:16" x14ac:dyDescent="0.25">
      <c r="P6158" s="4"/>
    </row>
    <row r="6159" spans="16:16" x14ac:dyDescent="0.25">
      <c r="P6159" s="4"/>
    </row>
    <row r="6160" spans="16:16" x14ac:dyDescent="0.25">
      <c r="P6160" s="4"/>
    </row>
    <row r="6161" spans="16:16" x14ac:dyDescent="0.25">
      <c r="P6161" s="4"/>
    </row>
    <row r="6162" spans="16:16" x14ac:dyDescent="0.25">
      <c r="P6162" s="4"/>
    </row>
    <row r="6163" spans="16:16" x14ac:dyDescent="0.25">
      <c r="P6163" s="4"/>
    </row>
    <row r="6164" spans="16:16" x14ac:dyDescent="0.25">
      <c r="P6164" s="4"/>
    </row>
    <row r="6165" spans="16:16" x14ac:dyDescent="0.25">
      <c r="P6165" s="4"/>
    </row>
    <row r="6166" spans="16:16" x14ac:dyDescent="0.25">
      <c r="P6166" s="4"/>
    </row>
    <row r="6167" spans="16:16" x14ac:dyDescent="0.25">
      <c r="P6167" s="4"/>
    </row>
    <row r="6168" spans="16:16" x14ac:dyDescent="0.25">
      <c r="P6168" s="4"/>
    </row>
    <row r="6169" spans="16:16" x14ac:dyDescent="0.25">
      <c r="P6169" s="4"/>
    </row>
    <row r="6170" spans="16:16" x14ac:dyDescent="0.25">
      <c r="P6170" s="4"/>
    </row>
    <row r="6171" spans="16:16" x14ac:dyDescent="0.25">
      <c r="P6171" s="4"/>
    </row>
    <row r="6172" spans="16:16" x14ac:dyDescent="0.25">
      <c r="P6172" s="4"/>
    </row>
    <row r="6173" spans="16:16" x14ac:dyDescent="0.25">
      <c r="P6173" s="4"/>
    </row>
    <row r="6174" spans="16:16" x14ac:dyDescent="0.25">
      <c r="P6174" s="4"/>
    </row>
    <row r="6175" spans="16:16" x14ac:dyDescent="0.25">
      <c r="P6175" s="4"/>
    </row>
    <row r="6176" spans="16:16" x14ac:dyDescent="0.25">
      <c r="P6176" s="4"/>
    </row>
    <row r="6177" spans="16:16" x14ac:dyDescent="0.25">
      <c r="P6177" s="4"/>
    </row>
    <row r="6178" spans="16:16" x14ac:dyDescent="0.25">
      <c r="P6178" s="4"/>
    </row>
    <row r="6179" spans="16:16" x14ac:dyDescent="0.25">
      <c r="P6179" s="4"/>
    </row>
    <row r="6180" spans="16:16" x14ac:dyDescent="0.25">
      <c r="P6180" s="4"/>
    </row>
    <row r="6181" spans="16:16" x14ac:dyDescent="0.25">
      <c r="P6181" s="4"/>
    </row>
    <row r="6182" spans="16:16" x14ac:dyDescent="0.25">
      <c r="P6182" s="4"/>
    </row>
    <row r="6183" spans="16:16" x14ac:dyDescent="0.25">
      <c r="P6183" s="4"/>
    </row>
    <row r="6184" spans="16:16" x14ac:dyDescent="0.25">
      <c r="P6184" s="4"/>
    </row>
    <row r="6185" spans="16:16" x14ac:dyDescent="0.25">
      <c r="P6185" s="4"/>
    </row>
    <row r="6186" spans="16:16" x14ac:dyDescent="0.25">
      <c r="P6186" s="4"/>
    </row>
    <row r="6187" spans="16:16" x14ac:dyDescent="0.25">
      <c r="P6187" s="4"/>
    </row>
    <row r="6188" spans="16:16" x14ac:dyDescent="0.25">
      <c r="P6188" s="4"/>
    </row>
    <row r="6189" spans="16:16" x14ac:dyDescent="0.25">
      <c r="P6189" s="4"/>
    </row>
    <row r="6190" spans="16:16" x14ac:dyDescent="0.25">
      <c r="P6190" s="4"/>
    </row>
    <row r="6191" spans="16:16" x14ac:dyDescent="0.25">
      <c r="P6191" s="4"/>
    </row>
    <row r="6192" spans="16:16" x14ac:dyDescent="0.25">
      <c r="P6192" s="4"/>
    </row>
    <row r="6193" spans="16:16" x14ac:dyDescent="0.25">
      <c r="P6193" s="4"/>
    </row>
    <row r="6194" spans="16:16" x14ac:dyDescent="0.25">
      <c r="P6194" s="4"/>
    </row>
    <row r="6195" spans="16:16" x14ac:dyDescent="0.25">
      <c r="P6195" s="4"/>
    </row>
    <row r="6196" spans="16:16" x14ac:dyDescent="0.25">
      <c r="P6196" s="4"/>
    </row>
    <row r="6197" spans="16:16" x14ac:dyDescent="0.25">
      <c r="P6197" s="4"/>
    </row>
    <row r="6198" spans="16:16" x14ac:dyDescent="0.25">
      <c r="P6198" s="4"/>
    </row>
    <row r="6199" spans="16:16" x14ac:dyDescent="0.25">
      <c r="P6199" s="4"/>
    </row>
    <row r="6200" spans="16:16" x14ac:dyDescent="0.25">
      <c r="P6200" s="4"/>
    </row>
    <row r="6201" spans="16:16" x14ac:dyDescent="0.25">
      <c r="P6201" s="4"/>
    </row>
    <row r="6202" spans="16:16" x14ac:dyDescent="0.25">
      <c r="P6202" s="4"/>
    </row>
    <row r="6203" spans="16:16" x14ac:dyDescent="0.25">
      <c r="P6203" s="4"/>
    </row>
    <row r="6204" spans="16:16" x14ac:dyDescent="0.25">
      <c r="P6204" s="4"/>
    </row>
    <row r="6205" spans="16:16" x14ac:dyDescent="0.25">
      <c r="P6205" s="4"/>
    </row>
    <row r="6206" spans="16:16" x14ac:dyDescent="0.25">
      <c r="P6206" s="4"/>
    </row>
    <row r="6207" spans="16:16" x14ac:dyDescent="0.25">
      <c r="P6207" s="4"/>
    </row>
    <row r="6208" spans="16:16" x14ac:dyDescent="0.25">
      <c r="P6208" s="4"/>
    </row>
    <row r="6209" spans="16:16" x14ac:dyDescent="0.25">
      <c r="P6209" s="4"/>
    </row>
    <row r="6210" spans="16:16" x14ac:dyDescent="0.25">
      <c r="P6210" s="4"/>
    </row>
    <row r="6211" spans="16:16" x14ac:dyDescent="0.25">
      <c r="P6211" s="4"/>
    </row>
    <row r="6212" spans="16:16" x14ac:dyDescent="0.25">
      <c r="P6212" s="4"/>
    </row>
    <row r="6213" spans="16:16" x14ac:dyDescent="0.25">
      <c r="P6213" s="4"/>
    </row>
    <row r="6214" spans="16:16" x14ac:dyDescent="0.25">
      <c r="P6214" s="4"/>
    </row>
    <row r="6215" spans="16:16" x14ac:dyDescent="0.25">
      <c r="P6215" s="4"/>
    </row>
    <row r="6216" spans="16:16" x14ac:dyDescent="0.25">
      <c r="P6216" s="4"/>
    </row>
    <row r="6217" spans="16:16" x14ac:dyDescent="0.25">
      <c r="P6217" s="4"/>
    </row>
    <row r="6218" spans="16:16" x14ac:dyDescent="0.25">
      <c r="P6218" s="4"/>
    </row>
    <row r="6219" spans="16:16" x14ac:dyDescent="0.25">
      <c r="P6219" s="4"/>
    </row>
    <row r="6220" spans="16:16" x14ac:dyDescent="0.25">
      <c r="P6220" s="4"/>
    </row>
    <row r="6221" spans="16:16" x14ac:dyDescent="0.25">
      <c r="P6221" s="4"/>
    </row>
    <row r="6222" spans="16:16" x14ac:dyDescent="0.25">
      <c r="P6222" s="4"/>
    </row>
    <row r="6223" spans="16:16" x14ac:dyDescent="0.25">
      <c r="P6223" s="4"/>
    </row>
    <row r="6224" spans="16:16" x14ac:dyDescent="0.25">
      <c r="P6224" s="4"/>
    </row>
    <row r="6225" spans="16:16" x14ac:dyDescent="0.25">
      <c r="P6225" s="4"/>
    </row>
    <row r="6226" spans="16:16" x14ac:dyDescent="0.25">
      <c r="P6226" s="4"/>
    </row>
    <row r="6227" spans="16:16" x14ac:dyDescent="0.25">
      <c r="P6227" s="4"/>
    </row>
    <row r="6228" spans="16:16" x14ac:dyDescent="0.25">
      <c r="P6228" s="4"/>
    </row>
    <row r="6229" spans="16:16" x14ac:dyDescent="0.25">
      <c r="P6229" s="4"/>
    </row>
    <row r="6230" spans="16:16" x14ac:dyDescent="0.25">
      <c r="P6230" s="4"/>
    </row>
    <row r="6231" spans="16:16" x14ac:dyDescent="0.25">
      <c r="P6231" s="4"/>
    </row>
    <row r="6232" spans="16:16" x14ac:dyDescent="0.25">
      <c r="P6232" s="4"/>
    </row>
    <row r="6233" spans="16:16" x14ac:dyDescent="0.25">
      <c r="P6233" s="4"/>
    </row>
    <row r="6234" spans="16:16" x14ac:dyDescent="0.25">
      <c r="P6234" s="4"/>
    </row>
    <row r="6235" spans="16:16" x14ac:dyDescent="0.25">
      <c r="P6235" s="4"/>
    </row>
    <row r="6236" spans="16:16" x14ac:dyDescent="0.25">
      <c r="P6236" s="4"/>
    </row>
    <row r="6237" spans="16:16" x14ac:dyDescent="0.25">
      <c r="P6237" s="4"/>
    </row>
    <row r="6238" spans="16:16" x14ac:dyDescent="0.25">
      <c r="P6238" s="4"/>
    </row>
    <row r="6239" spans="16:16" x14ac:dyDescent="0.25">
      <c r="P6239" s="4"/>
    </row>
    <row r="6240" spans="16:16" x14ac:dyDescent="0.25">
      <c r="P6240" s="4"/>
    </row>
    <row r="6241" spans="16:16" x14ac:dyDescent="0.25">
      <c r="P6241" s="4"/>
    </row>
    <row r="6242" spans="16:16" x14ac:dyDescent="0.25">
      <c r="P6242" s="4"/>
    </row>
    <row r="6243" spans="16:16" x14ac:dyDescent="0.25">
      <c r="P6243" s="4"/>
    </row>
    <row r="6244" spans="16:16" x14ac:dyDescent="0.25">
      <c r="P6244" s="4"/>
    </row>
    <row r="6245" spans="16:16" x14ac:dyDescent="0.25">
      <c r="P6245" s="4"/>
    </row>
    <row r="6246" spans="16:16" x14ac:dyDescent="0.25">
      <c r="P6246" s="4"/>
    </row>
    <row r="6247" spans="16:16" x14ac:dyDescent="0.25">
      <c r="P6247" s="4"/>
    </row>
    <row r="6248" spans="16:16" x14ac:dyDescent="0.25">
      <c r="P6248" s="4"/>
    </row>
    <row r="6249" spans="16:16" x14ac:dyDescent="0.25">
      <c r="P6249" s="4"/>
    </row>
    <row r="6250" spans="16:16" x14ac:dyDescent="0.25">
      <c r="P6250" s="4"/>
    </row>
    <row r="6251" spans="16:16" x14ac:dyDescent="0.25">
      <c r="P6251" s="4"/>
    </row>
    <row r="6252" spans="16:16" x14ac:dyDescent="0.25">
      <c r="P6252" s="4"/>
    </row>
    <row r="6253" spans="16:16" x14ac:dyDescent="0.25">
      <c r="P6253" s="4"/>
    </row>
    <row r="6254" spans="16:16" x14ac:dyDescent="0.25">
      <c r="P6254" s="4"/>
    </row>
    <row r="6255" spans="16:16" x14ac:dyDescent="0.25">
      <c r="P6255" s="4"/>
    </row>
    <row r="6256" spans="16:16" x14ac:dyDescent="0.25">
      <c r="P6256" s="4"/>
    </row>
    <row r="6257" spans="16:16" x14ac:dyDescent="0.25">
      <c r="P6257" s="4"/>
    </row>
    <row r="6258" spans="16:16" x14ac:dyDescent="0.25">
      <c r="P6258" s="4"/>
    </row>
    <row r="6259" spans="16:16" x14ac:dyDescent="0.25">
      <c r="P6259" s="4"/>
    </row>
    <row r="6260" spans="16:16" x14ac:dyDescent="0.25">
      <c r="P6260" s="4"/>
    </row>
    <row r="6261" spans="16:16" x14ac:dyDescent="0.25">
      <c r="P6261" s="4"/>
    </row>
    <row r="6262" spans="16:16" x14ac:dyDescent="0.25">
      <c r="P6262" s="4"/>
    </row>
    <row r="6263" spans="16:16" x14ac:dyDescent="0.25">
      <c r="P6263" s="4"/>
    </row>
    <row r="6264" spans="16:16" x14ac:dyDescent="0.25">
      <c r="P6264" s="4"/>
    </row>
    <row r="6265" spans="16:16" x14ac:dyDescent="0.25">
      <c r="P6265" s="4"/>
    </row>
    <row r="6266" spans="16:16" x14ac:dyDescent="0.25">
      <c r="P6266" s="4"/>
    </row>
    <row r="6267" spans="16:16" x14ac:dyDescent="0.25">
      <c r="P6267" s="4"/>
    </row>
    <row r="6268" spans="16:16" x14ac:dyDescent="0.25">
      <c r="P6268" s="4"/>
    </row>
    <row r="6269" spans="16:16" x14ac:dyDescent="0.25">
      <c r="P6269" s="4"/>
    </row>
    <row r="6270" spans="16:16" x14ac:dyDescent="0.25">
      <c r="P6270" s="4"/>
    </row>
    <row r="6271" spans="16:16" x14ac:dyDescent="0.25">
      <c r="P6271" s="4"/>
    </row>
    <row r="6272" spans="16:16" x14ac:dyDescent="0.25">
      <c r="P6272" s="4"/>
    </row>
    <row r="6273" spans="16:16" x14ac:dyDescent="0.25">
      <c r="P6273" s="4"/>
    </row>
    <row r="6274" spans="16:16" x14ac:dyDescent="0.25">
      <c r="P6274" s="4"/>
    </row>
    <row r="6275" spans="16:16" x14ac:dyDescent="0.25">
      <c r="P6275" s="4"/>
    </row>
    <row r="6276" spans="16:16" x14ac:dyDescent="0.25">
      <c r="P6276" s="4"/>
    </row>
    <row r="6277" spans="16:16" x14ac:dyDescent="0.25">
      <c r="P6277" s="4"/>
    </row>
    <row r="6278" spans="16:16" x14ac:dyDescent="0.25">
      <c r="P6278" s="4"/>
    </row>
    <row r="6279" spans="16:16" x14ac:dyDescent="0.25">
      <c r="P6279" s="4"/>
    </row>
    <row r="6280" spans="16:16" x14ac:dyDescent="0.25">
      <c r="P6280" s="4"/>
    </row>
    <row r="6281" spans="16:16" x14ac:dyDescent="0.25">
      <c r="P6281" s="4"/>
    </row>
    <row r="6282" spans="16:16" x14ac:dyDescent="0.25">
      <c r="P6282" s="4"/>
    </row>
    <row r="6283" spans="16:16" x14ac:dyDescent="0.25">
      <c r="P6283" s="4"/>
    </row>
    <row r="6284" spans="16:16" x14ac:dyDescent="0.25">
      <c r="P6284" s="4"/>
    </row>
    <row r="6285" spans="16:16" x14ac:dyDescent="0.25">
      <c r="P6285" s="4"/>
    </row>
    <row r="6286" spans="16:16" x14ac:dyDescent="0.25">
      <c r="P6286" s="4"/>
    </row>
    <row r="6287" spans="16:16" x14ac:dyDescent="0.25">
      <c r="P6287" s="4"/>
    </row>
    <row r="6288" spans="16:16" x14ac:dyDescent="0.25">
      <c r="P6288" s="4"/>
    </row>
    <row r="6289" spans="16:16" x14ac:dyDescent="0.25">
      <c r="P6289" s="4"/>
    </row>
    <row r="6290" spans="16:16" x14ac:dyDescent="0.25">
      <c r="P6290" s="4"/>
    </row>
    <row r="6291" spans="16:16" x14ac:dyDescent="0.25">
      <c r="P6291" s="4"/>
    </row>
    <row r="6292" spans="16:16" x14ac:dyDescent="0.25">
      <c r="P6292" s="4"/>
    </row>
    <row r="6293" spans="16:16" x14ac:dyDescent="0.25">
      <c r="P6293" s="4"/>
    </row>
    <row r="6294" spans="16:16" x14ac:dyDescent="0.25">
      <c r="P6294" s="4"/>
    </row>
    <row r="6295" spans="16:16" x14ac:dyDescent="0.25">
      <c r="P6295" s="4"/>
    </row>
    <row r="6296" spans="16:16" x14ac:dyDescent="0.25">
      <c r="P6296" s="4"/>
    </row>
    <row r="6297" spans="16:16" x14ac:dyDescent="0.25">
      <c r="P6297" s="4"/>
    </row>
    <row r="6298" spans="16:16" x14ac:dyDescent="0.25">
      <c r="P6298" s="4"/>
    </row>
    <row r="6299" spans="16:16" x14ac:dyDescent="0.25">
      <c r="P6299" s="4"/>
    </row>
    <row r="6300" spans="16:16" x14ac:dyDescent="0.25">
      <c r="P6300" s="4"/>
    </row>
    <row r="6301" spans="16:16" x14ac:dyDescent="0.25">
      <c r="P6301" s="4"/>
    </row>
    <row r="6302" spans="16:16" x14ac:dyDescent="0.25">
      <c r="P6302" s="4"/>
    </row>
    <row r="6303" spans="16:16" x14ac:dyDescent="0.25">
      <c r="P6303" s="4"/>
    </row>
    <row r="6304" spans="16:16" x14ac:dyDescent="0.25">
      <c r="P6304" s="4"/>
    </row>
    <row r="6305" spans="16:16" x14ac:dyDescent="0.25">
      <c r="P6305" s="4"/>
    </row>
    <row r="6306" spans="16:16" x14ac:dyDescent="0.25">
      <c r="P6306" s="4"/>
    </row>
    <row r="6307" spans="16:16" x14ac:dyDescent="0.25">
      <c r="P6307" s="4"/>
    </row>
    <row r="6308" spans="16:16" x14ac:dyDescent="0.25">
      <c r="P6308" s="4"/>
    </row>
    <row r="6309" spans="16:16" x14ac:dyDescent="0.25">
      <c r="P6309" s="4"/>
    </row>
    <row r="6310" spans="16:16" x14ac:dyDescent="0.25">
      <c r="P6310" s="4"/>
    </row>
    <row r="6311" spans="16:16" x14ac:dyDescent="0.25">
      <c r="P6311" s="4"/>
    </row>
    <row r="6312" spans="16:16" x14ac:dyDescent="0.25">
      <c r="P6312" s="4"/>
    </row>
    <row r="6313" spans="16:16" x14ac:dyDescent="0.25">
      <c r="P6313" s="4"/>
    </row>
    <row r="6314" spans="16:16" x14ac:dyDescent="0.25">
      <c r="P6314" s="4"/>
    </row>
    <row r="6315" spans="16:16" x14ac:dyDescent="0.25">
      <c r="P6315" s="4"/>
    </row>
    <row r="6316" spans="16:16" x14ac:dyDescent="0.25">
      <c r="P6316" s="4"/>
    </row>
    <row r="6317" spans="16:16" x14ac:dyDescent="0.25">
      <c r="P6317" s="4"/>
    </row>
    <row r="6318" spans="16:16" x14ac:dyDescent="0.25">
      <c r="P6318" s="4"/>
    </row>
    <row r="6319" spans="16:16" x14ac:dyDescent="0.25">
      <c r="P6319" s="4"/>
    </row>
    <row r="6320" spans="16:16" x14ac:dyDescent="0.25">
      <c r="P6320" s="4"/>
    </row>
    <row r="6321" spans="16:16" x14ac:dyDescent="0.25">
      <c r="P6321" s="4"/>
    </row>
    <row r="6322" spans="16:16" x14ac:dyDescent="0.25">
      <c r="P6322" s="4"/>
    </row>
    <row r="6323" spans="16:16" x14ac:dyDescent="0.25">
      <c r="P6323" s="4"/>
    </row>
    <row r="6324" spans="16:16" x14ac:dyDescent="0.25">
      <c r="P6324" s="4"/>
    </row>
    <row r="6325" spans="16:16" x14ac:dyDescent="0.25">
      <c r="P6325" s="4"/>
    </row>
    <row r="6326" spans="16:16" x14ac:dyDescent="0.25">
      <c r="P6326" s="4"/>
    </row>
    <row r="6327" spans="16:16" x14ac:dyDescent="0.25">
      <c r="P6327" s="4"/>
    </row>
    <row r="6328" spans="16:16" x14ac:dyDescent="0.25">
      <c r="P6328" s="4"/>
    </row>
    <row r="6329" spans="16:16" x14ac:dyDescent="0.25">
      <c r="P6329" s="4"/>
    </row>
    <row r="6330" spans="16:16" x14ac:dyDescent="0.25">
      <c r="P6330" s="4"/>
    </row>
    <row r="6331" spans="16:16" x14ac:dyDescent="0.25">
      <c r="P6331" s="4"/>
    </row>
    <row r="6332" spans="16:16" x14ac:dyDescent="0.25">
      <c r="P6332" s="4"/>
    </row>
    <row r="6333" spans="16:16" x14ac:dyDescent="0.25">
      <c r="P6333" s="4"/>
    </row>
    <row r="6334" spans="16:16" x14ac:dyDescent="0.25">
      <c r="P6334" s="4"/>
    </row>
    <row r="6335" spans="16:16" x14ac:dyDescent="0.25">
      <c r="P6335" s="4"/>
    </row>
    <row r="6336" spans="16:16" x14ac:dyDescent="0.25">
      <c r="P6336" s="4"/>
    </row>
    <row r="6337" spans="16:16" x14ac:dyDescent="0.25">
      <c r="P6337" s="4"/>
    </row>
    <row r="6338" spans="16:16" x14ac:dyDescent="0.25">
      <c r="P6338" s="4"/>
    </row>
    <row r="6339" spans="16:16" x14ac:dyDescent="0.25">
      <c r="P6339" s="4"/>
    </row>
    <row r="6340" spans="16:16" x14ac:dyDescent="0.25">
      <c r="P6340" s="4"/>
    </row>
    <row r="6341" spans="16:16" x14ac:dyDescent="0.25">
      <c r="P6341" s="4"/>
    </row>
    <row r="6342" spans="16:16" x14ac:dyDescent="0.25">
      <c r="P6342" s="4"/>
    </row>
    <row r="6343" spans="16:16" x14ac:dyDescent="0.25">
      <c r="P6343" s="4"/>
    </row>
    <row r="6344" spans="16:16" x14ac:dyDescent="0.25">
      <c r="P6344" s="4"/>
    </row>
    <row r="6345" spans="16:16" x14ac:dyDescent="0.25">
      <c r="P6345" s="4"/>
    </row>
    <row r="6346" spans="16:16" x14ac:dyDescent="0.25">
      <c r="P6346" s="4"/>
    </row>
    <row r="6347" spans="16:16" x14ac:dyDescent="0.25">
      <c r="P6347" s="4"/>
    </row>
    <row r="6348" spans="16:16" x14ac:dyDescent="0.25">
      <c r="P6348" s="4"/>
    </row>
    <row r="6349" spans="16:16" x14ac:dyDescent="0.25">
      <c r="P6349" s="4"/>
    </row>
    <row r="6350" spans="16:16" x14ac:dyDescent="0.25">
      <c r="P6350" s="4"/>
    </row>
    <row r="6351" spans="16:16" x14ac:dyDescent="0.25">
      <c r="P6351" s="4"/>
    </row>
    <row r="6352" spans="16:16" x14ac:dyDescent="0.25">
      <c r="P6352" s="4"/>
    </row>
    <row r="6353" spans="16:16" x14ac:dyDescent="0.25">
      <c r="P6353" s="4"/>
    </row>
    <row r="6354" spans="16:16" x14ac:dyDescent="0.25">
      <c r="P6354" s="4"/>
    </row>
    <row r="6355" spans="16:16" x14ac:dyDescent="0.25">
      <c r="P6355" s="4"/>
    </row>
    <row r="6356" spans="16:16" x14ac:dyDescent="0.25">
      <c r="P6356" s="4"/>
    </row>
    <row r="6357" spans="16:16" x14ac:dyDescent="0.25">
      <c r="P6357" s="4"/>
    </row>
    <row r="6358" spans="16:16" x14ac:dyDescent="0.25">
      <c r="P6358" s="4"/>
    </row>
    <row r="6359" spans="16:16" x14ac:dyDescent="0.25">
      <c r="P6359" s="4"/>
    </row>
    <row r="6360" spans="16:16" x14ac:dyDescent="0.25">
      <c r="P6360" s="4"/>
    </row>
    <row r="6361" spans="16:16" x14ac:dyDescent="0.25">
      <c r="P6361" s="4"/>
    </row>
    <row r="6362" spans="16:16" x14ac:dyDescent="0.25">
      <c r="P6362" s="4"/>
    </row>
    <row r="6363" spans="16:16" x14ac:dyDescent="0.25">
      <c r="P6363" s="4"/>
    </row>
    <row r="6364" spans="16:16" x14ac:dyDescent="0.25">
      <c r="P6364" s="4"/>
    </row>
    <row r="6365" spans="16:16" x14ac:dyDescent="0.25">
      <c r="P6365" s="4"/>
    </row>
    <row r="6366" spans="16:16" x14ac:dyDescent="0.25">
      <c r="P6366" s="4"/>
    </row>
    <row r="6367" spans="16:16" x14ac:dyDescent="0.25">
      <c r="P6367" s="4"/>
    </row>
    <row r="6368" spans="16:16" x14ac:dyDescent="0.25">
      <c r="P6368" s="4"/>
    </row>
    <row r="6369" spans="16:16" x14ac:dyDescent="0.25">
      <c r="P6369" s="4"/>
    </row>
    <row r="6370" spans="16:16" x14ac:dyDescent="0.25">
      <c r="P6370" s="4"/>
    </row>
    <row r="6371" spans="16:16" x14ac:dyDescent="0.25">
      <c r="P6371" s="4"/>
    </row>
    <row r="6372" spans="16:16" x14ac:dyDescent="0.25">
      <c r="P6372" s="4"/>
    </row>
    <row r="6373" spans="16:16" x14ac:dyDescent="0.25">
      <c r="P6373" s="4"/>
    </row>
    <row r="6374" spans="16:16" x14ac:dyDescent="0.25">
      <c r="P6374" s="4"/>
    </row>
    <row r="6375" spans="16:16" x14ac:dyDescent="0.25">
      <c r="P6375" s="4"/>
    </row>
    <row r="6376" spans="16:16" x14ac:dyDescent="0.25">
      <c r="P6376" s="4"/>
    </row>
    <row r="6377" spans="16:16" x14ac:dyDescent="0.25">
      <c r="P6377" s="4"/>
    </row>
    <row r="6378" spans="16:16" x14ac:dyDescent="0.25">
      <c r="P6378" s="4"/>
    </row>
    <row r="6379" spans="16:16" x14ac:dyDescent="0.25">
      <c r="P6379" s="4"/>
    </row>
    <row r="6380" spans="16:16" x14ac:dyDescent="0.25">
      <c r="P6380" s="4"/>
    </row>
    <row r="6381" spans="16:16" x14ac:dyDescent="0.25">
      <c r="P6381" s="4"/>
    </row>
    <row r="6382" spans="16:16" x14ac:dyDescent="0.25">
      <c r="P6382" s="4"/>
    </row>
    <row r="6383" spans="16:16" x14ac:dyDescent="0.25">
      <c r="P6383" s="4"/>
    </row>
    <row r="6384" spans="16:16" x14ac:dyDescent="0.25">
      <c r="P6384" s="4"/>
    </row>
    <row r="6385" spans="16:16" x14ac:dyDescent="0.25">
      <c r="P6385" s="4"/>
    </row>
    <row r="6386" spans="16:16" x14ac:dyDescent="0.25">
      <c r="P6386" s="4"/>
    </row>
    <row r="6387" spans="16:16" x14ac:dyDescent="0.25">
      <c r="P6387" s="4"/>
    </row>
    <row r="6388" spans="16:16" x14ac:dyDescent="0.25">
      <c r="P6388" s="4"/>
    </row>
    <row r="6389" spans="16:16" x14ac:dyDescent="0.25">
      <c r="P6389" s="4"/>
    </row>
    <row r="6390" spans="16:16" x14ac:dyDescent="0.25">
      <c r="P6390" s="4"/>
    </row>
    <row r="6391" spans="16:16" x14ac:dyDescent="0.25">
      <c r="P6391" s="4"/>
    </row>
    <row r="6392" spans="16:16" x14ac:dyDescent="0.25">
      <c r="P6392" s="4"/>
    </row>
    <row r="6393" spans="16:16" x14ac:dyDescent="0.25">
      <c r="P6393" s="4"/>
    </row>
    <row r="6394" spans="16:16" x14ac:dyDescent="0.25">
      <c r="P6394" s="4"/>
    </row>
    <row r="6395" spans="16:16" x14ac:dyDescent="0.25">
      <c r="P6395" s="4"/>
    </row>
    <row r="6396" spans="16:16" x14ac:dyDescent="0.25">
      <c r="P6396" s="4"/>
    </row>
    <row r="6397" spans="16:16" x14ac:dyDescent="0.25">
      <c r="P6397" s="4"/>
    </row>
    <row r="6398" spans="16:16" x14ac:dyDescent="0.25">
      <c r="P6398" s="4"/>
    </row>
    <row r="6399" spans="16:16" x14ac:dyDescent="0.25">
      <c r="P6399" s="4"/>
    </row>
    <row r="6400" spans="16:16" x14ac:dyDescent="0.25">
      <c r="P6400" s="4"/>
    </row>
    <row r="6401" spans="16:16" x14ac:dyDescent="0.25">
      <c r="P6401" s="4"/>
    </row>
    <row r="6402" spans="16:16" x14ac:dyDescent="0.25">
      <c r="P6402" s="4"/>
    </row>
    <row r="6403" spans="16:16" x14ac:dyDescent="0.25">
      <c r="P6403" s="4"/>
    </row>
    <row r="6404" spans="16:16" x14ac:dyDescent="0.25">
      <c r="P6404" s="4"/>
    </row>
    <row r="6405" spans="16:16" x14ac:dyDescent="0.25">
      <c r="P6405" s="4"/>
    </row>
    <row r="6406" spans="16:16" x14ac:dyDescent="0.25">
      <c r="P6406" s="4"/>
    </row>
    <row r="6407" spans="16:16" x14ac:dyDescent="0.25">
      <c r="P6407" s="4"/>
    </row>
    <row r="6408" spans="16:16" x14ac:dyDescent="0.25">
      <c r="P6408" s="4"/>
    </row>
    <row r="6409" spans="16:16" x14ac:dyDescent="0.25">
      <c r="P6409" s="4"/>
    </row>
    <row r="6410" spans="16:16" x14ac:dyDescent="0.25">
      <c r="P6410" s="4"/>
    </row>
    <row r="6411" spans="16:16" x14ac:dyDescent="0.25">
      <c r="P6411" s="4"/>
    </row>
    <row r="6412" spans="16:16" x14ac:dyDescent="0.25">
      <c r="P6412" s="4"/>
    </row>
    <row r="6413" spans="16:16" x14ac:dyDescent="0.25">
      <c r="P6413" s="4"/>
    </row>
    <row r="6414" spans="16:16" x14ac:dyDescent="0.25">
      <c r="P6414" s="4"/>
    </row>
    <row r="6415" spans="16:16" x14ac:dyDescent="0.25">
      <c r="P6415" s="4"/>
    </row>
    <row r="6416" spans="16:16" x14ac:dyDescent="0.25">
      <c r="P6416" s="4"/>
    </row>
    <row r="6417" spans="16:16" x14ac:dyDescent="0.25">
      <c r="P6417" s="4"/>
    </row>
    <row r="6418" spans="16:16" x14ac:dyDescent="0.25">
      <c r="P6418" s="4"/>
    </row>
    <row r="6419" spans="16:16" x14ac:dyDescent="0.25">
      <c r="P6419" s="4"/>
    </row>
    <row r="6420" spans="16:16" x14ac:dyDescent="0.25">
      <c r="P6420" s="4"/>
    </row>
    <row r="6421" spans="16:16" x14ac:dyDescent="0.25">
      <c r="P6421" s="4"/>
    </row>
    <row r="6422" spans="16:16" x14ac:dyDescent="0.25">
      <c r="P6422" s="4"/>
    </row>
    <row r="6423" spans="16:16" x14ac:dyDescent="0.25">
      <c r="P6423" s="4"/>
    </row>
    <row r="6424" spans="16:16" x14ac:dyDescent="0.25">
      <c r="P6424" s="4"/>
    </row>
    <row r="6425" spans="16:16" x14ac:dyDescent="0.25">
      <c r="P6425" s="4"/>
    </row>
    <row r="6426" spans="16:16" x14ac:dyDescent="0.25">
      <c r="P6426" s="4"/>
    </row>
    <row r="6427" spans="16:16" x14ac:dyDescent="0.25">
      <c r="P6427" s="4"/>
    </row>
    <row r="6428" spans="16:16" x14ac:dyDescent="0.25">
      <c r="P6428" s="4"/>
    </row>
    <row r="6429" spans="16:16" x14ac:dyDescent="0.25">
      <c r="P6429" s="4"/>
    </row>
    <row r="6430" spans="16:16" x14ac:dyDescent="0.25">
      <c r="P6430" s="4"/>
    </row>
    <row r="6431" spans="16:16" x14ac:dyDescent="0.25">
      <c r="P6431" s="4"/>
    </row>
    <row r="6432" spans="16:16" x14ac:dyDescent="0.25">
      <c r="P6432" s="4"/>
    </row>
    <row r="6433" spans="16:16" x14ac:dyDescent="0.25">
      <c r="P6433" s="4"/>
    </row>
    <row r="6434" spans="16:16" x14ac:dyDescent="0.25">
      <c r="P6434" s="4"/>
    </row>
    <row r="6435" spans="16:16" x14ac:dyDescent="0.25">
      <c r="P6435" s="4"/>
    </row>
    <row r="6436" spans="16:16" x14ac:dyDescent="0.25">
      <c r="P6436" s="4"/>
    </row>
    <row r="6437" spans="16:16" x14ac:dyDescent="0.25">
      <c r="P6437" s="4"/>
    </row>
    <row r="6438" spans="16:16" x14ac:dyDescent="0.25">
      <c r="P6438" s="4"/>
    </row>
    <row r="6439" spans="16:16" x14ac:dyDescent="0.25">
      <c r="P6439" s="4"/>
    </row>
    <row r="6440" spans="16:16" x14ac:dyDescent="0.25">
      <c r="P6440" s="4"/>
    </row>
    <row r="6441" spans="16:16" x14ac:dyDescent="0.25">
      <c r="P6441" s="4"/>
    </row>
    <row r="6442" spans="16:16" x14ac:dyDescent="0.25">
      <c r="P6442" s="4"/>
    </row>
    <row r="6443" spans="16:16" x14ac:dyDescent="0.25">
      <c r="P6443" s="4"/>
    </row>
    <row r="6444" spans="16:16" x14ac:dyDescent="0.25">
      <c r="P6444" s="4"/>
    </row>
    <row r="6445" spans="16:16" x14ac:dyDescent="0.25">
      <c r="P6445" s="4"/>
    </row>
    <row r="6446" spans="16:16" x14ac:dyDescent="0.25">
      <c r="P6446" s="4"/>
    </row>
    <row r="6447" spans="16:16" x14ac:dyDescent="0.25">
      <c r="P6447" s="4"/>
    </row>
    <row r="6448" spans="16:16" x14ac:dyDescent="0.25">
      <c r="P6448" s="4"/>
    </row>
    <row r="6449" spans="16:16" x14ac:dyDescent="0.25">
      <c r="P6449" s="4"/>
    </row>
    <row r="6450" spans="16:16" x14ac:dyDescent="0.25">
      <c r="P6450" s="4"/>
    </row>
    <row r="6451" spans="16:16" x14ac:dyDescent="0.25">
      <c r="P6451" s="4"/>
    </row>
    <row r="6452" spans="16:16" x14ac:dyDescent="0.25">
      <c r="P6452" s="4"/>
    </row>
    <row r="6453" spans="16:16" x14ac:dyDescent="0.25">
      <c r="P6453" s="4"/>
    </row>
    <row r="6454" spans="16:16" x14ac:dyDescent="0.25">
      <c r="P6454" s="4"/>
    </row>
    <row r="6455" spans="16:16" x14ac:dyDescent="0.25">
      <c r="P6455" s="4"/>
    </row>
    <row r="6456" spans="16:16" x14ac:dyDescent="0.25">
      <c r="P6456" s="4"/>
    </row>
    <row r="6457" spans="16:16" x14ac:dyDescent="0.25">
      <c r="P6457" s="4"/>
    </row>
    <row r="6458" spans="16:16" x14ac:dyDescent="0.25">
      <c r="P6458" s="4"/>
    </row>
    <row r="6459" spans="16:16" x14ac:dyDescent="0.25">
      <c r="P6459" s="4"/>
    </row>
    <row r="6460" spans="16:16" x14ac:dyDescent="0.25">
      <c r="P6460" s="4"/>
    </row>
    <row r="6461" spans="16:16" x14ac:dyDescent="0.25">
      <c r="P6461" s="4"/>
    </row>
    <row r="6462" spans="16:16" x14ac:dyDescent="0.25">
      <c r="P6462" s="4"/>
    </row>
    <row r="6463" spans="16:16" x14ac:dyDescent="0.25">
      <c r="P6463" s="4"/>
    </row>
    <row r="6464" spans="16:16" x14ac:dyDescent="0.25">
      <c r="P6464" s="4"/>
    </row>
    <row r="6465" spans="16:16" x14ac:dyDescent="0.25">
      <c r="P6465" s="4"/>
    </row>
    <row r="6466" spans="16:16" x14ac:dyDescent="0.25">
      <c r="P6466" s="4"/>
    </row>
    <row r="6467" spans="16:16" x14ac:dyDescent="0.25">
      <c r="P6467" s="4"/>
    </row>
    <row r="6468" spans="16:16" x14ac:dyDescent="0.25">
      <c r="P6468" s="4"/>
    </row>
    <row r="6469" spans="16:16" x14ac:dyDescent="0.25">
      <c r="P6469" s="4"/>
    </row>
    <row r="6470" spans="16:16" x14ac:dyDescent="0.25">
      <c r="P6470" s="4"/>
    </row>
    <row r="6471" spans="16:16" x14ac:dyDescent="0.25">
      <c r="P6471" s="4"/>
    </row>
    <row r="6472" spans="16:16" x14ac:dyDescent="0.25">
      <c r="P6472" s="4"/>
    </row>
    <row r="6473" spans="16:16" x14ac:dyDescent="0.25">
      <c r="P6473" s="4"/>
    </row>
    <row r="6474" spans="16:16" x14ac:dyDescent="0.25">
      <c r="P6474" s="4"/>
    </row>
    <row r="6475" spans="16:16" x14ac:dyDescent="0.25">
      <c r="P6475" s="4"/>
    </row>
    <row r="6476" spans="16:16" x14ac:dyDescent="0.25">
      <c r="P6476" s="4"/>
    </row>
    <row r="6477" spans="16:16" x14ac:dyDescent="0.25">
      <c r="P6477" s="4"/>
    </row>
    <row r="6478" spans="16:16" x14ac:dyDescent="0.25">
      <c r="P6478" s="4"/>
    </row>
    <row r="6479" spans="16:16" x14ac:dyDescent="0.25">
      <c r="P6479" s="4"/>
    </row>
    <row r="6480" spans="16:16" x14ac:dyDescent="0.25">
      <c r="P6480" s="4"/>
    </row>
    <row r="6481" spans="16:16" x14ac:dyDescent="0.25">
      <c r="P6481" s="4"/>
    </row>
    <row r="6482" spans="16:16" x14ac:dyDescent="0.25">
      <c r="P6482" s="4"/>
    </row>
    <row r="6483" spans="16:16" x14ac:dyDescent="0.25">
      <c r="P6483" s="4"/>
    </row>
    <row r="6484" spans="16:16" x14ac:dyDescent="0.25">
      <c r="P6484" s="4"/>
    </row>
    <row r="6485" spans="16:16" x14ac:dyDescent="0.25">
      <c r="P6485" s="4"/>
    </row>
    <row r="6486" spans="16:16" x14ac:dyDescent="0.25">
      <c r="P6486" s="4"/>
    </row>
    <row r="6487" spans="16:16" x14ac:dyDescent="0.25">
      <c r="P6487" s="4"/>
    </row>
    <row r="6488" spans="16:16" x14ac:dyDescent="0.25">
      <c r="P6488" s="4"/>
    </row>
    <row r="6489" spans="16:16" x14ac:dyDescent="0.25">
      <c r="P6489" s="4"/>
    </row>
    <row r="6490" spans="16:16" x14ac:dyDescent="0.25">
      <c r="P6490" s="4"/>
    </row>
    <row r="6491" spans="16:16" x14ac:dyDescent="0.25">
      <c r="P6491" s="4"/>
    </row>
    <row r="6492" spans="16:16" x14ac:dyDescent="0.25">
      <c r="P6492" s="4"/>
    </row>
    <row r="6493" spans="16:16" x14ac:dyDescent="0.25">
      <c r="P6493" s="4"/>
    </row>
    <row r="6494" spans="16:16" x14ac:dyDescent="0.25">
      <c r="P6494" s="4"/>
    </row>
    <row r="6495" spans="16:16" x14ac:dyDescent="0.25">
      <c r="P6495" s="4"/>
    </row>
    <row r="6496" spans="16:16" x14ac:dyDescent="0.25">
      <c r="P6496" s="4"/>
    </row>
    <row r="6497" spans="16:16" x14ac:dyDescent="0.25">
      <c r="P6497" s="4"/>
    </row>
    <row r="6498" spans="16:16" x14ac:dyDescent="0.25">
      <c r="P6498" s="4"/>
    </row>
    <row r="6499" spans="16:16" x14ac:dyDescent="0.25">
      <c r="P6499" s="4"/>
    </row>
    <row r="6500" spans="16:16" x14ac:dyDescent="0.25">
      <c r="P6500" s="4"/>
    </row>
    <row r="6501" spans="16:16" x14ac:dyDescent="0.25">
      <c r="P6501" s="4"/>
    </row>
    <row r="6502" spans="16:16" x14ac:dyDescent="0.25">
      <c r="P6502" s="4"/>
    </row>
    <row r="6503" spans="16:16" x14ac:dyDescent="0.25">
      <c r="P6503" s="4"/>
    </row>
    <row r="6504" spans="16:16" x14ac:dyDescent="0.25">
      <c r="P6504" s="4"/>
    </row>
    <row r="6505" spans="16:16" x14ac:dyDescent="0.25">
      <c r="P6505" s="4"/>
    </row>
    <row r="6506" spans="16:16" x14ac:dyDescent="0.25">
      <c r="P6506" s="4"/>
    </row>
    <row r="6507" spans="16:16" x14ac:dyDescent="0.25">
      <c r="P6507" s="4"/>
    </row>
    <row r="6508" spans="16:16" x14ac:dyDescent="0.25">
      <c r="P6508" s="4"/>
    </row>
    <row r="6509" spans="16:16" x14ac:dyDescent="0.25">
      <c r="P6509" s="4"/>
    </row>
    <row r="6510" spans="16:16" x14ac:dyDescent="0.25">
      <c r="P6510" s="4"/>
    </row>
    <row r="6511" spans="16:16" x14ac:dyDescent="0.25">
      <c r="P6511" s="4"/>
    </row>
    <row r="6512" spans="16:16" x14ac:dyDescent="0.25">
      <c r="P6512" s="4"/>
    </row>
    <row r="6513" spans="16:16" x14ac:dyDescent="0.25">
      <c r="P6513" s="4"/>
    </row>
    <row r="6514" spans="16:16" x14ac:dyDescent="0.25">
      <c r="P6514" s="4"/>
    </row>
    <row r="6515" spans="16:16" x14ac:dyDescent="0.25">
      <c r="P6515" s="4"/>
    </row>
    <row r="6516" spans="16:16" x14ac:dyDescent="0.25">
      <c r="P6516" s="4"/>
    </row>
    <row r="6517" spans="16:16" x14ac:dyDescent="0.25">
      <c r="P6517" s="4"/>
    </row>
    <row r="6518" spans="16:16" x14ac:dyDescent="0.25">
      <c r="P6518" s="4"/>
    </row>
    <row r="6519" spans="16:16" x14ac:dyDescent="0.25">
      <c r="P6519" s="4"/>
    </row>
    <row r="6520" spans="16:16" x14ac:dyDescent="0.25">
      <c r="P6520" s="4"/>
    </row>
    <row r="6521" spans="16:16" x14ac:dyDescent="0.25">
      <c r="P6521" s="4"/>
    </row>
    <row r="6522" spans="16:16" x14ac:dyDescent="0.25">
      <c r="P6522" s="4"/>
    </row>
    <row r="6523" spans="16:16" x14ac:dyDescent="0.25">
      <c r="P6523" s="4"/>
    </row>
    <row r="6524" spans="16:16" x14ac:dyDescent="0.25">
      <c r="P6524" s="4"/>
    </row>
    <row r="6525" spans="16:16" x14ac:dyDescent="0.25">
      <c r="P6525" s="4"/>
    </row>
    <row r="6526" spans="16:16" x14ac:dyDescent="0.25">
      <c r="P6526" s="4"/>
    </row>
    <row r="6527" spans="16:16" x14ac:dyDescent="0.25">
      <c r="P6527" s="4"/>
    </row>
    <row r="6528" spans="16:16" x14ac:dyDescent="0.25">
      <c r="P6528" s="4"/>
    </row>
    <row r="6529" spans="16:16" x14ac:dyDescent="0.25">
      <c r="P6529" s="4"/>
    </row>
    <row r="6530" spans="16:16" x14ac:dyDescent="0.25">
      <c r="P6530" s="4"/>
    </row>
    <row r="6531" spans="16:16" x14ac:dyDescent="0.25">
      <c r="P6531" s="4"/>
    </row>
    <row r="6532" spans="16:16" x14ac:dyDescent="0.25">
      <c r="P6532" s="4"/>
    </row>
    <row r="6533" spans="16:16" x14ac:dyDescent="0.25">
      <c r="P6533" s="4"/>
    </row>
    <row r="6534" spans="16:16" x14ac:dyDescent="0.25">
      <c r="P6534" s="4"/>
    </row>
    <row r="6535" spans="16:16" x14ac:dyDescent="0.25">
      <c r="P6535" s="4"/>
    </row>
    <row r="6536" spans="16:16" x14ac:dyDescent="0.25">
      <c r="P6536" s="4"/>
    </row>
    <row r="6537" spans="16:16" x14ac:dyDescent="0.25">
      <c r="P6537" s="4"/>
    </row>
    <row r="6538" spans="16:16" x14ac:dyDescent="0.25">
      <c r="P6538" s="4"/>
    </row>
    <row r="6539" spans="16:16" x14ac:dyDescent="0.25">
      <c r="P6539" s="4"/>
    </row>
    <row r="6540" spans="16:16" x14ac:dyDescent="0.25">
      <c r="P6540" s="4"/>
    </row>
    <row r="6541" spans="16:16" x14ac:dyDescent="0.25">
      <c r="P6541" s="4"/>
    </row>
    <row r="6542" spans="16:16" x14ac:dyDescent="0.25">
      <c r="P6542" s="4"/>
    </row>
    <row r="6543" spans="16:16" x14ac:dyDescent="0.25">
      <c r="P6543" s="4"/>
    </row>
    <row r="6544" spans="16:16" x14ac:dyDescent="0.25">
      <c r="P6544" s="4"/>
    </row>
    <row r="6545" spans="16:16" x14ac:dyDescent="0.25">
      <c r="P6545" s="4"/>
    </row>
    <row r="6546" spans="16:16" x14ac:dyDescent="0.25">
      <c r="P6546" s="4"/>
    </row>
    <row r="6547" spans="16:16" x14ac:dyDescent="0.25">
      <c r="P6547" s="4"/>
    </row>
    <row r="6548" spans="16:16" x14ac:dyDescent="0.25">
      <c r="P6548" s="4"/>
    </row>
    <row r="6549" spans="16:16" x14ac:dyDescent="0.25">
      <c r="P6549" s="4"/>
    </row>
    <row r="6550" spans="16:16" x14ac:dyDescent="0.25">
      <c r="P6550" s="4"/>
    </row>
    <row r="6551" spans="16:16" x14ac:dyDescent="0.25">
      <c r="P6551" s="4"/>
    </row>
    <row r="6552" spans="16:16" x14ac:dyDescent="0.25">
      <c r="P6552" s="4"/>
    </row>
    <row r="6553" spans="16:16" x14ac:dyDescent="0.25">
      <c r="P6553" s="4"/>
    </row>
    <row r="6554" spans="16:16" x14ac:dyDescent="0.25">
      <c r="P6554" s="4"/>
    </row>
    <row r="6555" spans="16:16" x14ac:dyDescent="0.25">
      <c r="P6555" s="4"/>
    </row>
    <row r="6556" spans="16:16" x14ac:dyDescent="0.25">
      <c r="P6556" s="4"/>
    </row>
    <row r="6557" spans="16:16" x14ac:dyDescent="0.25">
      <c r="P6557" s="4"/>
    </row>
    <row r="6558" spans="16:16" x14ac:dyDescent="0.25">
      <c r="P6558" s="4"/>
    </row>
    <row r="6559" spans="16:16" x14ac:dyDescent="0.25">
      <c r="P6559" s="4"/>
    </row>
    <row r="6560" spans="16:16" x14ac:dyDescent="0.25">
      <c r="P6560" s="4"/>
    </row>
    <row r="6561" spans="16:16" x14ac:dyDescent="0.25">
      <c r="P6561" s="4"/>
    </row>
    <row r="6562" spans="16:16" x14ac:dyDescent="0.25">
      <c r="P6562" s="4"/>
    </row>
    <row r="6563" spans="16:16" x14ac:dyDescent="0.25">
      <c r="P6563" s="4"/>
    </row>
    <row r="6564" spans="16:16" x14ac:dyDescent="0.25">
      <c r="P6564" s="4"/>
    </row>
    <row r="6565" spans="16:16" x14ac:dyDescent="0.25">
      <c r="P6565" s="4"/>
    </row>
    <row r="6566" spans="16:16" x14ac:dyDescent="0.25">
      <c r="P6566" s="4"/>
    </row>
    <row r="6567" spans="16:16" x14ac:dyDescent="0.25">
      <c r="P6567" s="4"/>
    </row>
    <row r="6568" spans="16:16" x14ac:dyDescent="0.25">
      <c r="P6568" s="4"/>
    </row>
    <row r="6569" spans="16:16" x14ac:dyDescent="0.25">
      <c r="P6569" s="4"/>
    </row>
    <row r="6570" spans="16:16" x14ac:dyDescent="0.25">
      <c r="P6570" s="4"/>
    </row>
    <row r="6571" spans="16:16" x14ac:dyDescent="0.25">
      <c r="P6571" s="4"/>
    </row>
    <row r="6572" spans="16:16" x14ac:dyDescent="0.25">
      <c r="P6572" s="4"/>
    </row>
    <row r="6573" spans="16:16" x14ac:dyDescent="0.25">
      <c r="P6573" s="4"/>
    </row>
    <row r="6574" spans="16:16" x14ac:dyDescent="0.25">
      <c r="P6574" s="4"/>
    </row>
    <row r="6575" spans="16:16" x14ac:dyDescent="0.25">
      <c r="P6575" s="4"/>
    </row>
    <row r="6576" spans="16:16" x14ac:dyDescent="0.25">
      <c r="P6576" s="4"/>
    </row>
    <row r="6577" spans="16:16" x14ac:dyDescent="0.25">
      <c r="P6577" s="4"/>
    </row>
    <row r="6578" spans="16:16" x14ac:dyDescent="0.25">
      <c r="P6578" s="4"/>
    </row>
    <row r="6579" spans="16:16" x14ac:dyDescent="0.25">
      <c r="P6579" s="4"/>
    </row>
    <row r="6580" spans="16:16" x14ac:dyDescent="0.25">
      <c r="P6580" s="4"/>
    </row>
    <row r="6581" spans="16:16" x14ac:dyDescent="0.25">
      <c r="P6581" s="4"/>
    </row>
    <row r="6582" spans="16:16" x14ac:dyDescent="0.25">
      <c r="P6582" s="4"/>
    </row>
    <row r="6583" spans="16:16" x14ac:dyDescent="0.25">
      <c r="P6583" s="4"/>
    </row>
    <row r="6584" spans="16:16" x14ac:dyDescent="0.25">
      <c r="P6584" s="4"/>
    </row>
    <row r="6585" spans="16:16" x14ac:dyDescent="0.25">
      <c r="P6585" s="4"/>
    </row>
    <row r="6586" spans="16:16" x14ac:dyDescent="0.25">
      <c r="P6586" s="4"/>
    </row>
    <row r="6587" spans="16:16" x14ac:dyDescent="0.25">
      <c r="P6587" s="4"/>
    </row>
    <row r="6588" spans="16:16" x14ac:dyDescent="0.25">
      <c r="P6588" s="4"/>
    </row>
    <row r="6589" spans="16:16" x14ac:dyDescent="0.25">
      <c r="P6589" s="4"/>
    </row>
    <row r="6590" spans="16:16" x14ac:dyDescent="0.25">
      <c r="P6590" s="4"/>
    </row>
    <row r="6591" spans="16:16" x14ac:dyDescent="0.25">
      <c r="P6591" s="4"/>
    </row>
    <row r="6592" spans="16:16" x14ac:dyDescent="0.25">
      <c r="P6592" s="4"/>
    </row>
    <row r="6593" spans="16:16" x14ac:dyDescent="0.25">
      <c r="P6593" s="4"/>
    </row>
    <row r="6594" spans="16:16" x14ac:dyDescent="0.25">
      <c r="P6594" s="4"/>
    </row>
    <row r="6595" spans="16:16" x14ac:dyDescent="0.25">
      <c r="P6595" s="4"/>
    </row>
    <row r="6596" spans="16:16" x14ac:dyDescent="0.25">
      <c r="P6596" s="4"/>
    </row>
    <row r="6597" spans="16:16" x14ac:dyDescent="0.25">
      <c r="P6597" s="4"/>
    </row>
    <row r="6598" spans="16:16" x14ac:dyDescent="0.25">
      <c r="P6598" s="4"/>
    </row>
    <row r="6599" spans="16:16" x14ac:dyDescent="0.25">
      <c r="P6599" s="4"/>
    </row>
    <row r="6600" spans="16:16" x14ac:dyDescent="0.25">
      <c r="P6600" s="4"/>
    </row>
    <row r="6601" spans="16:16" x14ac:dyDescent="0.25">
      <c r="P6601" s="4"/>
    </row>
    <row r="6602" spans="16:16" x14ac:dyDescent="0.25">
      <c r="P6602" s="4"/>
    </row>
    <row r="6603" spans="16:16" x14ac:dyDescent="0.25">
      <c r="P6603" s="4"/>
    </row>
    <row r="6604" spans="16:16" x14ac:dyDescent="0.25">
      <c r="P6604" s="4"/>
    </row>
    <row r="6605" spans="16:16" x14ac:dyDescent="0.25">
      <c r="P6605" s="4"/>
    </row>
    <row r="6606" spans="16:16" x14ac:dyDescent="0.25">
      <c r="P6606" s="4"/>
    </row>
    <row r="6607" spans="16:16" x14ac:dyDescent="0.25">
      <c r="P6607" s="4"/>
    </row>
    <row r="6608" spans="16:16" x14ac:dyDescent="0.25">
      <c r="P6608" s="4"/>
    </row>
    <row r="6609" spans="16:16" x14ac:dyDescent="0.25">
      <c r="P6609" s="4"/>
    </row>
    <row r="6610" spans="16:16" x14ac:dyDescent="0.25">
      <c r="P6610" s="4"/>
    </row>
    <row r="6611" spans="16:16" x14ac:dyDescent="0.25">
      <c r="P6611" s="4"/>
    </row>
    <row r="6612" spans="16:16" x14ac:dyDescent="0.25">
      <c r="P6612" s="4"/>
    </row>
    <row r="6613" spans="16:16" x14ac:dyDescent="0.25">
      <c r="P6613" s="4"/>
    </row>
    <row r="6614" spans="16:16" x14ac:dyDescent="0.25">
      <c r="P6614" s="4"/>
    </row>
    <row r="6615" spans="16:16" x14ac:dyDescent="0.25">
      <c r="P6615" s="4"/>
    </row>
    <row r="6616" spans="16:16" x14ac:dyDescent="0.25">
      <c r="P6616" s="4"/>
    </row>
    <row r="6617" spans="16:16" x14ac:dyDescent="0.25">
      <c r="P6617" s="4"/>
    </row>
    <row r="6618" spans="16:16" x14ac:dyDescent="0.25">
      <c r="P6618" s="4"/>
    </row>
    <row r="6619" spans="16:16" x14ac:dyDescent="0.25">
      <c r="P6619" s="4"/>
    </row>
    <row r="6620" spans="16:16" x14ac:dyDescent="0.25">
      <c r="P6620" s="4"/>
    </row>
    <row r="6621" spans="16:16" x14ac:dyDescent="0.25">
      <c r="P6621" s="4"/>
    </row>
    <row r="6622" spans="16:16" x14ac:dyDescent="0.25">
      <c r="P6622" s="4"/>
    </row>
    <row r="6623" spans="16:16" x14ac:dyDescent="0.25">
      <c r="P6623" s="4"/>
    </row>
    <row r="6624" spans="16:16" x14ac:dyDescent="0.25">
      <c r="P6624" s="4"/>
    </row>
    <row r="6625" spans="16:16" x14ac:dyDescent="0.25">
      <c r="P6625" s="4"/>
    </row>
    <row r="6626" spans="16:16" x14ac:dyDescent="0.25">
      <c r="P6626" s="4"/>
    </row>
    <row r="6627" spans="16:16" x14ac:dyDescent="0.25">
      <c r="P6627" s="4"/>
    </row>
    <row r="6628" spans="16:16" x14ac:dyDescent="0.25">
      <c r="P6628" s="4"/>
    </row>
    <row r="6629" spans="16:16" x14ac:dyDescent="0.25">
      <c r="P6629" s="4"/>
    </row>
    <row r="6630" spans="16:16" x14ac:dyDescent="0.25">
      <c r="P6630" s="4"/>
    </row>
    <row r="6631" spans="16:16" x14ac:dyDescent="0.25">
      <c r="P6631" s="4"/>
    </row>
    <row r="6632" spans="16:16" x14ac:dyDescent="0.25">
      <c r="P6632" s="4"/>
    </row>
    <row r="6633" spans="16:16" x14ac:dyDescent="0.25">
      <c r="P6633" s="4"/>
    </row>
    <row r="6634" spans="16:16" x14ac:dyDescent="0.25">
      <c r="P6634" s="4"/>
    </row>
    <row r="6635" spans="16:16" x14ac:dyDescent="0.25">
      <c r="P6635" s="4"/>
    </row>
    <row r="6636" spans="16:16" x14ac:dyDescent="0.25">
      <c r="P6636" s="4"/>
    </row>
    <row r="6637" spans="16:16" x14ac:dyDescent="0.25">
      <c r="P6637" s="4"/>
    </row>
    <row r="6638" spans="16:16" x14ac:dyDescent="0.25">
      <c r="P6638" s="4"/>
    </row>
    <row r="6639" spans="16:16" x14ac:dyDescent="0.25">
      <c r="P6639" s="4"/>
    </row>
    <row r="6640" spans="16:16" x14ac:dyDescent="0.25">
      <c r="P6640" s="4"/>
    </row>
    <row r="6641" spans="16:16" x14ac:dyDescent="0.25">
      <c r="P6641" s="4"/>
    </row>
    <row r="6642" spans="16:16" x14ac:dyDescent="0.25">
      <c r="P6642" s="4"/>
    </row>
    <row r="6643" spans="16:16" x14ac:dyDescent="0.25">
      <c r="P6643" s="4"/>
    </row>
    <row r="6644" spans="16:16" x14ac:dyDescent="0.25">
      <c r="P6644" s="4"/>
    </row>
    <row r="6645" spans="16:16" x14ac:dyDescent="0.25">
      <c r="P6645" s="4"/>
    </row>
    <row r="6646" spans="16:16" x14ac:dyDescent="0.25">
      <c r="P6646" s="4"/>
    </row>
    <row r="6647" spans="16:16" x14ac:dyDescent="0.25">
      <c r="P6647" s="4"/>
    </row>
    <row r="6648" spans="16:16" x14ac:dyDescent="0.25">
      <c r="P6648" s="4"/>
    </row>
    <row r="6649" spans="16:16" x14ac:dyDescent="0.25">
      <c r="P6649" s="4"/>
    </row>
    <row r="6650" spans="16:16" x14ac:dyDescent="0.25">
      <c r="P6650" s="4"/>
    </row>
    <row r="6651" spans="16:16" x14ac:dyDescent="0.25">
      <c r="P6651" s="4"/>
    </row>
    <row r="6652" spans="16:16" x14ac:dyDescent="0.25">
      <c r="P6652" s="4"/>
    </row>
    <row r="6653" spans="16:16" x14ac:dyDescent="0.25">
      <c r="P6653" s="4"/>
    </row>
    <row r="6654" spans="16:16" x14ac:dyDescent="0.25">
      <c r="P6654" s="4"/>
    </row>
    <row r="6655" spans="16:16" x14ac:dyDescent="0.25">
      <c r="P6655" s="4"/>
    </row>
    <row r="6656" spans="16:16" x14ac:dyDescent="0.25">
      <c r="P6656" s="4"/>
    </row>
    <row r="6657" spans="16:16" x14ac:dyDescent="0.25">
      <c r="P6657" s="4"/>
    </row>
    <row r="6658" spans="16:16" x14ac:dyDescent="0.25">
      <c r="P6658" s="4"/>
    </row>
    <row r="6659" spans="16:16" x14ac:dyDescent="0.25">
      <c r="P6659" s="4"/>
    </row>
    <row r="6660" spans="16:16" x14ac:dyDescent="0.25">
      <c r="P6660" s="4"/>
    </row>
    <row r="6661" spans="16:16" x14ac:dyDescent="0.25">
      <c r="P6661" s="4"/>
    </row>
    <row r="6662" spans="16:16" x14ac:dyDescent="0.25">
      <c r="P6662" s="4"/>
    </row>
    <row r="6663" spans="16:16" x14ac:dyDescent="0.25">
      <c r="P6663" s="4"/>
    </row>
    <row r="6664" spans="16:16" x14ac:dyDescent="0.25">
      <c r="P6664" s="4"/>
    </row>
    <row r="6665" spans="16:16" x14ac:dyDescent="0.25">
      <c r="P6665" s="4"/>
    </row>
    <row r="6666" spans="16:16" x14ac:dyDescent="0.25">
      <c r="P6666" s="4"/>
    </row>
    <row r="6667" spans="16:16" x14ac:dyDescent="0.25">
      <c r="P6667" s="4"/>
    </row>
    <row r="6668" spans="16:16" x14ac:dyDescent="0.25">
      <c r="P6668" s="4"/>
    </row>
    <row r="6669" spans="16:16" x14ac:dyDescent="0.25">
      <c r="P6669" s="4"/>
    </row>
    <row r="6670" spans="16:16" x14ac:dyDescent="0.25">
      <c r="P6670" s="4"/>
    </row>
    <row r="6671" spans="16:16" x14ac:dyDescent="0.25">
      <c r="P6671" s="4"/>
    </row>
    <row r="6672" spans="16:16" x14ac:dyDescent="0.25">
      <c r="P6672" s="4"/>
    </row>
    <row r="6673" spans="16:16" x14ac:dyDescent="0.25">
      <c r="P6673" s="4"/>
    </row>
    <row r="6674" spans="16:16" x14ac:dyDescent="0.25">
      <c r="P6674" s="4"/>
    </row>
    <row r="6675" spans="16:16" x14ac:dyDescent="0.25">
      <c r="P6675" s="4"/>
    </row>
    <row r="6676" spans="16:16" x14ac:dyDescent="0.25">
      <c r="P6676" s="4"/>
    </row>
    <row r="6677" spans="16:16" x14ac:dyDescent="0.25">
      <c r="P6677" s="4"/>
    </row>
    <row r="6678" spans="16:16" x14ac:dyDescent="0.25">
      <c r="P6678" s="4"/>
    </row>
    <row r="6679" spans="16:16" x14ac:dyDescent="0.25">
      <c r="P6679" s="4"/>
    </row>
    <row r="6680" spans="16:16" x14ac:dyDescent="0.25">
      <c r="P6680" s="4"/>
    </row>
    <row r="6681" spans="16:16" x14ac:dyDescent="0.25">
      <c r="P6681" s="4"/>
    </row>
    <row r="6682" spans="16:16" x14ac:dyDescent="0.25">
      <c r="P6682" s="4"/>
    </row>
    <row r="6683" spans="16:16" x14ac:dyDescent="0.25">
      <c r="P6683" s="4"/>
    </row>
    <row r="6684" spans="16:16" x14ac:dyDescent="0.25">
      <c r="P6684" s="4"/>
    </row>
    <row r="6685" spans="16:16" x14ac:dyDescent="0.25">
      <c r="P6685" s="4"/>
    </row>
    <row r="6686" spans="16:16" x14ac:dyDescent="0.25">
      <c r="P6686" s="4"/>
    </row>
    <row r="6687" spans="16:16" x14ac:dyDescent="0.25">
      <c r="P6687" s="4"/>
    </row>
    <row r="6688" spans="16:16" x14ac:dyDescent="0.25">
      <c r="P6688" s="4"/>
    </row>
    <row r="6689" spans="16:16" x14ac:dyDescent="0.25">
      <c r="P6689" s="4"/>
    </row>
    <row r="6690" spans="16:16" x14ac:dyDescent="0.25">
      <c r="P6690" s="4"/>
    </row>
    <row r="6691" spans="16:16" x14ac:dyDescent="0.25">
      <c r="P6691" s="4"/>
    </row>
    <row r="6692" spans="16:16" x14ac:dyDescent="0.25">
      <c r="P6692" s="4"/>
    </row>
    <row r="6693" spans="16:16" x14ac:dyDescent="0.25">
      <c r="P6693" s="4"/>
    </row>
    <row r="6694" spans="16:16" x14ac:dyDescent="0.25">
      <c r="P6694" s="4"/>
    </row>
    <row r="6695" spans="16:16" x14ac:dyDescent="0.25">
      <c r="P6695" s="4"/>
    </row>
    <row r="6696" spans="16:16" x14ac:dyDescent="0.25">
      <c r="P6696" s="4"/>
    </row>
    <row r="6697" spans="16:16" x14ac:dyDescent="0.25">
      <c r="P6697" s="4"/>
    </row>
    <row r="6698" spans="16:16" x14ac:dyDescent="0.25">
      <c r="P6698" s="4"/>
    </row>
    <row r="6699" spans="16:16" x14ac:dyDescent="0.25">
      <c r="P6699" s="4"/>
    </row>
    <row r="6700" spans="16:16" x14ac:dyDescent="0.25">
      <c r="P6700" s="4"/>
    </row>
    <row r="6701" spans="16:16" x14ac:dyDescent="0.25">
      <c r="P6701" s="4"/>
    </row>
    <row r="6702" spans="16:16" x14ac:dyDescent="0.25">
      <c r="P6702" s="4"/>
    </row>
    <row r="6703" spans="16:16" x14ac:dyDescent="0.25">
      <c r="P6703" s="4"/>
    </row>
    <row r="6704" spans="16:16" x14ac:dyDescent="0.25">
      <c r="P6704" s="4"/>
    </row>
    <row r="6705" spans="16:16" x14ac:dyDescent="0.25">
      <c r="P6705" s="4"/>
    </row>
    <row r="6706" spans="16:16" x14ac:dyDescent="0.25">
      <c r="P6706" s="4"/>
    </row>
    <row r="6707" spans="16:16" x14ac:dyDescent="0.25">
      <c r="P6707" s="4"/>
    </row>
    <row r="6708" spans="16:16" x14ac:dyDescent="0.25">
      <c r="P6708" s="4"/>
    </row>
    <row r="6709" spans="16:16" x14ac:dyDescent="0.25">
      <c r="P6709" s="4"/>
    </row>
    <row r="6710" spans="16:16" x14ac:dyDescent="0.25">
      <c r="P6710" s="4"/>
    </row>
    <row r="6711" spans="16:16" x14ac:dyDescent="0.25">
      <c r="P6711" s="4"/>
    </row>
    <row r="6712" spans="16:16" x14ac:dyDescent="0.25">
      <c r="P6712" s="4"/>
    </row>
    <row r="6713" spans="16:16" x14ac:dyDescent="0.25">
      <c r="P6713" s="4"/>
    </row>
    <row r="6714" spans="16:16" x14ac:dyDescent="0.25">
      <c r="P6714" s="4"/>
    </row>
    <row r="6715" spans="16:16" x14ac:dyDescent="0.25">
      <c r="P6715" s="4"/>
    </row>
    <row r="6716" spans="16:16" x14ac:dyDescent="0.25">
      <c r="P6716" s="4"/>
    </row>
    <row r="6717" spans="16:16" x14ac:dyDescent="0.25">
      <c r="P6717" s="4"/>
    </row>
    <row r="6718" spans="16:16" x14ac:dyDescent="0.25">
      <c r="P6718" s="4"/>
    </row>
    <row r="6719" spans="16:16" x14ac:dyDescent="0.25">
      <c r="P6719" s="4"/>
    </row>
    <row r="6720" spans="16:16" x14ac:dyDescent="0.25">
      <c r="P6720" s="4"/>
    </row>
    <row r="6721" spans="16:16" x14ac:dyDescent="0.25">
      <c r="P6721" s="4"/>
    </row>
    <row r="6722" spans="16:16" x14ac:dyDescent="0.25">
      <c r="P6722" s="4"/>
    </row>
    <row r="6723" spans="16:16" x14ac:dyDescent="0.25">
      <c r="P6723" s="4"/>
    </row>
    <row r="6724" spans="16:16" x14ac:dyDescent="0.25">
      <c r="P6724" s="4"/>
    </row>
    <row r="6725" spans="16:16" x14ac:dyDescent="0.25">
      <c r="P6725" s="4"/>
    </row>
    <row r="6726" spans="16:16" x14ac:dyDescent="0.25">
      <c r="P6726" s="4"/>
    </row>
    <row r="6727" spans="16:16" x14ac:dyDescent="0.25">
      <c r="P6727" s="4"/>
    </row>
    <row r="6728" spans="16:16" x14ac:dyDescent="0.25">
      <c r="P6728" s="4"/>
    </row>
    <row r="6729" spans="16:16" x14ac:dyDescent="0.25">
      <c r="P6729" s="4"/>
    </row>
    <row r="6730" spans="16:16" x14ac:dyDescent="0.25">
      <c r="P6730" s="4"/>
    </row>
    <row r="6731" spans="16:16" x14ac:dyDescent="0.25">
      <c r="P6731" s="4"/>
    </row>
    <row r="6732" spans="16:16" x14ac:dyDescent="0.25">
      <c r="P6732" s="4"/>
    </row>
    <row r="6733" spans="16:16" x14ac:dyDescent="0.25">
      <c r="P6733" s="4"/>
    </row>
    <row r="6734" spans="16:16" x14ac:dyDescent="0.25">
      <c r="P6734" s="4"/>
    </row>
    <row r="6735" spans="16:16" x14ac:dyDescent="0.25">
      <c r="P6735" s="4"/>
    </row>
    <row r="6736" spans="16:16" x14ac:dyDescent="0.25">
      <c r="P6736" s="4"/>
    </row>
    <row r="6737" spans="16:16" x14ac:dyDescent="0.25">
      <c r="P6737" s="4"/>
    </row>
    <row r="6738" spans="16:16" x14ac:dyDescent="0.25">
      <c r="P6738" s="4"/>
    </row>
    <row r="6739" spans="16:16" x14ac:dyDescent="0.25">
      <c r="P6739" s="4"/>
    </row>
    <row r="6740" spans="16:16" x14ac:dyDescent="0.25">
      <c r="P6740" s="4"/>
    </row>
    <row r="6741" spans="16:16" x14ac:dyDescent="0.25">
      <c r="P6741" s="4"/>
    </row>
    <row r="6742" spans="16:16" x14ac:dyDescent="0.25">
      <c r="P6742" s="4"/>
    </row>
    <row r="6743" spans="16:16" x14ac:dyDescent="0.25">
      <c r="P6743" s="4"/>
    </row>
    <row r="6744" spans="16:16" x14ac:dyDescent="0.25">
      <c r="P6744" s="4"/>
    </row>
    <row r="6745" spans="16:16" x14ac:dyDescent="0.25">
      <c r="P6745" s="4"/>
    </row>
    <row r="6746" spans="16:16" x14ac:dyDescent="0.25">
      <c r="P6746" s="4"/>
    </row>
    <row r="6747" spans="16:16" x14ac:dyDescent="0.25">
      <c r="P6747" s="4"/>
    </row>
    <row r="6748" spans="16:16" x14ac:dyDescent="0.25">
      <c r="P6748" s="4"/>
    </row>
    <row r="6749" spans="16:16" x14ac:dyDescent="0.25">
      <c r="P6749" s="4"/>
    </row>
    <row r="6750" spans="16:16" x14ac:dyDescent="0.25">
      <c r="P6750" s="4"/>
    </row>
    <row r="6751" spans="16:16" x14ac:dyDescent="0.25">
      <c r="P6751" s="4"/>
    </row>
    <row r="6752" spans="16:16" x14ac:dyDescent="0.25">
      <c r="P6752" s="4"/>
    </row>
    <row r="6753" spans="16:16" x14ac:dyDescent="0.25">
      <c r="P6753" s="4"/>
    </row>
    <row r="6754" spans="16:16" x14ac:dyDescent="0.25">
      <c r="P6754" s="4"/>
    </row>
    <row r="6755" spans="16:16" x14ac:dyDescent="0.25">
      <c r="P6755" s="4"/>
    </row>
    <row r="6756" spans="16:16" x14ac:dyDescent="0.25">
      <c r="P6756" s="4"/>
    </row>
    <row r="6757" spans="16:16" x14ac:dyDescent="0.25">
      <c r="P6757" s="4"/>
    </row>
    <row r="6758" spans="16:16" x14ac:dyDescent="0.25">
      <c r="P6758" s="4"/>
    </row>
    <row r="6759" spans="16:16" x14ac:dyDescent="0.25">
      <c r="P6759" s="4"/>
    </row>
    <row r="6760" spans="16:16" x14ac:dyDescent="0.25">
      <c r="P6760" s="4"/>
    </row>
    <row r="6761" spans="16:16" x14ac:dyDescent="0.25">
      <c r="P6761" s="4"/>
    </row>
    <row r="6762" spans="16:16" x14ac:dyDescent="0.25">
      <c r="P6762" s="4"/>
    </row>
    <row r="6763" spans="16:16" x14ac:dyDescent="0.25">
      <c r="P6763" s="4"/>
    </row>
    <row r="6764" spans="16:16" x14ac:dyDescent="0.25">
      <c r="P6764" s="4"/>
    </row>
    <row r="6765" spans="16:16" x14ac:dyDescent="0.25">
      <c r="P6765" s="4"/>
    </row>
    <row r="6766" spans="16:16" x14ac:dyDescent="0.25">
      <c r="P6766" s="4"/>
    </row>
    <row r="6767" spans="16:16" x14ac:dyDescent="0.25">
      <c r="P6767" s="4"/>
    </row>
    <row r="6768" spans="16:16" x14ac:dyDescent="0.25">
      <c r="P6768" s="4"/>
    </row>
    <row r="6769" spans="16:16" x14ac:dyDescent="0.25">
      <c r="P6769" s="4"/>
    </row>
    <row r="6770" spans="16:16" x14ac:dyDescent="0.25">
      <c r="P6770" s="4"/>
    </row>
    <row r="6771" spans="16:16" x14ac:dyDescent="0.25">
      <c r="P6771" s="4"/>
    </row>
    <row r="6772" spans="16:16" x14ac:dyDescent="0.25">
      <c r="P6772" s="4"/>
    </row>
    <row r="6773" spans="16:16" x14ac:dyDescent="0.25">
      <c r="P6773" s="4"/>
    </row>
    <row r="6774" spans="16:16" x14ac:dyDescent="0.25">
      <c r="P6774" s="4"/>
    </row>
    <row r="6775" spans="16:16" x14ac:dyDescent="0.25">
      <c r="P6775" s="4"/>
    </row>
    <row r="6776" spans="16:16" x14ac:dyDescent="0.25">
      <c r="P6776" s="4"/>
    </row>
    <row r="6777" spans="16:16" x14ac:dyDescent="0.25">
      <c r="P6777" s="4"/>
    </row>
    <row r="6778" spans="16:16" x14ac:dyDescent="0.25">
      <c r="P6778" s="4"/>
    </row>
    <row r="6779" spans="16:16" x14ac:dyDescent="0.25">
      <c r="P6779" s="4"/>
    </row>
    <row r="6780" spans="16:16" x14ac:dyDescent="0.25">
      <c r="P6780" s="4"/>
    </row>
    <row r="6781" spans="16:16" x14ac:dyDescent="0.25">
      <c r="P6781" s="4"/>
    </row>
    <row r="6782" spans="16:16" x14ac:dyDescent="0.25">
      <c r="P6782" s="4"/>
    </row>
    <row r="6783" spans="16:16" x14ac:dyDescent="0.25">
      <c r="P6783" s="4"/>
    </row>
    <row r="6784" spans="16:16" x14ac:dyDescent="0.25">
      <c r="P6784" s="4"/>
    </row>
    <row r="6785" spans="16:16" x14ac:dyDescent="0.25">
      <c r="P6785" s="4"/>
    </row>
    <row r="6786" spans="16:16" x14ac:dyDescent="0.25">
      <c r="P6786" s="4"/>
    </row>
    <row r="6787" spans="16:16" x14ac:dyDescent="0.25">
      <c r="P6787" s="4"/>
    </row>
    <row r="6788" spans="16:16" x14ac:dyDescent="0.25">
      <c r="P6788" s="4"/>
    </row>
    <row r="6789" spans="16:16" x14ac:dyDescent="0.25">
      <c r="P6789" s="4"/>
    </row>
    <row r="6790" spans="16:16" x14ac:dyDescent="0.25">
      <c r="P6790" s="4"/>
    </row>
    <row r="6791" spans="16:16" x14ac:dyDescent="0.25">
      <c r="P6791" s="4"/>
    </row>
    <row r="6792" spans="16:16" x14ac:dyDescent="0.25">
      <c r="P6792" s="4"/>
    </row>
    <row r="6793" spans="16:16" x14ac:dyDescent="0.25">
      <c r="P6793" s="4"/>
    </row>
    <row r="6794" spans="16:16" x14ac:dyDescent="0.25">
      <c r="P6794" s="4"/>
    </row>
    <row r="6795" spans="16:16" x14ac:dyDescent="0.25">
      <c r="P6795" s="4"/>
    </row>
    <row r="6796" spans="16:16" x14ac:dyDescent="0.25">
      <c r="P6796" s="4"/>
    </row>
    <row r="6797" spans="16:16" x14ac:dyDescent="0.25">
      <c r="P6797" s="4"/>
    </row>
    <row r="6798" spans="16:16" x14ac:dyDescent="0.25">
      <c r="P6798" s="4"/>
    </row>
    <row r="6799" spans="16:16" x14ac:dyDescent="0.25">
      <c r="P6799" s="4"/>
    </row>
    <row r="6800" spans="16:16" x14ac:dyDescent="0.25">
      <c r="P6800" s="4"/>
    </row>
    <row r="6801" spans="16:16" x14ac:dyDescent="0.25">
      <c r="P6801" s="4"/>
    </row>
    <row r="6802" spans="16:16" x14ac:dyDescent="0.25">
      <c r="P6802" s="4"/>
    </row>
    <row r="6803" spans="16:16" x14ac:dyDescent="0.25">
      <c r="P6803" s="4"/>
    </row>
    <row r="6804" spans="16:16" x14ac:dyDescent="0.25">
      <c r="P6804" s="4"/>
    </row>
    <row r="6805" spans="16:16" x14ac:dyDescent="0.25">
      <c r="P6805" s="4"/>
    </row>
    <row r="6806" spans="16:16" x14ac:dyDescent="0.25">
      <c r="P6806" s="4"/>
    </row>
    <row r="6807" spans="16:16" x14ac:dyDescent="0.25">
      <c r="P6807" s="4"/>
    </row>
    <row r="6808" spans="16:16" x14ac:dyDescent="0.25">
      <c r="P6808" s="4"/>
    </row>
    <row r="6809" spans="16:16" x14ac:dyDescent="0.25">
      <c r="P6809" s="4"/>
    </row>
    <row r="6810" spans="16:16" x14ac:dyDescent="0.25">
      <c r="P6810" s="4"/>
    </row>
    <row r="6811" spans="16:16" x14ac:dyDescent="0.25">
      <c r="P6811" s="4"/>
    </row>
    <row r="6812" spans="16:16" x14ac:dyDescent="0.25">
      <c r="P6812" s="4"/>
    </row>
    <row r="6813" spans="16:16" x14ac:dyDescent="0.25">
      <c r="P6813" s="4"/>
    </row>
    <row r="6814" spans="16:16" x14ac:dyDescent="0.25">
      <c r="P6814" s="4"/>
    </row>
    <row r="6815" spans="16:16" x14ac:dyDescent="0.25">
      <c r="P6815" s="4"/>
    </row>
    <row r="6816" spans="16:16" x14ac:dyDescent="0.25">
      <c r="P6816" s="4"/>
    </row>
    <row r="6817" spans="16:16" x14ac:dyDescent="0.25">
      <c r="P6817" s="4"/>
    </row>
    <row r="6818" spans="16:16" x14ac:dyDescent="0.25">
      <c r="P6818" s="4"/>
    </row>
    <row r="6819" spans="16:16" x14ac:dyDescent="0.25">
      <c r="P6819" s="4"/>
    </row>
    <row r="6820" spans="16:16" x14ac:dyDescent="0.25">
      <c r="P6820" s="4"/>
    </row>
    <row r="6821" spans="16:16" x14ac:dyDescent="0.25">
      <c r="P6821" s="4"/>
    </row>
    <row r="6822" spans="16:16" x14ac:dyDescent="0.25">
      <c r="P6822" s="4"/>
    </row>
    <row r="6823" spans="16:16" x14ac:dyDescent="0.25">
      <c r="P6823" s="4"/>
    </row>
    <row r="6824" spans="16:16" x14ac:dyDescent="0.25">
      <c r="P6824" s="4"/>
    </row>
    <row r="6825" spans="16:16" x14ac:dyDescent="0.25">
      <c r="P6825" s="4"/>
    </row>
    <row r="6826" spans="16:16" x14ac:dyDescent="0.25">
      <c r="P6826" s="4"/>
    </row>
    <row r="6827" spans="16:16" x14ac:dyDescent="0.25">
      <c r="P6827" s="4"/>
    </row>
    <row r="6828" spans="16:16" x14ac:dyDescent="0.25">
      <c r="P6828" s="4"/>
    </row>
    <row r="6829" spans="16:16" x14ac:dyDescent="0.25">
      <c r="P6829" s="4"/>
    </row>
    <row r="6830" spans="16:16" x14ac:dyDescent="0.25">
      <c r="P6830" s="4"/>
    </row>
    <row r="6831" spans="16:16" x14ac:dyDescent="0.25">
      <c r="P6831" s="4"/>
    </row>
    <row r="6832" spans="16:16" x14ac:dyDescent="0.25">
      <c r="P6832" s="4"/>
    </row>
    <row r="6833" spans="16:16" x14ac:dyDescent="0.25">
      <c r="P6833" s="4"/>
    </row>
    <row r="6834" spans="16:16" x14ac:dyDescent="0.25">
      <c r="P6834" s="4"/>
    </row>
    <row r="6835" spans="16:16" x14ac:dyDescent="0.25">
      <c r="P6835" s="4"/>
    </row>
    <row r="6836" spans="16:16" x14ac:dyDescent="0.25">
      <c r="P6836" s="4"/>
    </row>
    <row r="6837" spans="16:16" x14ac:dyDescent="0.25">
      <c r="P6837" s="4"/>
    </row>
    <row r="6838" spans="16:16" x14ac:dyDescent="0.25">
      <c r="P6838" s="4"/>
    </row>
    <row r="6839" spans="16:16" x14ac:dyDescent="0.25">
      <c r="P6839" s="4"/>
    </row>
    <row r="6840" spans="16:16" x14ac:dyDescent="0.25">
      <c r="P6840" s="4"/>
    </row>
    <row r="6841" spans="16:16" x14ac:dyDescent="0.25">
      <c r="P6841" s="4"/>
    </row>
    <row r="6842" spans="16:16" x14ac:dyDescent="0.25">
      <c r="P6842" s="4"/>
    </row>
    <row r="6843" spans="16:16" x14ac:dyDescent="0.25">
      <c r="P6843" s="4"/>
    </row>
    <row r="6844" spans="16:16" x14ac:dyDescent="0.25">
      <c r="P6844" s="4"/>
    </row>
    <row r="6845" spans="16:16" x14ac:dyDescent="0.25">
      <c r="P6845" s="4"/>
    </row>
    <row r="6846" spans="16:16" x14ac:dyDescent="0.25">
      <c r="P6846" s="4"/>
    </row>
    <row r="6847" spans="16:16" x14ac:dyDescent="0.25">
      <c r="P6847" s="4"/>
    </row>
    <row r="6848" spans="16:16" x14ac:dyDescent="0.25">
      <c r="P6848" s="4"/>
    </row>
    <row r="6849" spans="16:16" x14ac:dyDescent="0.25">
      <c r="P6849" s="4"/>
    </row>
    <row r="6850" spans="16:16" x14ac:dyDescent="0.25">
      <c r="P6850" s="4"/>
    </row>
    <row r="6851" spans="16:16" x14ac:dyDescent="0.25">
      <c r="P6851" s="4"/>
    </row>
    <row r="6852" spans="16:16" x14ac:dyDescent="0.25">
      <c r="P6852" s="4"/>
    </row>
    <row r="6853" spans="16:16" x14ac:dyDescent="0.25">
      <c r="P6853" s="4"/>
    </row>
    <row r="6854" spans="16:16" x14ac:dyDescent="0.25">
      <c r="P6854" s="4"/>
    </row>
    <row r="6855" spans="16:16" x14ac:dyDescent="0.25">
      <c r="P6855" s="4"/>
    </row>
    <row r="6856" spans="16:16" x14ac:dyDescent="0.25">
      <c r="P6856" s="4"/>
    </row>
    <row r="6857" spans="16:16" x14ac:dyDescent="0.25">
      <c r="P6857" s="4"/>
    </row>
    <row r="6858" spans="16:16" x14ac:dyDescent="0.25">
      <c r="P6858" s="4"/>
    </row>
    <row r="6859" spans="16:16" x14ac:dyDescent="0.25">
      <c r="P6859" s="4"/>
    </row>
    <row r="6860" spans="16:16" x14ac:dyDescent="0.25">
      <c r="P6860" s="4"/>
    </row>
    <row r="6861" spans="16:16" x14ac:dyDescent="0.25">
      <c r="P6861" s="4"/>
    </row>
    <row r="6862" spans="16:16" x14ac:dyDescent="0.25">
      <c r="P6862" s="4"/>
    </row>
    <row r="6863" spans="16:16" x14ac:dyDescent="0.25">
      <c r="P6863" s="4"/>
    </row>
    <row r="6864" spans="16:16" x14ac:dyDescent="0.25">
      <c r="P6864" s="4"/>
    </row>
    <row r="6865" spans="16:16" x14ac:dyDescent="0.25">
      <c r="P6865" s="4"/>
    </row>
    <row r="6866" spans="16:16" x14ac:dyDescent="0.25">
      <c r="P6866" s="4"/>
    </row>
    <row r="6867" spans="16:16" x14ac:dyDescent="0.25">
      <c r="P6867" s="4"/>
    </row>
    <row r="6868" spans="16:16" x14ac:dyDescent="0.25">
      <c r="P6868" s="4"/>
    </row>
    <row r="6869" spans="16:16" x14ac:dyDescent="0.25">
      <c r="P6869" s="4"/>
    </row>
    <row r="6870" spans="16:16" x14ac:dyDescent="0.25">
      <c r="P6870" s="4"/>
    </row>
    <row r="6871" spans="16:16" x14ac:dyDescent="0.25">
      <c r="P6871" s="4"/>
    </row>
    <row r="6872" spans="16:16" x14ac:dyDescent="0.25">
      <c r="P6872" s="4"/>
    </row>
    <row r="6873" spans="16:16" x14ac:dyDescent="0.25">
      <c r="P6873" s="4"/>
    </row>
    <row r="6874" spans="16:16" x14ac:dyDescent="0.25">
      <c r="P6874" s="4"/>
    </row>
    <row r="6875" spans="16:16" x14ac:dyDescent="0.25">
      <c r="P6875" s="4"/>
    </row>
    <row r="6876" spans="16:16" x14ac:dyDescent="0.25">
      <c r="P6876" s="4"/>
    </row>
    <row r="6877" spans="16:16" x14ac:dyDescent="0.25">
      <c r="P6877" s="4"/>
    </row>
    <row r="6878" spans="16:16" x14ac:dyDescent="0.25">
      <c r="P6878" s="4"/>
    </row>
    <row r="6879" spans="16:16" x14ac:dyDescent="0.25">
      <c r="P6879" s="4"/>
    </row>
    <row r="6880" spans="16:16" x14ac:dyDescent="0.25">
      <c r="P6880" s="4"/>
    </row>
    <row r="6881" spans="16:16" x14ac:dyDescent="0.25">
      <c r="P6881" s="4"/>
    </row>
    <row r="6882" spans="16:16" x14ac:dyDescent="0.25">
      <c r="P6882" s="4"/>
    </row>
    <row r="6883" spans="16:16" x14ac:dyDescent="0.25">
      <c r="P6883" s="4"/>
    </row>
    <row r="6884" spans="16:16" x14ac:dyDescent="0.25">
      <c r="P6884" s="4"/>
    </row>
    <row r="6885" spans="16:16" x14ac:dyDescent="0.25">
      <c r="P6885" s="4"/>
    </row>
    <row r="6886" spans="16:16" x14ac:dyDescent="0.25">
      <c r="P6886" s="4"/>
    </row>
    <row r="6887" spans="16:16" x14ac:dyDescent="0.25">
      <c r="P6887" s="4"/>
    </row>
    <row r="6888" spans="16:16" x14ac:dyDescent="0.25">
      <c r="P6888" s="4"/>
    </row>
    <row r="6889" spans="16:16" x14ac:dyDescent="0.25">
      <c r="P6889" s="4"/>
    </row>
    <row r="6890" spans="16:16" x14ac:dyDescent="0.25">
      <c r="P6890" s="4"/>
    </row>
    <row r="6891" spans="16:16" x14ac:dyDescent="0.25">
      <c r="P6891" s="4"/>
    </row>
    <row r="6892" spans="16:16" x14ac:dyDescent="0.25">
      <c r="P6892" s="4"/>
    </row>
    <row r="6893" spans="16:16" x14ac:dyDescent="0.25">
      <c r="P6893" s="4"/>
    </row>
    <row r="6894" spans="16:16" x14ac:dyDescent="0.25">
      <c r="P6894" s="4"/>
    </row>
    <row r="6895" spans="16:16" x14ac:dyDescent="0.25">
      <c r="P6895" s="4"/>
    </row>
    <row r="6896" spans="16:16" x14ac:dyDescent="0.25">
      <c r="P6896" s="4"/>
    </row>
    <row r="6897" spans="16:16" x14ac:dyDescent="0.25">
      <c r="P6897" s="4"/>
    </row>
    <row r="6898" spans="16:16" x14ac:dyDescent="0.25">
      <c r="P6898" s="4"/>
    </row>
    <row r="6899" spans="16:16" x14ac:dyDescent="0.25">
      <c r="P6899" s="4"/>
    </row>
    <row r="6900" spans="16:16" x14ac:dyDescent="0.25">
      <c r="P6900" s="4"/>
    </row>
    <row r="6901" spans="16:16" x14ac:dyDescent="0.25">
      <c r="P6901" s="4"/>
    </row>
    <row r="6902" spans="16:16" x14ac:dyDescent="0.25">
      <c r="P6902" s="4"/>
    </row>
    <row r="6903" spans="16:16" x14ac:dyDescent="0.25">
      <c r="P6903" s="4"/>
    </row>
    <row r="6904" spans="16:16" x14ac:dyDescent="0.25">
      <c r="P6904" s="4"/>
    </row>
    <row r="6905" spans="16:16" x14ac:dyDescent="0.25">
      <c r="P6905" s="4"/>
    </row>
    <row r="6906" spans="16:16" x14ac:dyDescent="0.25">
      <c r="P6906" s="4"/>
    </row>
    <row r="6907" spans="16:16" x14ac:dyDescent="0.25">
      <c r="P6907" s="4"/>
    </row>
    <row r="6908" spans="16:16" x14ac:dyDescent="0.25">
      <c r="P6908" s="4"/>
    </row>
    <row r="6909" spans="16:16" x14ac:dyDescent="0.25">
      <c r="P6909" s="4"/>
    </row>
    <row r="6910" spans="16:16" x14ac:dyDescent="0.25">
      <c r="P6910" s="4"/>
    </row>
    <row r="6911" spans="16:16" x14ac:dyDescent="0.25">
      <c r="P6911" s="4"/>
    </row>
    <row r="6912" spans="16:16" x14ac:dyDescent="0.25">
      <c r="P6912" s="4"/>
    </row>
    <row r="6913" spans="16:16" x14ac:dyDescent="0.25">
      <c r="P6913" s="4"/>
    </row>
    <row r="6914" spans="16:16" x14ac:dyDescent="0.25">
      <c r="P6914" s="4"/>
    </row>
    <row r="6915" spans="16:16" x14ac:dyDescent="0.25">
      <c r="P6915" s="4"/>
    </row>
    <row r="6916" spans="16:16" x14ac:dyDescent="0.25">
      <c r="P6916" s="4"/>
    </row>
    <row r="6917" spans="16:16" x14ac:dyDescent="0.25">
      <c r="P6917" s="4"/>
    </row>
    <row r="6918" spans="16:16" x14ac:dyDescent="0.25">
      <c r="P6918" s="4"/>
    </row>
    <row r="6919" spans="16:16" x14ac:dyDescent="0.25">
      <c r="P6919" s="4"/>
    </row>
    <row r="6920" spans="16:16" x14ac:dyDescent="0.25">
      <c r="P6920" s="4"/>
    </row>
    <row r="6921" spans="16:16" x14ac:dyDescent="0.25">
      <c r="P6921" s="4"/>
    </row>
    <row r="6922" spans="16:16" x14ac:dyDescent="0.25">
      <c r="P6922" s="4"/>
    </row>
    <row r="6923" spans="16:16" x14ac:dyDescent="0.25">
      <c r="P6923" s="4"/>
    </row>
    <row r="6924" spans="16:16" x14ac:dyDescent="0.25">
      <c r="P6924" s="4"/>
    </row>
    <row r="6925" spans="16:16" x14ac:dyDescent="0.25">
      <c r="P6925" s="4"/>
    </row>
    <row r="6926" spans="16:16" x14ac:dyDescent="0.25">
      <c r="P6926" s="4"/>
    </row>
    <row r="6927" spans="16:16" x14ac:dyDescent="0.25">
      <c r="P6927" s="4"/>
    </row>
    <row r="6928" spans="16:16" x14ac:dyDescent="0.25">
      <c r="P6928" s="4"/>
    </row>
    <row r="6929" spans="16:16" x14ac:dyDescent="0.25">
      <c r="P6929" s="4"/>
    </row>
    <row r="6930" spans="16:16" x14ac:dyDescent="0.25">
      <c r="P6930" s="4"/>
    </row>
    <row r="6931" spans="16:16" x14ac:dyDescent="0.25">
      <c r="P6931" s="4"/>
    </row>
    <row r="6932" spans="16:16" x14ac:dyDescent="0.25">
      <c r="P6932" s="4"/>
    </row>
    <row r="6933" spans="16:16" x14ac:dyDescent="0.25">
      <c r="P6933" s="4"/>
    </row>
    <row r="6934" spans="16:16" x14ac:dyDescent="0.25">
      <c r="P6934" s="4"/>
    </row>
    <row r="6935" spans="16:16" x14ac:dyDescent="0.25">
      <c r="P6935" s="4"/>
    </row>
    <row r="6936" spans="16:16" x14ac:dyDescent="0.25">
      <c r="P6936" s="4"/>
    </row>
    <row r="6937" spans="16:16" x14ac:dyDescent="0.25">
      <c r="P6937" s="4"/>
    </row>
    <row r="6938" spans="16:16" x14ac:dyDescent="0.25">
      <c r="P6938" s="4"/>
    </row>
    <row r="6939" spans="16:16" x14ac:dyDescent="0.25">
      <c r="P6939" s="4"/>
    </row>
    <row r="6940" spans="16:16" x14ac:dyDescent="0.25">
      <c r="P6940" s="4"/>
    </row>
    <row r="6941" spans="16:16" x14ac:dyDescent="0.25">
      <c r="P6941" s="4"/>
    </row>
    <row r="6942" spans="16:16" x14ac:dyDescent="0.25">
      <c r="P6942" s="4"/>
    </row>
    <row r="6943" spans="16:16" x14ac:dyDescent="0.25">
      <c r="P6943" s="4"/>
    </row>
    <row r="6944" spans="16:16" x14ac:dyDescent="0.25">
      <c r="P6944" s="4"/>
    </row>
    <row r="6945" spans="16:16" x14ac:dyDescent="0.25">
      <c r="P6945" s="4"/>
    </row>
    <row r="6946" spans="16:16" x14ac:dyDescent="0.25">
      <c r="P6946" s="4"/>
    </row>
    <row r="6947" spans="16:16" x14ac:dyDescent="0.25">
      <c r="P6947" s="4"/>
    </row>
    <row r="6948" spans="16:16" x14ac:dyDescent="0.25">
      <c r="P6948" s="4"/>
    </row>
    <row r="6949" spans="16:16" x14ac:dyDescent="0.25">
      <c r="P6949" s="4"/>
    </row>
    <row r="6950" spans="16:16" x14ac:dyDescent="0.25">
      <c r="P6950" s="4"/>
    </row>
    <row r="6951" spans="16:16" x14ac:dyDescent="0.25">
      <c r="P6951" s="4"/>
    </row>
    <row r="6952" spans="16:16" x14ac:dyDescent="0.25">
      <c r="P6952" s="4"/>
    </row>
    <row r="6953" spans="16:16" x14ac:dyDescent="0.25">
      <c r="P6953" s="4"/>
    </row>
    <row r="6954" spans="16:16" x14ac:dyDescent="0.25">
      <c r="P6954" s="4"/>
    </row>
    <row r="6955" spans="16:16" x14ac:dyDescent="0.25">
      <c r="P6955" s="4"/>
    </row>
    <row r="6956" spans="16:16" x14ac:dyDescent="0.25">
      <c r="P6956" s="4"/>
    </row>
    <row r="6957" spans="16:16" x14ac:dyDescent="0.25">
      <c r="P6957" s="4"/>
    </row>
    <row r="6958" spans="16:16" x14ac:dyDescent="0.25">
      <c r="P6958" s="4"/>
    </row>
    <row r="6959" spans="16:16" x14ac:dyDescent="0.25">
      <c r="P6959" s="4"/>
    </row>
    <row r="6960" spans="16:16" x14ac:dyDescent="0.25">
      <c r="P6960" s="4"/>
    </row>
    <row r="6961" spans="16:16" x14ac:dyDescent="0.25">
      <c r="P6961" s="4"/>
    </row>
    <row r="6962" spans="16:16" x14ac:dyDescent="0.25">
      <c r="P6962" s="4"/>
    </row>
    <row r="6963" spans="16:16" x14ac:dyDescent="0.25">
      <c r="P6963" s="4"/>
    </row>
    <row r="6964" spans="16:16" x14ac:dyDescent="0.25">
      <c r="P6964" s="4"/>
    </row>
    <row r="6965" spans="16:16" x14ac:dyDescent="0.25">
      <c r="P6965" s="4"/>
    </row>
    <row r="6966" spans="16:16" x14ac:dyDescent="0.25">
      <c r="P6966" s="4"/>
    </row>
    <row r="6967" spans="16:16" x14ac:dyDescent="0.25">
      <c r="P6967" s="4"/>
    </row>
    <row r="6968" spans="16:16" x14ac:dyDescent="0.25">
      <c r="P6968" s="4"/>
    </row>
    <row r="6969" spans="16:16" x14ac:dyDescent="0.25">
      <c r="P6969" s="4"/>
    </row>
    <row r="6970" spans="16:16" x14ac:dyDescent="0.25">
      <c r="P6970" s="4"/>
    </row>
    <row r="6971" spans="16:16" x14ac:dyDescent="0.25">
      <c r="P6971" s="4"/>
    </row>
    <row r="6972" spans="16:16" x14ac:dyDescent="0.25">
      <c r="P6972" s="4"/>
    </row>
    <row r="6973" spans="16:16" x14ac:dyDescent="0.25">
      <c r="P6973" s="4"/>
    </row>
    <row r="6974" spans="16:16" x14ac:dyDescent="0.25">
      <c r="P6974" s="4"/>
    </row>
    <row r="6975" spans="16:16" x14ac:dyDescent="0.25">
      <c r="P6975" s="4"/>
    </row>
    <row r="6976" spans="16:16" x14ac:dyDescent="0.25">
      <c r="P6976" s="4"/>
    </row>
    <row r="6977" spans="16:16" x14ac:dyDescent="0.25">
      <c r="P6977" s="4"/>
    </row>
    <row r="6978" spans="16:16" x14ac:dyDescent="0.25">
      <c r="P6978" s="4"/>
    </row>
    <row r="6979" spans="16:16" x14ac:dyDescent="0.25">
      <c r="P6979" s="4"/>
    </row>
    <row r="6980" spans="16:16" x14ac:dyDescent="0.25">
      <c r="P6980" s="4"/>
    </row>
    <row r="6981" spans="16:16" x14ac:dyDescent="0.25">
      <c r="P6981" s="4"/>
    </row>
    <row r="6982" spans="16:16" x14ac:dyDescent="0.25">
      <c r="P6982" s="4"/>
    </row>
    <row r="6983" spans="16:16" x14ac:dyDescent="0.25">
      <c r="P6983" s="4"/>
    </row>
    <row r="6984" spans="16:16" x14ac:dyDescent="0.25">
      <c r="P6984" s="4"/>
    </row>
    <row r="6985" spans="16:16" x14ac:dyDescent="0.25">
      <c r="P6985" s="4"/>
    </row>
    <row r="6986" spans="16:16" x14ac:dyDescent="0.25">
      <c r="P6986" s="4"/>
    </row>
    <row r="6987" spans="16:16" x14ac:dyDescent="0.25">
      <c r="P6987" s="4"/>
    </row>
    <row r="6988" spans="16:16" x14ac:dyDescent="0.25">
      <c r="P6988" s="4"/>
    </row>
    <row r="6989" spans="16:16" x14ac:dyDescent="0.25">
      <c r="P6989" s="4"/>
    </row>
    <row r="6990" spans="16:16" x14ac:dyDescent="0.25">
      <c r="P6990" s="4"/>
    </row>
    <row r="6991" spans="16:16" x14ac:dyDescent="0.25">
      <c r="P6991" s="4"/>
    </row>
    <row r="6992" spans="16:16" x14ac:dyDescent="0.25">
      <c r="P6992" s="4"/>
    </row>
    <row r="6993" spans="16:16" x14ac:dyDescent="0.25">
      <c r="P6993" s="4"/>
    </row>
    <row r="6994" spans="16:16" x14ac:dyDescent="0.25">
      <c r="P6994" s="4"/>
    </row>
    <row r="6995" spans="16:16" x14ac:dyDescent="0.25">
      <c r="P6995" s="4"/>
    </row>
    <row r="6996" spans="16:16" x14ac:dyDescent="0.25">
      <c r="P6996" s="4"/>
    </row>
    <row r="6997" spans="16:16" x14ac:dyDescent="0.25">
      <c r="P6997" s="4"/>
    </row>
    <row r="6998" spans="16:16" x14ac:dyDescent="0.25">
      <c r="P6998" s="4"/>
    </row>
    <row r="6999" spans="16:16" x14ac:dyDescent="0.25">
      <c r="P6999" s="4"/>
    </row>
    <row r="7000" spans="16:16" x14ac:dyDescent="0.25">
      <c r="P7000" s="4"/>
    </row>
    <row r="7001" spans="16:16" x14ac:dyDescent="0.25">
      <c r="P7001" s="4"/>
    </row>
    <row r="7002" spans="16:16" x14ac:dyDescent="0.25">
      <c r="P7002" s="4"/>
    </row>
    <row r="7003" spans="16:16" x14ac:dyDescent="0.25">
      <c r="P7003" s="4"/>
    </row>
    <row r="7004" spans="16:16" x14ac:dyDescent="0.25">
      <c r="P7004" s="4"/>
    </row>
    <row r="7005" spans="16:16" x14ac:dyDescent="0.25">
      <c r="P7005" s="4"/>
    </row>
    <row r="7006" spans="16:16" x14ac:dyDescent="0.25">
      <c r="P7006" s="4"/>
    </row>
    <row r="7007" spans="16:16" x14ac:dyDescent="0.25">
      <c r="P7007" s="4"/>
    </row>
    <row r="7008" spans="16:16" x14ac:dyDescent="0.25">
      <c r="P7008" s="4"/>
    </row>
    <row r="7009" spans="16:16" x14ac:dyDescent="0.25">
      <c r="P7009" s="4"/>
    </row>
    <row r="7010" spans="16:16" x14ac:dyDescent="0.25">
      <c r="P7010" s="4"/>
    </row>
    <row r="7011" spans="16:16" x14ac:dyDescent="0.25">
      <c r="P7011" s="4"/>
    </row>
    <row r="7012" spans="16:16" x14ac:dyDescent="0.25">
      <c r="P7012" s="4"/>
    </row>
    <row r="7013" spans="16:16" x14ac:dyDescent="0.25">
      <c r="P7013" s="4"/>
    </row>
    <row r="7014" spans="16:16" x14ac:dyDescent="0.25">
      <c r="P7014" s="4"/>
    </row>
    <row r="7015" spans="16:16" x14ac:dyDescent="0.25">
      <c r="P7015" s="4"/>
    </row>
    <row r="7016" spans="16:16" x14ac:dyDescent="0.25">
      <c r="P7016" s="4"/>
    </row>
    <row r="7017" spans="16:16" x14ac:dyDescent="0.25">
      <c r="P7017" s="4"/>
    </row>
    <row r="7018" spans="16:16" x14ac:dyDescent="0.25">
      <c r="P7018" s="4"/>
    </row>
    <row r="7019" spans="16:16" x14ac:dyDescent="0.25">
      <c r="P7019" s="4"/>
    </row>
    <row r="7020" spans="16:16" x14ac:dyDescent="0.25">
      <c r="P7020" s="4"/>
    </row>
    <row r="7021" spans="16:16" x14ac:dyDescent="0.25">
      <c r="P7021" s="4"/>
    </row>
    <row r="7022" spans="16:16" x14ac:dyDescent="0.25">
      <c r="P7022" s="4"/>
    </row>
    <row r="7023" spans="16:16" x14ac:dyDescent="0.25">
      <c r="P7023" s="4"/>
    </row>
    <row r="7024" spans="16:16" x14ac:dyDescent="0.25">
      <c r="P7024" s="4"/>
    </row>
    <row r="7025" spans="16:16" x14ac:dyDescent="0.25">
      <c r="P7025" s="4"/>
    </row>
    <row r="7026" spans="16:16" x14ac:dyDescent="0.25">
      <c r="P7026" s="4"/>
    </row>
    <row r="7027" spans="16:16" x14ac:dyDescent="0.25">
      <c r="P7027" s="4"/>
    </row>
    <row r="7028" spans="16:16" x14ac:dyDescent="0.25">
      <c r="P7028" s="4"/>
    </row>
    <row r="7029" spans="16:16" x14ac:dyDescent="0.25">
      <c r="P7029" s="4"/>
    </row>
    <row r="7030" spans="16:16" x14ac:dyDescent="0.25">
      <c r="P7030" s="4"/>
    </row>
    <row r="7031" spans="16:16" x14ac:dyDescent="0.25">
      <c r="P7031" s="4"/>
    </row>
    <row r="7032" spans="16:16" x14ac:dyDescent="0.25">
      <c r="P7032" s="4"/>
    </row>
    <row r="7033" spans="16:16" x14ac:dyDescent="0.25">
      <c r="P7033" s="4"/>
    </row>
    <row r="7034" spans="16:16" x14ac:dyDescent="0.25">
      <c r="P7034" s="4"/>
    </row>
    <row r="7035" spans="16:16" x14ac:dyDescent="0.25">
      <c r="P7035" s="4"/>
    </row>
    <row r="7036" spans="16:16" x14ac:dyDescent="0.25">
      <c r="P7036" s="4"/>
    </row>
    <row r="7037" spans="16:16" x14ac:dyDescent="0.25">
      <c r="P7037" s="4"/>
    </row>
    <row r="7038" spans="16:16" x14ac:dyDescent="0.25">
      <c r="P7038" s="4"/>
    </row>
    <row r="7039" spans="16:16" x14ac:dyDescent="0.25">
      <c r="P7039" s="4"/>
    </row>
    <row r="7040" spans="16:16" x14ac:dyDescent="0.25">
      <c r="P7040" s="4"/>
    </row>
    <row r="7041" spans="16:16" x14ac:dyDescent="0.25">
      <c r="P7041" s="4"/>
    </row>
    <row r="7042" spans="16:16" x14ac:dyDescent="0.25">
      <c r="P7042" s="4"/>
    </row>
    <row r="7043" spans="16:16" x14ac:dyDescent="0.25">
      <c r="P7043" s="4"/>
    </row>
    <row r="7044" spans="16:16" x14ac:dyDescent="0.25">
      <c r="P7044" s="4"/>
    </row>
    <row r="7045" spans="16:16" x14ac:dyDescent="0.25">
      <c r="P7045" s="4"/>
    </row>
    <row r="7046" spans="16:16" x14ac:dyDescent="0.25">
      <c r="P7046" s="4"/>
    </row>
    <row r="7047" spans="16:16" x14ac:dyDescent="0.25">
      <c r="P7047" s="4"/>
    </row>
    <row r="7048" spans="16:16" x14ac:dyDescent="0.25">
      <c r="P7048" s="4"/>
    </row>
    <row r="7049" spans="16:16" x14ac:dyDescent="0.25">
      <c r="P7049" s="4"/>
    </row>
    <row r="7050" spans="16:16" x14ac:dyDescent="0.25">
      <c r="P7050" s="4"/>
    </row>
    <row r="7051" spans="16:16" x14ac:dyDescent="0.25">
      <c r="P7051" s="4"/>
    </row>
    <row r="7052" spans="16:16" x14ac:dyDescent="0.25">
      <c r="P7052" s="4"/>
    </row>
    <row r="7053" spans="16:16" x14ac:dyDescent="0.25">
      <c r="P7053" s="4"/>
    </row>
    <row r="7054" spans="16:16" x14ac:dyDescent="0.25">
      <c r="P7054" s="4"/>
    </row>
    <row r="7055" spans="16:16" x14ac:dyDescent="0.25">
      <c r="P7055" s="4"/>
    </row>
    <row r="7056" spans="16:16" x14ac:dyDescent="0.25">
      <c r="P7056" s="4"/>
    </row>
    <row r="7057" spans="16:16" x14ac:dyDescent="0.25">
      <c r="P7057" s="4"/>
    </row>
    <row r="7058" spans="16:16" x14ac:dyDescent="0.25">
      <c r="P7058" s="4"/>
    </row>
    <row r="7059" spans="16:16" x14ac:dyDescent="0.25">
      <c r="P7059" s="4"/>
    </row>
    <row r="7060" spans="16:16" x14ac:dyDescent="0.25">
      <c r="P7060" s="4"/>
    </row>
    <row r="7061" spans="16:16" x14ac:dyDescent="0.25">
      <c r="P7061" s="4"/>
    </row>
    <row r="7062" spans="16:16" x14ac:dyDescent="0.25">
      <c r="P7062" s="4"/>
    </row>
    <row r="7063" spans="16:16" x14ac:dyDescent="0.25">
      <c r="P7063" s="4"/>
    </row>
    <row r="7064" spans="16:16" x14ac:dyDescent="0.25">
      <c r="P7064" s="4"/>
    </row>
    <row r="7065" spans="16:16" x14ac:dyDescent="0.25">
      <c r="P7065" s="4"/>
    </row>
    <row r="7066" spans="16:16" x14ac:dyDescent="0.25">
      <c r="P7066" s="4"/>
    </row>
    <row r="7067" spans="16:16" x14ac:dyDescent="0.25">
      <c r="P7067" s="4"/>
    </row>
    <row r="7068" spans="16:16" x14ac:dyDescent="0.25">
      <c r="P7068" s="4"/>
    </row>
    <row r="7069" spans="16:16" x14ac:dyDescent="0.25">
      <c r="P7069" s="4"/>
    </row>
    <row r="7070" spans="16:16" x14ac:dyDescent="0.25">
      <c r="P7070" s="4"/>
    </row>
    <row r="7071" spans="16:16" x14ac:dyDescent="0.25">
      <c r="P7071" s="4"/>
    </row>
    <row r="7072" spans="16:16" x14ac:dyDescent="0.25">
      <c r="P7072" s="4"/>
    </row>
    <row r="7073" spans="16:16" x14ac:dyDescent="0.25">
      <c r="P7073" s="4"/>
    </row>
    <row r="7074" spans="16:16" x14ac:dyDescent="0.25">
      <c r="P7074" s="4"/>
    </row>
    <row r="7075" spans="16:16" x14ac:dyDescent="0.25">
      <c r="P7075" s="4"/>
    </row>
    <row r="7076" spans="16:16" x14ac:dyDescent="0.25">
      <c r="P7076" s="4"/>
    </row>
    <row r="7077" spans="16:16" x14ac:dyDescent="0.25">
      <c r="P7077" s="4"/>
    </row>
    <row r="7078" spans="16:16" x14ac:dyDescent="0.25">
      <c r="P7078" s="4"/>
    </row>
    <row r="7079" spans="16:16" x14ac:dyDescent="0.25">
      <c r="P7079" s="4"/>
    </row>
    <row r="7080" spans="16:16" x14ac:dyDescent="0.25">
      <c r="P7080" s="4"/>
    </row>
    <row r="7081" spans="16:16" x14ac:dyDescent="0.25">
      <c r="P7081" s="4"/>
    </row>
    <row r="7082" spans="16:16" x14ac:dyDescent="0.25">
      <c r="P7082" s="4"/>
    </row>
    <row r="7083" spans="16:16" x14ac:dyDescent="0.25">
      <c r="P7083" s="4"/>
    </row>
    <row r="7084" spans="16:16" x14ac:dyDescent="0.25">
      <c r="P7084" s="4"/>
    </row>
    <row r="7085" spans="16:16" x14ac:dyDescent="0.25">
      <c r="P7085" s="4"/>
    </row>
    <row r="7086" spans="16:16" x14ac:dyDescent="0.25">
      <c r="P7086" s="4"/>
    </row>
    <row r="7087" spans="16:16" x14ac:dyDescent="0.25">
      <c r="P7087" s="4"/>
    </row>
    <row r="7088" spans="16:16" x14ac:dyDescent="0.25">
      <c r="P7088" s="4"/>
    </row>
    <row r="7089" spans="16:16" x14ac:dyDescent="0.25">
      <c r="P7089" s="4"/>
    </row>
    <row r="7090" spans="16:16" x14ac:dyDescent="0.25">
      <c r="P7090" s="4"/>
    </row>
    <row r="7091" spans="16:16" x14ac:dyDescent="0.25">
      <c r="P7091" s="4"/>
    </row>
    <row r="7092" spans="16:16" x14ac:dyDescent="0.25">
      <c r="P7092" s="4"/>
    </row>
    <row r="7093" spans="16:16" x14ac:dyDescent="0.25">
      <c r="P7093" s="4"/>
    </row>
    <row r="7094" spans="16:16" x14ac:dyDescent="0.25">
      <c r="P7094" s="4"/>
    </row>
    <row r="7095" spans="16:16" x14ac:dyDescent="0.25">
      <c r="P7095" s="4"/>
    </row>
    <row r="7096" spans="16:16" x14ac:dyDescent="0.25">
      <c r="P7096" s="4"/>
    </row>
    <row r="7097" spans="16:16" x14ac:dyDescent="0.25">
      <c r="P7097" s="4"/>
    </row>
    <row r="7098" spans="16:16" x14ac:dyDescent="0.25">
      <c r="P7098" s="4"/>
    </row>
    <row r="7099" spans="16:16" x14ac:dyDescent="0.25">
      <c r="P7099" s="4"/>
    </row>
    <row r="7100" spans="16:16" x14ac:dyDescent="0.25">
      <c r="P7100" s="4"/>
    </row>
    <row r="7101" spans="16:16" x14ac:dyDescent="0.25">
      <c r="P7101" s="4"/>
    </row>
    <row r="7102" spans="16:16" x14ac:dyDescent="0.25">
      <c r="P7102" s="4"/>
    </row>
    <row r="7103" spans="16:16" x14ac:dyDescent="0.25">
      <c r="P7103" s="4"/>
    </row>
    <row r="7104" spans="16:16" x14ac:dyDescent="0.25">
      <c r="P7104" s="4"/>
    </row>
    <row r="7105" spans="16:16" x14ac:dyDescent="0.25">
      <c r="P7105" s="4"/>
    </row>
    <row r="7106" spans="16:16" x14ac:dyDescent="0.25">
      <c r="P7106" s="4"/>
    </row>
    <row r="7107" spans="16:16" x14ac:dyDescent="0.25">
      <c r="P7107" s="4"/>
    </row>
    <row r="7108" spans="16:16" x14ac:dyDescent="0.25">
      <c r="P7108" s="4"/>
    </row>
    <row r="7109" spans="16:16" x14ac:dyDescent="0.25">
      <c r="P7109" s="4"/>
    </row>
    <row r="7110" spans="16:16" x14ac:dyDescent="0.25">
      <c r="P7110" s="4"/>
    </row>
    <row r="7111" spans="16:16" x14ac:dyDescent="0.25">
      <c r="P7111" s="4"/>
    </row>
    <row r="7112" spans="16:16" x14ac:dyDescent="0.25">
      <c r="P7112" s="4"/>
    </row>
    <row r="7113" spans="16:16" x14ac:dyDescent="0.25">
      <c r="P7113" s="4"/>
    </row>
    <row r="7114" spans="16:16" x14ac:dyDescent="0.25">
      <c r="P7114" s="4"/>
    </row>
    <row r="7115" spans="16:16" x14ac:dyDescent="0.25">
      <c r="P7115" s="4"/>
    </row>
    <row r="7116" spans="16:16" x14ac:dyDescent="0.25">
      <c r="P7116" s="4"/>
    </row>
    <row r="7117" spans="16:16" x14ac:dyDescent="0.25">
      <c r="P7117" s="4"/>
    </row>
    <row r="7118" spans="16:16" x14ac:dyDescent="0.25">
      <c r="P7118" s="4"/>
    </row>
    <row r="7119" spans="16:16" x14ac:dyDescent="0.25">
      <c r="P7119" s="4"/>
    </row>
    <row r="7120" spans="16:16" x14ac:dyDescent="0.25">
      <c r="P7120" s="4"/>
    </row>
    <row r="7121" spans="16:16" x14ac:dyDescent="0.25">
      <c r="P7121" s="4"/>
    </row>
    <row r="7122" spans="16:16" x14ac:dyDescent="0.25">
      <c r="P7122" s="4"/>
    </row>
    <row r="7123" spans="16:16" x14ac:dyDescent="0.25">
      <c r="P7123" s="4"/>
    </row>
    <row r="7124" spans="16:16" x14ac:dyDescent="0.25">
      <c r="P7124" s="4"/>
    </row>
    <row r="7125" spans="16:16" x14ac:dyDescent="0.25">
      <c r="P7125" s="4"/>
    </row>
    <row r="7126" spans="16:16" x14ac:dyDescent="0.25">
      <c r="P7126" s="4"/>
    </row>
    <row r="7127" spans="16:16" x14ac:dyDescent="0.25">
      <c r="P7127" s="4"/>
    </row>
    <row r="7128" spans="16:16" x14ac:dyDescent="0.25">
      <c r="P7128" s="4"/>
    </row>
    <row r="7129" spans="16:16" x14ac:dyDescent="0.25">
      <c r="P7129" s="4"/>
    </row>
    <row r="7130" spans="16:16" x14ac:dyDescent="0.25">
      <c r="P7130" s="4"/>
    </row>
    <row r="7131" spans="16:16" x14ac:dyDescent="0.25">
      <c r="P7131" s="4"/>
    </row>
    <row r="7132" spans="16:16" x14ac:dyDescent="0.25">
      <c r="P7132" s="4"/>
    </row>
    <row r="7133" spans="16:16" x14ac:dyDescent="0.25">
      <c r="P7133" s="4"/>
    </row>
    <row r="7134" spans="16:16" x14ac:dyDescent="0.25">
      <c r="P7134" s="4"/>
    </row>
    <row r="7135" spans="16:16" x14ac:dyDescent="0.25">
      <c r="P7135" s="4"/>
    </row>
    <row r="7136" spans="16:16" x14ac:dyDescent="0.25">
      <c r="P7136" s="4"/>
    </row>
    <row r="7137" spans="16:16" x14ac:dyDescent="0.25">
      <c r="P7137" s="4"/>
    </row>
    <row r="7138" spans="16:16" x14ac:dyDescent="0.25">
      <c r="P7138" s="4"/>
    </row>
    <row r="7139" spans="16:16" x14ac:dyDescent="0.25">
      <c r="P7139" s="4"/>
    </row>
    <row r="7140" spans="16:16" x14ac:dyDescent="0.25">
      <c r="P7140" s="4"/>
    </row>
    <row r="7141" spans="16:16" x14ac:dyDescent="0.25">
      <c r="P7141" s="4"/>
    </row>
    <row r="7142" spans="16:16" x14ac:dyDescent="0.25">
      <c r="P7142" s="4"/>
    </row>
    <row r="7143" spans="16:16" x14ac:dyDescent="0.25">
      <c r="P7143" s="4"/>
    </row>
    <row r="7144" spans="16:16" x14ac:dyDescent="0.25">
      <c r="P7144" s="4"/>
    </row>
    <row r="7145" spans="16:16" x14ac:dyDescent="0.25">
      <c r="P7145" s="4"/>
    </row>
    <row r="7146" spans="16:16" x14ac:dyDescent="0.25">
      <c r="P7146" s="4"/>
    </row>
    <row r="7147" spans="16:16" x14ac:dyDescent="0.25">
      <c r="P7147" s="4"/>
    </row>
    <row r="7148" spans="16:16" x14ac:dyDescent="0.25">
      <c r="P7148" s="4"/>
    </row>
    <row r="7149" spans="16:16" x14ac:dyDescent="0.25">
      <c r="P7149" s="4"/>
    </row>
    <row r="7150" spans="16:16" x14ac:dyDescent="0.25">
      <c r="P7150" s="4"/>
    </row>
    <row r="7151" spans="16:16" x14ac:dyDescent="0.25">
      <c r="P7151" s="4"/>
    </row>
    <row r="7152" spans="16:16" x14ac:dyDescent="0.25">
      <c r="P7152" s="4"/>
    </row>
    <row r="7153" spans="16:16" x14ac:dyDescent="0.25">
      <c r="P7153" s="4"/>
    </row>
    <row r="7154" spans="16:16" x14ac:dyDescent="0.25">
      <c r="P7154" s="4"/>
    </row>
    <row r="7155" spans="16:16" x14ac:dyDescent="0.25">
      <c r="P7155" s="4"/>
    </row>
    <row r="7156" spans="16:16" x14ac:dyDescent="0.25">
      <c r="P7156" s="4"/>
    </row>
    <row r="7157" spans="16:16" x14ac:dyDescent="0.25">
      <c r="P7157" s="4"/>
    </row>
    <row r="7158" spans="16:16" x14ac:dyDescent="0.25">
      <c r="P7158" s="4"/>
    </row>
    <row r="7159" spans="16:16" x14ac:dyDescent="0.25">
      <c r="P7159" s="4"/>
    </row>
    <row r="7160" spans="16:16" x14ac:dyDescent="0.25">
      <c r="P7160" s="4"/>
    </row>
    <row r="7161" spans="16:16" x14ac:dyDescent="0.25">
      <c r="P7161" s="4"/>
    </row>
    <row r="7162" spans="16:16" x14ac:dyDescent="0.25">
      <c r="P7162" s="4"/>
    </row>
    <row r="7163" spans="16:16" x14ac:dyDescent="0.25">
      <c r="P7163" s="4"/>
    </row>
    <row r="7164" spans="16:16" x14ac:dyDescent="0.25">
      <c r="P7164" s="4"/>
    </row>
    <row r="7165" spans="16:16" x14ac:dyDescent="0.25">
      <c r="P7165" s="4"/>
    </row>
    <row r="7166" spans="16:16" x14ac:dyDescent="0.25">
      <c r="P7166" s="4"/>
    </row>
    <row r="7167" spans="16:16" x14ac:dyDescent="0.25">
      <c r="P7167" s="4"/>
    </row>
    <row r="7168" spans="16:16" x14ac:dyDescent="0.25">
      <c r="P7168" s="4"/>
    </row>
    <row r="7169" spans="16:16" x14ac:dyDescent="0.25">
      <c r="P7169" s="4"/>
    </row>
    <row r="7170" spans="16:16" x14ac:dyDescent="0.25">
      <c r="P7170" s="4"/>
    </row>
    <row r="7171" spans="16:16" x14ac:dyDescent="0.25">
      <c r="P7171" s="4"/>
    </row>
    <row r="7172" spans="16:16" x14ac:dyDescent="0.25">
      <c r="P7172" s="4"/>
    </row>
    <row r="7173" spans="16:16" x14ac:dyDescent="0.25">
      <c r="P7173" s="4"/>
    </row>
    <row r="7174" spans="16:16" x14ac:dyDescent="0.25">
      <c r="P7174" s="4"/>
    </row>
    <row r="7175" spans="16:16" x14ac:dyDescent="0.25">
      <c r="P7175" s="4"/>
    </row>
    <row r="7176" spans="16:16" x14ac:dyDescent="0.25">
      <c r="P7176" s="4"/>
    </row>
    <row r="7177" spans="16:16" x14ac:dyDescent="0.25">
      <c r="P7177" s="4"/>
    </row>
    <row r="7178" spans="16:16" x14ac:dyDescent="0.25">
      <c r="P7178" s="4"/>
    </row>
    <row r="7179" spans="16:16" x14ac:dyDescent="0.25">
      <c r="P7179" s="4"/>
    </row>
    <row r="7180" spans="16:16" x14ac:dyDescent="0.25">
      <c r="P7180" s="4"/>
    </row>
    <row r="7181" spans="16:16" x14ac:dyDescent="0.25">
      <c r="P7181" s="4"/>
    </row>
    <row r="7182" spans="16:16" x14ac:dyDescent="0.25">
      <c r="P7182" s="4"/>
    </row>
    <row r="7183" spans="16:16" x14ac:dyDescent="0.25">
      <c r="P7183" s="4"/>
    </row>
    <row r="7184" spans="16:16" x14ac:dyDescent="0.25">
      <c r="P7184" s="4"/>
    </row>
    <row r="7185" spans="16:16" x14ac:dyDescent="0.25">
      <c r="P7185" s="4"/>
    </row>
    <row r="7186" spans="16:16" x14ac:dyDescent="0.25">
      <c r="P7186" s="4"/>
    </row>
    <row r="7187" spans="16:16" x14ac:dyDescent="0.25">
      <c r="P7187" s="4"/>
    </row>
    <row r="7188" spans="16:16" x14ac:dyDescent="0.25">
      <c r="P7188" s="4"/>
    </row>
    <row r="7189" spans="16:16" x14ac:dyDescent="0.25">
      <c r="P7189" s="4"/>
    </row>
    <row r="7190" spans="16:16" x14ac:dyDescent="0.25">
      <c r="P7190" s="4"/>
    </row>
    <row r="7191" spans="16:16" x14ac:dyDescent="0.25">
      <c r="P7191" s="4"/>
    </row>
    <row r="7192" spans="16:16" x14ac:dyDescent="0.25">
      <c r="P7192" s="4"/>
    </row>
    <row r="7193" spans="16:16" x14ac:dyDescent="0.25">
      <c r="P7193" s="4"/>
    </row>
    <row r="7194" spans="16:16" x14ac:dyDescent="0.25">
      <c r="P7194" s="4"/>
    </row>
    <row r="7195" spans="16:16" x14ac:dyDescent="0.25">
      <c r="P7195" s="4"/>
    </row>
    <row r="7196" spans="16:16" x14ac:dyDescent="0.25">
      <c r="P7196" s="4"/>
    </row>
    <row r="7197" spans="16:16" x14ac:dyDescent="0.25">
      <c r="P7197" s="4"/>
    </row>
    <row r="7198" spans="16:16" x14ac:dyDescent="0.25">
      <c r="P7198" s="4"/>
    </row>
    <row r="7199" spans="16:16" x14ac:dyDescent="0.25">
      <c r="P7199" s="4"/>
    </row>
    <row r="7200" spans="16:16" x14ac:dyDescent="0.25">
      <c r="P7200" s="4"/>
    </row>
    <row r="7201" spans="16:16" x14ac:dyDescent="0.25">
      <c r="P7201" s="4"/>
    </row>
    <row r="7202" spans="16:16" x14ac:dyDescent="0.25">
      <c r="P7202" s="4"/>
    </row>
    <row r="7203" spans="16:16" x14ac:dyDescent="0.25">
      <c r="P7203" s="4"/>
    </row>
    <row r="7204" spans="16:16" x14ac:dyDescent="0.25">
      <c r="P7204" s="4"/>
    </row>
    <row r="7205" spans="16:16" x14ac:dyDescent="0.25">
      <c r="P7205" s="4"/>
    </row>
    <row r="7206" spans="16:16" x14ac:dyDescent="0.25">
      <c r="P7206" s="4"/>
    </row>
    <row r="7207" spans="16:16" x14ac:dyDescent="0.25">
      <c r="P7207" s="4"/>
    </row>
    <row r="7208" spans="16:16" x14ac:dyDescent="0.25">
      <c r="P7208" s="4"/>
    </row>
    <row r="7209" spans="16:16" x14ac:dyDescent="0.25">
      <c r="P7209" s="4"/>
    </row>
    <row r="7210" spans="16:16" x14ac:dyDescent="0.25">
      <c r="P7210" s="4"/>
    </row>
    <row r="7211" spans="16:16" x14ac:dyDescent="0.25">
      <c r="P7211" s="4"/>
    </row>
    <row r="7212" spans="16:16" x14ac:dyDescent="0.25">
      <c r="P7212" s="4"/>
    </row>
    <row r="7213" spans="16:16" x14ac:dyDescent="0.25">
      <c r="P7213" s="4"/>
    </row>
    <row r="7214" spans="16:16" x14ac:dyDescent="0.25">
      <c r="P7214" s="4"/>
    </row>
    <row r="7215" spans="16:16" x14ac:dyDescent="0.25">
      <c r="P7215" s="4"/>
    </row>
    <row r="7216" spans="16:16" x14ac:dyDescent="0.25">
      <c r="P7216" s="4"/>
    </row>
    <row r="7217" spans="16:16" x14ac:dyDescent="0.25">
      <c r="P7217" s="4"/>
    </row>
    <row r="7218" spans="16:16" x14ac:dyDescent="0.25">
      <c r="P7218" s="4"/>
    </row>
    <row r="7219" spans="16:16" x14ac:dyDescent="0.25">
      <c r="P7219" s="4"/>
    </row>
    <row r="7220" spans="16:16" x14ac:dyDescent="0.25">
      <c r="P7220" s="4"/>
    </row>
    <row r="7221" spans="16:16" x14ac:dyDescent="0.25">
      <c r="P7221" s="4"/>
    </row>
    <row r="7222" spans="16:16" x14ac:dyDescent="0.25">
      <c r="P7222" s="4"/>
    </row>
    <row r="7223" spans="16:16" x14ac:dyDescent="0.25">
      <c r="P7223" s="4"/>
    </row>
    <row r="7224" spans="16:16" x14ac:dyDescent="0.25">
      <c r="P7224" s="4"/>
    </row>
    <row r="7225" spans="16:16" x14ac:dyDescent="0.25">
      <c r="P7225" s="4"/>
    </row>
    <row r="7226" spans="16:16" x14ac:dyDescent="0.25">
      <c r="P7226" s="4"/>
    </row>
    <row r="7227" spans="16:16" x14ac:dyDescent="0.25">
      <c r="P7227" s="4"/>
    </row>
    <row r="7228" spans="16:16" x14ac:dyDescent="0.25">
      <c r="P7228" s="4"/>
    </row>
    <row r="7229" spans="16:16" x14ac:dyDescent="0.25">
      <c r="P7229" s="4"/>
    </row>
    <row r="7230" spans="16:16" x14ac:dyDescent="0.25">
      <c r="P7230" s="4"/>
    </row>
    <row r="7231" spans="16:16" x14ac:dyDescent="0.25">
      <c r="P7231" s="4"/>
    </row>
    <row r="7232" spans="16:16" x14ac:dyDescent="0.25">
      <c r="P7232" s="4"/>
    </row>
    <row r="7233" spans="16:16" x14ac:dyDescent="0.25">
      <c r="P7233" s="4"/>
    </row>
    <row r="7234" spans="16:16" x14ac:dyDescent="0.25">
      <c r="P7234" s="4"/>
    </row>
    <row r="7235" spans="16:16" x14ac:dyDescent="0.25">
      <c r="P7235" s="4"/>
    </row>
    <row r="7236" spans="16:16" x14ac:dyDescent="0.25">
      <c r="P7236" s="4"/>
    </row>
    <row r="7237" spans="16:16" x14ac:dyDescent="0.25">
      <c r="P7237" s="4"/>
    </row>
    <row r="7238" spans="16:16" x14ac:dyDescent="0.25">
      <c r="P7238" s="4"/>
    </row>
    <row r="7239" spans="16:16" x14ac:dyDescent="0.25">
      <c r="P7239" s="4"/>
    </row>
    <row r="7240" spans="16:16" x14ac:dyDescent="0.25">
      <c r="P7240" s="4"/>
    </row>
    <row r="7241" spans="16:16" x14ac:dyDescent="0.25">
      <c r="P7241" s="4"/>
    </row>
    <row r="7242" spans="16:16" x14ac:dyDescent="0.25">
      <c r="P7242" s="4"/>
    </row>
    <row r="7243" spans="16:16" x14ac:dyDescent="0.25">
      <c r="P7243" s="4"/>
    </row>
    <row r="7244" spans="16:16" x14ac:dyDescent="0.25">
      <c r="P7244" s="4"/>
    </row>
    <row r="7245" spans="16:16" x14ac:dyDescent="0.25">
      <c r="P7245" s="4"/>
    </row>
    <row r="7246" spans="16:16" x14ac:dyDescent="0.25">
      <c r="P7246" s="4"/>
    </row>
    <row r="7247" spans="16:16" x14ac:dyDescent="0.25">
      <c r="P7247" s="4"/>
    </row>
    <row r="7248" spans="16:16" x14ac:dyDescent="0.25">
      <c r="P7248" s="4"/>
    </row>
    <row r="7249" spans="16:16" x14ac:dyDescent="0.25">
      <c r="P7249" s="4"/>
    </row>
    <row r="7250" spans="16:16" x14ac:dyDescent="0.25">
      <c r="P7250" s="4"/>
    </row>
    <row r="7251" spans="16:16" x14ac:dyDescent="0.25">
      <c r="P7251" s="4"/>
    </row>
    <row r="7252" spans="16:16" x14ac:dyDescent="0.25">
      <c r="P7252" s="4"/>
    </row>
    <row r="7253" spans="16:16" x14ac:dyDescent="0.25">
      <c r="P7253" s="4"/>
    </row>
    <row r="7254" spans="16:16" x14ac:dyDescent="0.25">
      <c r="P7254" s="4"/>
    </row>
    <row r="7255" spans="16:16" x14ac:dyDescent="0.25">
      <c r="P7255" s="4"/>
    </row>
    <row r="7256" spans="16:16" x14ac:dyDescent="0.25">
      <c r="P7256" s="4"/>
    </row>
    <row r="7257" spans="16:16" x14ac:dyDescent="0.25">
      <c r="P7257" s="4"/>
    </row>
    <row r="7258" spans="16:16" x14ac:dyDescent="0.25">
      <c r="P7258" s="4"/>
    </row>
    <row r="7259" spans="16:16" x14ac:dyDescent="0.25">
      <c r="P7259" s="4"/>
    </row>
    <row r="7260" spans="16:16" x14ac:dyDescent="0.25">
      <c r="P7260" s="4"/>
    </row>
    <row r="7261" spans="16:16" x14ac:dyDescent="0.25">
      <c r="P7261" s="4"/>
    </row>
    <row r="7262" spans="16:16" x14ac:dyDescent="0.25">
      <c r="P7262" s="4"/>
    </row>
    <row r="7263" spans="16:16" x14ac:dyDescent="0.25">
      <c r="P7263" s="4"/>
    </row>
    <row r="7264" spans="16:16" x14ac:dyDescent="0.25">
      <c r="P7264" s="4"/>
    </row>
    <row r="7265" spans="16:16" x14ac:dyDescent="0.25">
      <c r="P7265" s="4"/>
    </row>
    <row r="7266" spans="16:16" x14ac:dyDescent="0.25">
      <c r="P7266" s="4"/>
    </row>
    <row r="7267" spans="16:16" x14ac:dyDescent="0.25">
      <c r="P7267" s="4"/>
    </row>
    <row r="7268" spans="16:16" x14ac:dyDescent="0.25">
      <c r="P7268" s="4"/>
    </row>
    <row r="7269" spans="16:16" x14ac:dyDescent="0.25">
      <c r="P7269" s="4"/>
    </row>
    <row r="7270" spans="16:16" x14ac:dyDescent="0.25">
      <c r="P7270" s="4"/>
    </row>
    <row r="7271" spans="16:16" x14ac:dyDescent="0.25">
      <c r="P7271" s="4"/>
    </row>
    <row r="7272" spans="16:16" x14ac:dyDescent="0.25">
      <c r="P7272" s="4"/>
    </row>
    <row r="7273" spans="16:16" x14ac:dyDescent="0.25">
      <c r="P7273" s="4"/>
    </row>
    <row r="7274" spans="16:16" x14ac:dyDescent="0.25">
      <c r="P7274" s="4"/>
    </row>
    <row r="7275" spans="16:16" x14ac:dyDescent="0.25">
      <c r="P7275" s="4"/>
    </row>
    <row r="7276" spans="16:16" x14ac:dyDescent="0.25">
      <c r="P7276" s="4"/>
    </row>
    <row r="7277" spans="16:16" x14ac:dyDescent="0.25">
      <c r="P7277" s="4"/>
    </row>
    <row r="7278" spans="16:16" x14ac:dyDescent="0.25">
      <c r="P7278" s="4"/>
    </row>
    <row r="7279" spans="16:16" x14ac:dyDescent="0.25">
      <c r="P7279" s="4"/>
    </row>
    <row r="7280" spans="16:16" x14ac:dyDescent="0.25">
      <c r="P7280" s="4"/>
    </row>
    <row r="7281" spans="16:16" x14ac:dyDescent="0.25">
      <c r="P7281" s="4"/>
    </row>
    <row r="7282" spans="16:16" x14ac:dyDescent="0.25">
      <c r="P7282" s="4"/>
    </row>
    <row r="7283" spans="16:16" x14ac:dyDescent="0.25">
      <c r="P7283" s="4"/>
    </row>
    <row r="7284" spans="16:16" x14ac:dyDescent="0.25">
      <c r="P7284" s="4"/>
    </row>
    <row r="7285" spans="16:16" x14ac:dyDescent="0.25">
      <c r="P7285" s="4"/>
    </row>
    <row r="7286" spans="16:16" x14ac:dyDescent="0.25">
      <c r="P7286" s="4"/>
    </row>
    <row r="7287" spans="16:16" x14ac:dyDescent="0.25">
      <c r="P7287" s="4"/>
    </row>
    <row r="7288" spans="16:16" x14ac:dyDescent="0.25">
      <c r="P7288" s="4"/>
    </row>
    <row r="7289" spans="16:16" x14ac:dyDescent="0.25">
      <c r="P7289" s="4"/>
    </row>
    <row r="7290" spans="16:16" x14ac:dyDescent="0.25">
      <c r="P7290" s="4"/>
    </row>
    <row r="7291" spans="16:16" x14ac:dyDescent="0.25">
      <c r="P7291" s="4"/>
    </row>
    <row r="7292" spans="16:16" x14ac:dyDescent="0.25">
      <c r="P7292" s="4"/>
    </row>
    <row r="7293" spans="16:16" x14ac:dyDescent="0.25">
      <c r="P7293" s="4"/>
    </row>
    <row r="7294" spans="16:16" x14ac:dyDescent="0.25">
      <c r="P7294" s="4"/>
    </row>
    <row r="7295" spans="16:16" x14ac:dyDescent="0.25">
      <c r="P7295" s="4"/>
    </row>
    <row r="7296" spans="16:16" x14ac:dyDescent="0.25">
      <c r="P7296" s="4"/>
    </row>
    <row r="7297" spans="16:16" x14ac:dyDescent="0.25">
      <c r="P7297" s="4"/>
    </row>
    <row r="7298" spans="16:16" x14ac:dyDescent="0.25">
      <c r="P7298" s="4"/>
    </row>
    <row r="7299" spans="16:16" x14ac:dyDescent="0.25">
      <c r="P7299" s="4"/>
    </row>
    <row r="7300" spans="16:16" x14ac:dyDescent="0.25">
      <c r="P7300" s="4"/>
    </row>
    <row r="7301" spans="16:16" x14ac:dyDescent="0.25">
      <c r="P7301" s="4"/>
    </row>
    <row r="7302" spans="16:16" x14ac:dyDescent="0.25">
      <c r="P7302" s="4"/>
    </row>
    <row r="7303" spans="16:16" x14ac:dyDescent="0.25">
      <c r="P7303" s="4"/>
    </row>
    <row r="7304" spans="16:16" x14ac:dyDescent="0.25">
      <c r="P7304" s="4"/>
    </row>
    <row r="7305" spans="16:16" x14ac:dyDescent="0.25">
      <c r="P7305" s="4"/>
    </row>
    <row r="7306" spans="16:16" x14ac:dyDescent="0.25">
      <c r="P7306" s="4"/>
    </row>
    <row r="7307" spans="16:16" x14ac:dyDescent="0.25">
      <c r="P7307" s="4"/>
    </row>
    <row r="7308" spans="16:16" x14ac:dyDescent="0.25">
      <c r="P7308" s="4"/>
    </row>
    <row r="7309" spans="16:16" x14ac:dyDescent="0.25">
      <c r="P7309" s="4"/>
    </row>
    <row r="7310" spans="16:16" x14ac:dyDescent="0.25">
      <c r="P7310" s="4"/>
    </row>
    <row r="7311" spans="16:16" x14ac:dyDescent="0.25">
      <c r="P7311" s="4"/>
    </row>
    <row r="7312" spans="16:16" x14ac:dyDescent="0.25">
      <c r="P7312" s="4"/>
    </row>
    <row r="7313" spans="16:16" x14ac:dyDescent="0.25">
      <c r="P7313" s="4"/>
    </row>
    <row r="7314" spans="16:16" x14ac:dyDescent="0.25">
      <c r="P7314" s="4"/>
    </row>
    <row r="7315" spans="16:16" x14ac:dyDescent="0.25">
      <c r="P7315" s="4"/>
    </row>
    <row r="7316" spans="16:16" x14ac:dyDescent="0.25">
      <c r="P7316" s="4"/>
    </row>
    <row r="7317" spans="16:16" x14ac:dyDescent="0.25">
      <c r="P7317" s="4"/>
    </row>
    <row r="7318" spans="16:16" x14ac:dyDescent="0.25">
      <c r="P7318" s="4"/>
    </row>
    <row r="7319" spans="16:16" x14ac:dyDescent="0.25">
      <c r="P7319" s="4"/>
    </row>
    <row r="7320" spans="16:16" x14ac:dyDescent="0.25">
      <c r="P7320" s="4"/>
    </row>
    <row r="7321" spans="16:16" x14ac:dyDescent="0.25">
      <c r="P7321" s="4"/>
    </row>
    <row r="7322" spans="16:16" x14ac:dyDescent="0.25">
      <c r="P7322" s="4"/>
    </row>
    <row r="7323" spans="16:16" x14ac:dyDescent="0.25">
      <c r="P7323" s="4"/>
    </row>
    <row r="7324" spans="16:16" x14ac:dyDescent="0.25">
      <c r="P7324" s="4"/>
    </row>
    <row r="7325" spans="16:16" x14ac:dyDescent="0.25">
      <c r="P7325" s="4"/>
    </row>
    <row r="7326" spans="16:16" x14ac:dyDescent="0.25">
      <c r="P7326" s="4"/>
    </row>
    <row r="7327" spans="16:16" x14ac:dyDescent="0.25">
      <c r="P7327" s="4"/>
    </row>
    <row r="7328" spans="16:16" x14ac:dyDescent="0.25">
      <c r="P7328" s="4"/>
    </row>
    <row r="7329" spans="16:16" x14ac:dyDescent="0.25">
      <c r="P7329" s="4"/>
    </row>
    <row r="7330" spans="16:16" x14ac:dyDescent="0.25">
      <c r="P7330" s="4"/>
    </row>
    <row r="7331" spans="16:16" x14ac:dyDescent="0.25">
      <c r="P7331" s="4"/>
    </row>
    <row r="7332" spans="16:16" x14ac:dyDescent="0.25">
      <c r="P7332" s="4"/>
    </row>
    <row r="7333" spans="16:16" x14ac:dyDescent="0.25">
      <c r="P7333" s="4"/>
    </row>
    <row r="7334" spans="16:16" x14ac:dyDescent="0.25">
      <c r="P7334" s="4"/>
    </row>
    <row r="7335" spans="16:16" x14ac:dyDescent="0.25">
      <c r="P7335" s="4"/>
    </row>
    <row r="7336" spans="16:16" x14ac:dyDescent="0.25">
      <c r="P7336" s="4"/>
    </row>
    <row r="7337" spans="16:16" x14ac:dyDescent="0.25">
      <c r="P7337" s="4"/>
    </row>
    <row r="7338" spans="16:16" x14ac:dyDescent="0.25">
      <c r="P7338" s="4"/>
    </row>
    <row r="7339" spans="16:16" x14ac:dyDescent="0.25">
      <c r="P7339" s="4"/>
    </row>
    <row r="7340" spans="16:16" x14ac:dyDescent="0.25">
      <c r="P7340" s="4"/>
    </row>
    <row r="7341" spans="16:16" x14ac:dyDescent="0.25">
      <c r="P7341" s="4"/>
    </row>
    <row r="7342" spans="16:16" x14ac:dyDescent="0.25">
      <c r="P7342" s="4"/>
    </row>
    <row r="7343" spans="16:16" x14ac:dyDescent="0.25">
      <c r="P7343" s="4"/>
    </row>
    <row r="7344" spans="16:16" x14ac:dyDescent="0.25">
      <c r="P7344" s="4"/>
    </row>
    <row r="7345" spans="16:16" x14ac:dyDescent="0.25">
      <c r="P7345" s="4"/>
    </row>
    <row r="7346" spans="16:16" x14ac:dyDescent="0.25">
      <c r="P7346" s="4"/>
    </row>
    <row r="7347" spans="16:16" x14ac:dyDescent="0.25">
      <c r="P7347" s="4"/>
    </row>
    <row r="7348" spans="16:16" x14ac:dyDescent="0.25">
      <c r="P7348" s="4"/>
    </row>
    <row r="7349" spans="16:16" x14ac:dyDescent="0.25">
      <c r="P7349" s="4"/>
    </row>
    <row r="7350" spans="16:16" x14ac:dyDescent="0.25">
      <c r="P7350" s="4"/>
    </row>
    <row r="7351" spans="16:16" x14ac:dyDescent="0.25">
      <c r="P7351" s="4"/>
    </row>
    <row r="7352" spans="16:16" x14ac:dyDescent="0.25">
      <c r="P7352" s="4"/>
    </row>
    <row r="7353" spans="16:16" x14ac:dyDescent="0.25">
      <c r="P7353" s="4"/>
    </row>
    <row r="7354" spans="16:16" x14ac:dyDescent="0.25">
      <c r="P7354" s="4"/>
    </row>
    <row r="7355" spans="16:16" x14ac:dyDescent="0.25">
      <c r="P7355" s="4"/>
    </row>
    <row r="7356" spans="16:16" x14ac:dyDescent="0.25">
      <c r="P7356" s="4"/>
    </row>
    <row r="7357" spans="16:16" x14ac:dyDescent="0.25">
      <c r="P7357" s="4"/>
    </row>
    <row r="7358" spans="16:16" x14ac:dyDescent="0.25">
      <c r="P7358" s="4"/>
    </row>
    <row r="7359" spans="16:16" x14ac:dyDescent="0.25">
      <c r="P7359" s="4"/>
    </row>
    <row r="7360" spans="16:16" x14ac:dyDescent="0.25">
      <c r="P7360" s="4"/>
    </row>
    <row r="7361" spans="16:16" x14ac:dyDescent="0.25">
      <c r="P7361" s="4"/>
    </row>
    <row r="7362" spans="16:16" x14ac:dyDescent="0.25">
      <c r="P7362" s="4"/>
    </row>
    <row r="7363" spans="16:16" x14ac:dyDescent="0.25">
      <c r="P7363" s="4"/>
    </row>
    <row r="7364" spans="16:16" x14ac:dyDescent="0.25">
      <c r="P7364" s="4"/>
    </row>
    <row r="7365" spans="16:16" x14ac:dyDescent="0.25">
      <c r="P7365" s="4"/>
    </row>
    <row r="7366" spans="16:16" x14ac:dyDescent="0.25">
      <c r="P7366" s="4"/>
    </row>
    <row r="7367" spans="16:16" x14ac:dyDescent="0.25">
      <c r="P7367" s="4"/>
    </row>
    <row r="7368" spans="16:16" x14ac:dyDescent="0.25">
      <c r="P7368" s="4"/>
    </row>
    <row r="7369" spans="16:16" x14ac:dyDescent="0.25">
      <c r="P7369" s="4"/>
    </row>
    <row r="7370" spans="16:16" x14ac:dyDescent="0.25">
      <c r="P7370" s="4"/>
    </row>
    <row r="7371" spans="16:16" x14ac:dyDescent="0.25">
      <c r="P7371" s="4"/>
    </row>
    <row r="7372" spans="16:16" x14ac:dyDescent="0.25">
      <c r="P7372" s="4"/>
    </row>
    <row r="7373" spans="16:16" x14ac:dyDescent="0.25">
      <c r="P7373" s="4"/>
    </row>
    <row r="7374" spans="16:16" x14ac:dyDescent="0.25">
      <c r="P7374" s="4"/>
    </row>
    <row r="7375" spans="16:16" x14ac:dyDescent="0.25">
      <c r="P7375" s="4"/>
    </row>
    <row r="7376" spans="16:16" x14ac:dyDescent="0.25">
      <c r="P7376" s="4"/>
    </row>
    <row r="7377" spans="16:16" x14ac:dyDescent="0.25">
      <c r="P7377" s="4"/>
    </row>
    <row r="7378" spans="16:16" x14ac:dyDescent="0.25">
      <c r="P7378" s="4"/>
    </row>
    <row r="7379" spans="16:16" x14ac:dyDescent="0.25">
      <c r="P7379" s="4"/>
    </row>
    <row r="7380" spans="16:16" x14ac:dyDescent="0.25">
      <c r="P7380" s="4"/>
    </row>
    <row r="7381" spans="16:16" x14ac:dyDescent="0.25">
      <c r="P7381" s="4"/>
    </row>
    <row r="7382" spans="16:16" x14ac:dyDescent="0.25">
      <c r="P7382" s="4"/>
    </row>
    <row r="7383" spans="16:16" x14ac:dyDescent="0.25">
      <c r="P7383" s="4"/>
    </row>
    <row r="7384" spans="16:16" x14ac:dyDescent="0.25">
      <c r="P7384" s="4"/>
    </row>
    <row r="7385" spans="16:16" x14ac:dyDescent="0.25">
      <c r="P7385" s="4"/>
    </row>
    <row r="7386" spans="16:16" x14ac:dyDescent="0.25">
      <c r="P7386" s="4"/>
    </row>
    <row r="7387" spans="16:16" x14ac:dyDescent="0.25">
      <c r="P7387" s="4"/>
    </row>
    <row r="7388" spans="16:16" x14ac:dyDescent="0.25">
      <c r="P7388" s="4"/>
    </row>
    <row r="7389" spans="16:16" x14ac:dyDescent="0.25">
      <c r="P7389" s="4"/>
    </row>
    <row r="7390" spans="16:16" x14ac:dyDescent="0.25">
      <c r="P7390" s="4"/>
    </row>
    <row r="7391" spans="16:16" x14ac:dyDescent="0.25">
      <c r="P7391" s="4"/>
    </row>
    <row r="7392" spans="16:16" x14ac:dyDescent="0.25">
      <c r="P7392" s="4"/>
    </row>
    <row r="7393" spans="16:16" x14ac:dyDescent="0.25">
      <c r="P7393" s="4"/>
    </row>
    <row r="7394" spans="16:16" x14ac:dyDescent="0.25">
      <c r="P7394" s="4"/>
    </row>
    <row r="7395" spans="16:16" x14ac:dyDescent="0.25">
      <c r="P7395" s="4"/>
    </row>
    <row r="7396" spans="16:16" x14ac:dyDescent="0.25">
      <c r="P7396" s="4"/>
    </row>
    <row r="7397" spans="16:16" x14ac:dyDescent="0.25">
      <c r="P7397" s="4"/>
    </row>
    <row r="7398" spans="16:16" x14ac:dyDescent="0.25">
      <c r="P7398" s="4"/>
    </row>
    <row r="7399" spans="16:16" x14ac:dyDescent="0.25">
      <c r="P7399" s="4"/>
    </row>
    <row r="7400" spans="16:16" x14ac:dyDescent="0.25">
      <c r="P7400" s="4"/>
    </row>
    <row r="7401" spans="16:16" x14ac:dyDescent="0.25">
      <c r="P7401" s="4"/>
    </row>
    <row r="7402" spans="16:16" x14ac:dyDescent="0.25">
      <c r="P7402" s="4"/>
    </row>
    <row r="7403" spans="16:16" x14ac:dyDescent="0.25">
      <c r="P7403" s="4"/>
    </row>
    <row r="7404" spans="16:16" x14ac:dyDescent="0.25">
      <c r="P7404" s="4"/>
    </row>
    <row r="7405" spans="16:16" x14ac:dyDescent="0.25">
      <c r="P7405" s="4"/>
    </row>
    <row r="7406" spans="16:16" x14ac:dyDescent="0.25">
      <c r="P7406" s="4"/>
    </row>
    <row r="7407" spans="16:16" x14ac:dyDescent="0.25">
      <c r="P7407" s="4"/>
    </row>
    <row r="7408" spans="16:16" x14ac:dyDescent="0.25">
      <c r="P7408" s="4"/>
    </row>
    <row r="7409" spans="16:16" x14ac:dyDescent="0.25">
      <c r="P7409" s="4"/>
    </row>
    <row r="7410" spans="16:16" x14ac:dyDescent="0.25">
      <c r="P7410" s="4"/>
    </row>
    <row r="7411" spans="16:16" x14ac:dyDescent="0.25">
      <c r="P7411" s="4"/>
    </row>
    <row r="7412" spans="16:16" x14ac:dyDescent="0.25">
      <c r="P7412" s="4"/>
    </row>
    <row r="7413" spans="16:16" x14ac:dyDescent="0.25">
      <c r="P7413" s="4"/>
    </row>
    <row r="7414" spans="16:16" x14ac:dyDescent="0.25">
      <c r="P7414" s="4"/>
    </row>
    <row r="7415" spans="16:16" x14ac:dyDescent="0.25">
      <c r="P7415" s="4"/>
    </row>
    <row r="7416" spans="16:16" x14ac:dyDescent="0.25">
      <c r="P7416" s="4"/>
    </row>
    <row r="7417" spans="16:16" x14ac:dyDescent="0.25">
      <c r="P7417" s="4"/>
    </row>
    <row r="7418" spans="16:16" x14ac:dyDescent="0.25">
      <c r="P7418" s="4"/>
    </row>
    <row r="7419" spans="16:16" x14ac:dyDescent="0.25">
      <c r="P7419" s="4"/>
    </row>
    <row r="7420" spans="16:16" x14ac:dyDescent="0.25">
      <c r="P7420" s="4"/>
    </row>
    <row r="7421" spans="16:16" x14ac:dyDescent="0.25">
      <c r="P7421" s="4"/>
    </row>
    <row r="7422" spans="16:16" x14ac:dyDescent="0.25">
      <c r="P7422" s="4"/>
    </row>
    <row r="7423" spans="16:16" x14ac:dyDescent="0.25">
      <c r="P7423" s="4"/>
    </row>
    <row r="7424" spans="16:16" x14ac:dyDescent="0.25">
      <c r="P7424" s="4"/>
    </row>
    <row r="7425" spans="16:16" x14ac:dyDescent="0.25">
      <c r="P7425" s="4"/>
    </row>
    <row r="7426" spans="16:16" x14ac:dyDescent="0.25">
      <c r="P7426" s="4"/>
    </row>
    <row r="7427" spans="16:16" x14ac:dyDescent="0.25">
      <c r="P7427" s="4"/>
    </row>
    <row r="7428" spans="16:16" x14ac:dyDescent="0.25">
      <c r="P7428" s="4"/>
    </row>
    <row r="7429" spans="16:16" x14ac:dyDescent="0.25">
      <c r="P7429" s="4"/>
    </row>
    <row r="7430" spans="16:16" x14ac:dyDescent="0.25">
      <c r="P7430" s="4"/>
    </row>
    <row r="7431" spans="16:16" x14ac:dyDescent="0.25">
      <c r="P7431" s="4"/>
    </row>
    <row r="7432" spans="16:16" x14ac:dyDescent="0.25">
      <c r="P7432" s="4"/>
    </row>
    <row r="7433" spans="16:16" x14ac:dyDescent="0.25">
      <c r="P7433" s="4"/>
    </row>
    <row r="7434" spans="16:16" x14ac:dyDescent="0.25">
      <c r="P7434" s="4"/>
    </row>
    <row r="7435" spans="16:16" x14ac:dyDescent="0.25">
      <c r="P7435" s="4"/>
    </row>
    <row r="7436" spans="16:16" x14ac:dyDescent="0.25">
      <c r="P7436" s="4"/>
    </row>
    <row r="7437" spans="16:16" x14ac:dyDescent="0.25">
      <c r="P7437" s="4"/>
    </row>
    <row r="7438" spans="16:16" x14ac:dyDescent="0.25">
      <c r="P7438" s="4"/>
    </row>
    <row r="7439" spans="16:16" x14ac:dyDescent="0.25">
      <c r="P7439" s="4"/>
    </row>
    <row r="7440" spans="16:16" x14ac:dyDescent="0.25">
      <c r="P7440" s="4"/>
    </row>
    <row r="7441" spans="16:16" x14ac:dyDescent="0.25">
      <c r="P7441" s="4"/>
    </row>
    <row r="7442" spans="16:16" x14ac:dyDescent="0.25">
      <c r="P7442" s="4"/>
    </row>
    <row r="7443" spans="16:16" x14ac:dyDescent="0.25">
      <c r="P7443" s="4"/>
    </row>
    <row r="7444" spans="16:16" x14ac:dyDescent="0.25">
      <c r="P7444" s="4"/>
    </row>
    <row r="7445" spans="16:16" x14ac:dyDescent="0.25">
      <c r="P7445" s="4"/>
    </row>
    <row r="7446" spans="16:16" x14ac:dyDescent="0.25">
      <c r="P7446" s="4"/>
    </row>
    <row r="7447" spans="16:16" x14ac:dyDescent="0.25">
      <c r="P7447" s="4"/>
    </row>
    <row r="7448" spans="16:16" x14ac:dyDescent="0.25">
      <c r="P7448" s="4"/>
    </row>
    <row r="7449" spans="16:16" x14ac:dyDescent="0.25">
      <c r="P7449" s="4"/>
    </row>
    <row r="7450" spans="16:16" x14ac:dyDescent="0.25">
      <c r="P7450" s="4"/>
    </row>
    <row r="7451" spans="16:16" x14ac:dyDescent="0.25">
      <c r="P7451" s="4"/>
    </row>
    <row r="7452" spans="16:16" x14ac:dyDescent="0.25">
      <c r="P7452" s="4"/>
    </row>
    <row r="7453" spans="16:16" x14ac:dyDescent="0.25">
      <c r="P7453" s="4"/>
    </row>
    <row r="7454" spans="16:16" x14ac:dyDescent="0.25">
      <c r="P7454" s="4"/>
    </row>
    <row r="7455" spans="16:16" x14ac:dyDescent="0.25">
      <c r="P7455" s="4"/>
    </row>
    <row r="7456" spans="16:16" x14ac:dyDescent="0.25">
      <c r="P7456" s="4"/>
    </row>
    <row r="7457" spans="16:16" x14ac:dyDescent="0.25">
      <c r="P7457" s="4"/>
    </row>
    <row r="7458" spans="16:16" x14ac:dyDescent="0.25">
      <c r="P7458" s="4"/>
    </row>
    <row r="7459" spans="16:16" x14ac:dyDescent="0.25">
      <c r="P7459" s="4"/>
    </row>
    <row r="7460" spans="16:16" x14ac:dyDescent="0.25">
      <c r="P7460" s="4"/>
    </row>
    <row r="7461" spans="16:16" x14ac:dyDescent="0.25">
      <c r="P7461" s="4"/>
    </row>
    <row r="7462" spans="16:16" x14ac:dyDescent="0.25">
      <c r="P7462" s="4"/>
    </row>
    <row r="7463" spans="16:16" x14ac:dyDescent="0.25">
      <c r="P7463" s="4"/>
    </row>
    <row r="7464" spans="16:16" x14ac:dyDescent="0.25">
      <c r="P7464" s="4"/>
    </row>
    <row r="7465" spans="16:16" x14ac:dyDescent="0.25">
      <c r="P7465" s="4"/>
    </row>
    <row r="7466" spans="16:16" x14ac:dyDescent="0.25">
      <c r="P7466" s="4"/>
    </row>
    <row r="7467" spans="16:16" x14ac:dyDescent="0.25">
      <c r="P7467" s="4"/>
    </row>
    <row r="7468" spans="16:16" x14ac:dyDescent="0.25">
      <c r="P7468" s="4"/>
    </row>
    <row r="7469" spans="16:16" x14ac:dyDescent="0.25">
      <c r="P7469" s="4"/>
    </row>
    <row r="7470" spans="16:16" x14ac:dyDescent="0.25">
      <c r="P7470" s="4"/>
    </row>
    <row r="7471" spans="16:16" x14ac:dyDescent="0.25">
      <c r="P7471" s="4"/>
    </row>
    <row r="7472" spans="16:16" x14ac:dyDescent="0.25">
      <c r="P7472" s="4"/>
    </row>
    <row r="7473" spans="16:16" x14ac:dyDescent="0.25">
      <c r="P7473" s="4"/>
    </row>
    <row r="7474" spans="16:16" x14ac:dyDescent="0.25">
      <c r="P7474" s="4"/>
    </row>
    <row r="7475" spans="16:16" x14ac:dyDescent="0.25">
      <c r="P7475" s="4"/>
    </row>
    <row r="7476" spans="16:16" x14ac:dyDescent="0.25">
      <c r="P7476" s="4"/>
    </row>
    <row r="7477" spans="16:16" x14ac:dyDescent="0.25">
      <c r="P7477" s="4"/>
    </row>
    <row r="7478" spans="16:16" x14ac:dyDescent="0.25">
      <c r="P7478" s="4"/>
    </row>
    <row r="7479" spans="16:16" x14ac:dyDescent="0.25">
      <c r="P7479" s="4"/>
    </row>
    <row r="7480" spans="16:16" x14ac:dyDescent="0.25">
      <c r="P7480" s="4"/>
    </row>
    <row r="7481" spans="16:16" x14ac:dyDescent="0.25">
      <c r="P7481" s="4"/>
    </row>
    <row r="7482" spans="16:16" x14ac:dyDescent="0.25">
      <c r="P7482" s="4"/>
    </row>
    <row r="7483" spans="16:16" x14ac:dyDescent="0.25">
      <c r="P7483" s="4"/>
    </row>
    <row r="7484" spans="16:16" x14ac:dyDescent="0.25">
      <c r="P7484" s="4"/>
    </row>
    <row r="7485" spans="16:16" x14ac:dyDescent="0.25">
      <c r="P7485" s="4"/>
    </row>
    <row r="7486" spans="16:16" x14ac:dyDescent="0.25">
      <c r="P7486" s="4"/>
    </row>
    <row r="7487" spans="16:16" x14ac:dyDescent="0.25">
      <c r="P7487" s="4"/>
    </row>
    <row r="7488" spans="16:16" x14ac:dyDescent="0.25">
      <c r="P7488" s="4"/>
    </row>
    <row r="7489" spans="16:16" x14ac:dyDescent="0.25">
      <c r="P7489" s="4"/>
    </row>
    <row r="7490" spans="16:16" x14ac:dyDescent="0.25">
      <c r="P7490" s="4"/>
    </row>
    <row r="7491" spans="16:16" x14ac:dyDescent="0.25">
      <c r="P7491" s="4"/>
    </row>
    <row r="7492" spans="16:16" x14ac:dyDescent="0.25">
      <c r="P7492" s="4"/>
    </row>
    <row r="7493" spans="16:16" x14ac:dyDescent="0.25">
      <c r="P7493" s="4"/>
    </row>
    <row r="7494" spans="16:16" x14ac:dyDescent="0.25">
      <c r="P7494" s="4"/>
    </row>
    <row r="7495" spans="16:16" x14ac:dyDescent="0.25">
      <c r="P7495" s="4"/>
    </row>
    <row r="7496" spans="16:16" x14ac:dyDescent="0.25">
      <c r="P7496" s="4"/>
    </row>
    <row r="7497" spans="16:16" x14ac:dyDescent="0.25">
      <c r="P7497" s="4"/>
    </row>
    <row r="7498" spans="16:16" x14ac:dyDescent="0.25">
      <c r="P7498" s="4"/>
    </row>
    <row r="7499" spans="16:16" x14ac:dyDescent="0.25">
      <c r="P7499" s="4"/>
    </row>
    <row r="7500" spans="16:16" x14ac:dyDescent="0.25">
      <c r="P7500" s="4"/>
    </row>
    <row r="7501" spans="16:16" x14ac:dyDescent="0.25">
      <c r="P7501" s="4"/>
    </row>
    <row r="7502" spans="16:16" x14ac:dyDescent="0.25">
      <c r="P7502" s="4"/>
    </row>
    <row r="7503" spans="16:16" x14ac:dyDescent="0.25">
      <c r="P7503" s="4"/>
    </row>
    <row r="7504" spans="16:16" x14ac:dyDescent="0.25">
      <c r="P7504" s="4"/>
    </row>
    <row r="7505" spans="16:16" x14ac:dyDescent="0.25">
      <c r="P7505" s="4"/>
    </row>
    <row r="7506" spans="16:16" x14ac:dyDescent="0.25">
      <c r="P7506" s="4"/>
    </row>
    <row r="7507" spans="16:16" x14ac:dyDescent="0.25">
      <c r="P7507" s="4"/>
    </row>
    <row r="7508" spans="16:16" x14ac:dyDescent="0.25">
      <c r="P7508" s="4"/>
    </row>
    <row r="7509" spans="16:16" x14ac:dyDescent="0.25">
      <c r="P7509" s="4"/>
    </row>
    <row r="7510" spans="16:16" x14ac:dyDescent="0.25">
      <c r="P7510" s="4"/>
    </row>
    <row r="7511" spans="16:16" x14ac:dyDescent="0.25">
      <c r="P7511" s="4"/>
    </row>
    <row r="7512" spans="16:16" x14ac:dyDescent="0.25">
      <c r="P7512" s="4"/>
    </row>
    <row r="7513" spans="16:16" x14ac:dyDescent="0.25">
      <c r="P7513" s="4"/>
    </row>
    <row r="7514" spans="16:16" x14ac:dyDescent="0.25">
      <c r="P7514" s="4"/>
    </row>
    <row r="7515" spans="16:16" x14ac:dyDescent="0.25">
      <c r="P7515" s="4"/>
    </row>
    <row r="7516" spans="16:16" x14ac:dyDescent="0.25">
      <c r="P7516" s="4"/>
    </row>
    <row r="7517" spans="16:16" x14ac:dyDescent="0.25">
      <c r="P7517" s="4"/>
    </row>
    <row r="7518" spans="16:16" x14ac:dyDescent="0.25">
      <c r="P7518" s="4"/>
    </row>
    <row r="7519" spans="16:16" x14ac:dyDescent="0.25">
      <c r="P7519" s="4"/>
    </row>
    <row r="7520" spans="16:16" x14ac:dyDescent="0.25">
      <c r="P7520" s="4"/>
    </row>
    <row r="7521" spans="16:16" x14ac:dyDescent="0.25">
      <c r="P7521" s="4"/>
    </row>
    <row r="7522" spans="16:16" x14ac:dyDescent="0.25">
      <c r="P7522" s="4"/>
    </row>
    <row r="7523" spans="16:16" x14ac:dyDescent="0.25">
      <c r="P7523" s="4"/>
    </row>
    <row r="7524" spans="16:16" x14ac:dyDescent="0.25">
      <c r="P7524" s="4"/>
    </row>
    <row r="7525" spans="16:16" x14ac:dyDescent="0.25">
      <c r="P7525" s="4"/>
    </row>
    <row r="7526" spans="16:16" x14ac:dyDescent="0.25">
      <c r="P7526" s="4"/>
    </row>
    <row r="7527" spans="16:16" x14ac:dyDescent="0.25">
      <c r="P7527" s="4"/>
    </row>
    <row r="7528" spans="16:16" x14ac:dyDescent="0.25">
      <c r="P7528" s="4"/>
    </row>
    <row r="7529" spans="16:16" x14ac:dyDescent="0.25">
      <c r="P7529" s="4"/>
    </row>
    <row r="7530" spans="16:16" x14ac:dyDescent="0.25">
      <c r="P7530" s="4"/>
    </row>
    <row r="7531" spans="16:16" x14ac:dyDescent="0.25">
      <c r="P7531" s="4"/>
    </row>
    <row r="7532" spans="16:16" x14ac:dyDescent="0.25">
      <c r="P7532" s="4"/>
    </row>
    <row r="7533" spans="16:16" x14ac:dyDescent="0.25">
      <c r="P7533" s="4"/>
    </row>
    <row r="7534" spans="16:16" x14ac:dyDescent="0.25">
      <c r="P7534" s="4"/>
    </row>
    <row r="7535" spans="16:16" x14ac:dyDescent="0.25">
      <c r="P7535" s="4"/>
    </row>
    <row r="7536" spans="16:16" x14ac:dyDescent="0.25">
      <c r="P7536" s="4"/>
    </row>
    <row r="7537" spans="16:16" x14ac:dyDescent="0.25">
      <c r="P7537" s="4"/>
    </row>
    <row r="7538" spans="16:16" x14ac:dyDescent="0.25">
      <c r="P7538" s="4"/>
    </row>
    <row r="7539" spans="16:16" x14ac:dyDescent="0.25">
      <c r="P7539" s="4"/>
    </row>
    <row r="7540" spans="16:16" x14ac:dyDescent="0.25">
      <c r="P7540" s="4"/>
    </row>
    <row r="7541" spans="16:16" x14ac:dyDescent="0.25">
      <c r="P7541" s="4"/>
    </row>
    <row r="7542" spans="16:16" x14ac:dyDescent="0.25">
      <c r="P7542" s="4"/>
    </row>
    <row r="7543" spans="16:16" x14ac:dyDescent="0.25">
      <c r="P7543" s="4"/>
    </row>
    <row r="7544" spans="16:16" x14ac:dyDescent="0.25">
      <c r="P7544" s="4"/>
    </row>
    <row r="7545" spans="16:16" x14ac:dyDescent="0.25">
      <c r="P7545" s="4"/>
    </row>
    <row r="7546" spans="16:16" x14ac:dyDescent="0.25">
      <c r="P7546" s="4"/>
    </row>
    <row r="7547" spans="16:16" x14ac:dyDescent="0.25">
      <c r="P7547" s="4"/>
    </row>
    <row r="7548" spans="16:16" x14ac:dyDescent="0.25">
      <c r="P7548" s="4"/>
    </row>
    <row r="7549" spans="16:16" x14ac:dyDescent="0.25">
      <c r="P7549" s="4"/>
    </row>
    <row r="7550" spans="16:16" x14ac:dyDescent="0.25">
      <c r="P7550" s="4"/>
    </row>
    <row r="7551" spans="16:16" x14ac:dyDescent="0.25">
      <c r="P7551" s="4"/>
    </row>
    <row r="7552" spans="16:16" x14ac:dyDescent="0.25">
      <c r="P7552" s="4"/>
    </row>
    <row r="7553" spans="16:16" x14ac:dyDescent="0.25">
      <c r="P7553" s="4"/>
    </row>
    <row r="7554" spans="16:16" x14ac:dyDescent="0.25">
      <c r="P7554" s="4"/>
    </row>
    <row r="7555" spans="16:16" x14ac:dyDescent="0.25">
      <c r="P7555" s="4"/>
    </row>
    <row r="7556" spans="16:16" x14ac:dyDescent="0.25">
      <c r="P7556" s="4"/>
    </row>
    <row r="7557" spans="16:16" x14ac:dyDescent="0.25">
      <c r="P7557" s="4"/>
    </row>
    <row r="7558" spans="16:16" x14ac:dyDescent="0.25">
      <c r="P7558" s="4"/>
    </row>
    <row r="7559" spans="16:16" x14ac:dyDescent="0.25">
      <c r="P7559" s="4"/>
    </row>
    <row r="7560" spans="16:16" x14ac:dyDescent="0.25">
      <c r="P7560" s="4"/>
    </row>
    <row r="7561" spans="16:16" x14ac:dyDescent="0.25">
      <c r="P7561" s="4"/>
    </row>
    <row r="7562" spans="16:16" x14ac:dyDescent="0.25">
      <c r="P7562" s="4"/>
    </row>
    <row r="7563" spans="16:16" x14ac:dyDescent="0.25">
      <c r="P7563" s="4"/>
    </row>
    <row r="7564" spans="16:16" x14ac:dyDescent="0.25">
      <c r="P7564" s="4"/>
    </row>
    <row r="7565" spans="16:16" x14ac:dyDescent="0.25">
      <c r="P7565" s="4"/>
    </row>
    <row r="7566" spans="16:16" x14ac:dyDescent="0.25">
      <c r="P7566" s="4"/>
    </row>
    <row r="7567" spans="16:16" x14ac:dyDescent="0.25">
      <c r="P7567" s="4"/>
    </row>
    <row r="7568" spans="16:16" x14ac:dyDescent="0.25">
      <c r="P7568" s="4"/>
    </row>
    <row r="7569" spans="16:16" x14ac:dyDescent="0.25">
      <c r="P7569" s="4"/>
    </row>
    <row r="7570" spans="16:16" x14ac:dyDescent="0.25">
      <c r="P7570" s="4"/>
    </row>
    <row r="7571" spans="16:16" x14ac:dyDescent="0.25">
      <c r="P7571" s="4"/>
    </row>
    <row r="7572" spans="16:16" x14ac:dyDescent="0.25">
      <c r="P7572" s="4"/>
    </row>
    <row r="7573" spans="16:16" x14ac:dyDescent="0.25">
      <c r="P7573" s="4"/>
    </row>
    <row r="7574" spans="16:16" x14ac:dyDescent="0.25">
      <c r="P7574" s="4"/>
    </row>
    <row r="7575" spans="16:16" x14ac:dyDescent="0.25">
      <c r="P7575" s="4"/>
    </row>
    <row r="7576" spans="16:16" x14ac:dyDescent="0.25">
      <c r="P7576" s="4"/>
    </row>
    <row r="7577" spans="16:16" x14ac:dyDescent="0.25">
      <c r="P7577" s="4"/>
    </row>
    <row r="7578" spans="16:16" x14ac:dyDescent="0.25">
      <c r="P7578" s="4"/>
    </row>
    <row r="7579" spans="16:16" x14ac:dyDescent="0.25">
      <c r="P7579" s="4"/>
    </row>
    <row r="7580" spans="16:16" x14ac:dyDescent="0.25">
      <c r="P7580" s="4"/>
    </row>
    <row r="7581" spans="16:16" x14ac:dyDescent="0.25">
      <c r="P7581" s="4"/>
    </row>
    <row r="7582" spans="16:16" x14ac:dyDescent="0.25">
      <c r="P7582" s="4"/>
    </row>
    <row r="7583" spans="16:16" x14ac:dyDescent="0.25">
      <c r="P7583" s="4"/>
    </row>
    <row r="7584" spans="16:16" x14ac:dyDescent="0.25">
      <c r="P7584" s="4"/>
    </row>
    <row r="7585" spans="16:16" x14ac:dyDescent="0.25">
      <c r="P7585" s="4"/>
    </row>
    <row r="7586" spans="16:16" x14ac:dyDescent="0.25">
      <c r="P7586" s="4"/>
    </row>
    <row r="7587" spans="16:16" x14ac:dyDescent="0.25">
      <c r="P7587" s="4"/>
    </row>
    <row r="7588" spans="16:16" x14ac:dyDescent="0.25">
      <c r="P7588" s="4"/>
    </row>
    <row r="7589" spans="16:16" x14ac:dyDescent="0.25">
      <c r="P7589" s="4"/>
    </row>
    <row r="7590" spans="16:16" x14ac:dyDescent="0.25">
      <c r="P7590" s="4"/>
    </row>
    <row r="7591" spans="16:16" x14ac:dyDescent="0.25">
      <c r="P7591" s="4"/>
    </row>
    <row r="7592" spans="16:16" x14ac:dyDescent="0.25">
      <c r="P7592" s="4"/>
    </row>
    <row r="7593" spans="16:16" x14ac:dyDescent="0.25">
      <c r="P7593" s="4"/>
    </row>
    <row r="7594" spans="16:16" x14ac:dyDescent="0.25">
      <c r="P7594" s="4"/>
    </row>
    <row r="7595" spans="16:16" x14ac:dyDescent="0.25">
      <c r="P7595" s="4"/>
    </row>
    <row r="7596" spans="16:16" x14ac:dyDescent="0.25">
      <c r="P7596" s="4"/>
    </row>
    <row r="7597" spans="16:16" x14ac:dyDescent="0.25">
      <c r="P7597" s="4"/>
    </row>
    <row r="7598" spans="16:16" x14ac:dyDescent="0.25">
      <c r="P7598" s="4"/>
    </row>
    <row r="7599" spans="16:16" x14ac:dyDescent="0.25">
      <c r="P7599" s="4"/>
    </row>
    <row r="7600" spans="16:16" x14ac:dyDescent="0.25">
      <c r="P7600" s="4"/>
    </row>
    <row r="7601" spans="16:16" x14ac:dyDescent="0.25">
      <c r="P7601" s="4"/>
    </row>
    <row r="7602" spans="16:16" x14ac:dyDescent="0.25">
      <c r="P7602" s="4"/>
    </row>
    <row r="7603" spans="16:16" x14ac:dyDescent="0.25">
      <c r="P7603" s="4"/>
    </row>
    <row r="7604" spans="16:16" x14ac:dyDescent="0.25">
      <c r="P7604" s="4"/>
    </row>
    <row r="7605" spans="16:16" x14ac:dyDescent="0.25">
      <c r="P7605" s="4"/>
    </row>
    <row r="7606" spans="16:16" x14ac:dyDescent="0.25">
      <c r="P7606" s="4"/>
    </row>
    <row r="7607" spans="16:16" x14ac:dyDescent="0.25">
      <c r="P7607" s="4"/>
    </row>
    <row r="7608" spans="16:16" x14ac:dyDescent="0.25">
      <c r="P7608" s="4"/>
    </row>
    <row r="7609" spans="16:16" x14ac:dyDescent="0.25">
      <c r="P7609" s="4"/>
    </row>
    <row r="7610" spans="16:16" x14ac:dyDescent="0.25">
      <c r="P7610" s="4"/>
    </row>
    <row r="7611" spans="16:16" x14ac:dyDescent="0.25">
      <c r="P7611" s="4"/>
    </row>
    <row r="7612" spans="16:16" x14ac:dyDescent="0.25">
      <c r="P7612" s="4"/>
    </row>
    <row r="7613" spans="16:16" x14ac:dyDescent="0.25">
      <c r="P7613" s="4"/>
    </row>
    <row r="7614" spans="16:16" x14ac:dyDescent="0.25">
      <c r="P7614" s="4"/>
    </row>
    <row r="7615" spans="16:16" x14ac:dyDescent="0.25">
      <c r="P7615" s="4"/>
    </row>
    <row r="7616" spans="16:16" x14ac:dyDescent="0.25">
      <c r="P7616" s="4"/>
    </row>
    <row r="7617" spans="16:16" x14ac:dyDescent="0.25">
      <c r="P7617" s="4"/>
    </row>
    <row r="7618" spans="16:16" x14ac:dyDescent="0.25">
      <c r="P7618" s="4"/>
    </row>
    <row r="7619" spans="16:16" x14ac:dyDescent="0.25">
      <c r="P7619" s="4"/>
    </row>
    <row r="7620" spans="16:16" x14ac:dyDescent="0.25">
      <c r="P7620" s="4"/>
    </row>
    <row r="7621" spans="16:16" x14ac:dyDescent="0.25">
      <c r="P7621" s="4"/>
    </row>
    <row r="7622" spans="16:16" x14ac:dyDescent="0.25">
      <c r="P7622" s="4"/>
    </row>
    <row r="7623" spans="16:16" x14ac:dyDescent="0.25">
      <c r="P7623" s="4"/>
    </row>
    <row r="7624" spans="16:16" x14ac:dyDescent="0.25">
      <c r="P7624" s="4"/>
    </row>
    <row r="7625" spans="16:16" x14ac:dyDescent="0.25">
      <c r="P7625" s="4"/>
    </row>
    <row r="7626" spans="16:16" x14ac:dyDescent="0.25">
      <c r="P7626" s="4"/>
    </row>
    <row r="7627" spans="16:16" x14ac:dyDescent="0.25">
      <c r="P7627" s="4"/>
    </row>
    <row r="7628" spans="16:16" x14ac:dyDescent="0.25">
      <c r="P7628" s="4"/>
    </row>
    <row r="7629" spans="16:16" x14ac:dyDescent="0.25">
      <c r="P7629" s="4"/>
    </row>
    <row r="7630" spans="16:16" x14ac:dyDescent="0.25">
      <c r="P7630" s="4"/>
    </row>
    <row r="7631" spans="16:16" x14ac:dyDescent="0.25">
      <c r="P7631" s="4"/>
    </row>
    <row r="7632" spans="16:16" x14ac:dyDescent="0.25">
      <c r="P7632" s="4"/>
    </row>
    <row r="7633" spans="16:16" x14ac:dyDescent="0.25">
      <c r="P7633" s="4"/>
    </row>
    <row r="7634" spans="16:16" x14ac:dyDescent="0.25">
      <c r="P7634" s="4"/>
    </row>
    <row r="7635" spans="16:16" x14ac:dyDescent="0.25">
      <c r="P7635" s="4"/>
    </row>
    <row r="7636" spans="16:16" x14ac:dyDescent="0.25">
      <c r="P7636" s="4"/>
    </row>
    <row r="7637" spans="16:16" x14ac:dyDescent="0.25">
      <c r="P7637" s="4"/>
    </row>
    <row r="7638" spans="16:16" x14ac:dyDescent="0.25">
      <c r="P7638" s="4"/>
    </row>
    <row r="7639" spans="16:16" x14ac:dyDescent="0.25">
      <c r="P7639" s="4"/>
    </row>
    <row r="7640" spans="16:16" x14ac:dyDescent="0.25">
      <c r="P7640" s="4"/>
    </row>
    <row r="7641" spans="16:16" x14ac:dyDescent="0.25">
      <c r="P7641" s="4"/>
    </row>
    <row r="7642" spans="16:16" x14ac:dyDescent="0.25">
      <c r="P7642" s="4"/>
    </row>
    <row r="7643" spans="16:16" x14ac:dyDescent="0.25">
      <c r="P7643" s="4"/>
    </row>
    <row r="7644" spans="16:16" x14ac:dyDescent="0.25">
      <c r="P7644" s="4"/>
    </row>
    <row r="7645" spans="16:16" x14ac:dyDescent="0.25">
      <c r="P7645" s="4"/>
    </row>
    <row r="7646" spans="16:16" x14ac:dyDescent="0.25">
      <c r="P7646" s="4"/>
    </row>
    <row r="7647" spans="16:16" x14ac:dyDescent="0.25">
      <c r="P7647" s="4"/>
    </row>
    <row r="7648" spans="16:16" x14ac:dyDescent="0.25">
      <c r="P7648" s="4"/>
    </row>
    <row r="7649" spans="16:16" x14ac:dyDescent="0.25">
      <c r="P7649" s="4"/>
    </row>
    <row r="7650" spans="16:16" x14ac:dyDescent="0.25">
      <c r="P7650" s="4"/>
    </row>
    <row r="7651" spans="16:16" x14ac:dyDescent="0.25">
      <c r="P7651" s="4"/>
    </row>
    <row r="7652" spans="16:16" x14ac:dyDescent="0.25">
      <c r="P7652" s="4"/>
    </row>
    <row r="7653" spans="16:16" x14ac:dyDescent="0.25">
      <c r="P7653" s="4"/>
    </row>
    <row r="7654" spans="16:16" x14ac:dyDescent="0.25">
      <c r="P7654" s="4"/>
    </row>
    <row r="7655" spans="16:16" x14ac:dyDescent="0.25">
      <c r="P7655" s="4"/>
    </row>
    <row r="7656" spans="16:16" x14ac:dyDescent="0.25">
      <c r="P7656" s="4"/>
    </row>
    <row r="7657" spans="16:16" x14ac:dyDescent="0.25">
      <c r="P7657" s="4"/>
    </row>
    <row r="7658" spans="16:16" x14ac:dyDescent="0.25">
      <c r="P7658" s="4"/>
    </row>
    <row r="7659" spans="16:16" x14ac:dyDescent="0.25">
      <c r="P7659" s="4"/>
    </row>
    <row r="7660" spans="16:16" x14ac:dyDescent="0.25">
      <c r="P7660" s="4"/>
    </row>
    <row r="7661" spans="16:16" x14ac:dyDescent="0.25">
      <c r="P7661" s="4"/>
    </row>
    <row r="7662" spans="16:16" x14ac:dyDescent="0.25">
      <c r="P7662" s="4"/>
    </row>
    <row r="7663" spans="16:16" x14ac:dyDescent="0.25">
      <c r="P7663" s="4"/>
    </row>
    <row r="7664" spans="16:16" x14ac:dyDescent="0.25">
      <c r="P7664" s="4"/>
    </row>
    <row r="7665" spans="16:16" x14ac:dyDescent="0.25">
      <c r="P7665" s="4"/>
    </row>
    <row r="7666" spans="16:16" x14ac:dyDescent="0.25">
      <c r="P7666" s="4"/>
    </row>
    <row r="7667" spans="16:16" x14ac:dyDescent="0.25">
      <c r="P7667" s="4"/>
    </row>
    <row r="7668" spans="16:16" x14ac:dyDescent="0.25">
      <c r="P7668" s="4"/>
    </row>
    <row r="7669" spans="16:16" x14ac:dyDescent="0.25">
      <c r="P7669" s="4"/>
    </row>
    <row r="7670" spans="16:16" x14ac:dyDescent="0.25">
      <c r="P7670" s="4"/>
    </row>
    <row r="7671" spans="16:16" x14ac:dyDescent="0.25">
      <c r="P7671" s="4"/>
    </row>
    <row r="7672" spans="16:16" x14ac:dyDescent="0.25">
      <c r="P7672" s="4"/>
    </row>
    <row r="7673" spans="16:16" x14ac:dyDescent="0.25">
      <c r="P7673" s="4"/>
    </row>
    <row r="7674" spans="16:16" x14ac:dyDescent="0.25">
      <c r="P7674" s="4"/>
    </row>
    <row r="7675" spans="16:16" x14ac:dyDescent="0.25">
      <c r="P7675" s="4"/>
    </row>
    <row r="7676" spans="16:16" x14ac:dyDescent="0.25">
      <c r="P7676" s="4"/>
    </row>
    <row r="7677" spans="16:16" x14ac:dyDescent="0.25">
      <c r="P7677" s="4"/>
    </row>
    <row r="7678" spans="16:16" x14ac:dyDescent="0.25">
      <c r="P7678" s="4"/>
    </row>
    <row r="7679" spans="16:16" x14ac:dyDescent="0.25">
      <c r="P7679" s="4"/>
    </row>
    <row r="7680" spans="16:16" x14ac:dyDescent="0.25">
      <c r="P7680" s="4"/>
    </row>
    <row r="7681" spans="16:16" x14ac:dyDescent="0.25">
      <c r="P7681" s="4"/>
    </row>
    <row r="7682" spans="16:16" x14ac:dyDescent="0.25">
      <c r="P7682" s="4"/>
    </row>
    <row r="7683" spans="16:16" x14ac:dyDescent="0.25">
      <c r="P7683" s="4"/>
    </row>
    <row r="7684" spans="16:16" x14ac:dyDescent="0.25">
      <c r="P7684" s="4"/>
    </row>
    <row r="7685" spans="16:16" x14ac:dyDescent="0.25">
      <c r="P7685" s="4"/>
    </row>
    <row r="7686" spans="16:16" x14ac:dyDescent="0.25">
      <c r="P7686" s="4"/>
    </row>
    <row r="7687" spans="16:16" x14ac:dyDescent="0.25">
      <c r="P7687" s="4"/>
    </row>
    <row r="7688" spans="16:16" x14ac:dyDescent="0.25">
      <c r="P7688" s="4"/>
    </row>
    <row r="7689" spans="16:16" x14ac:dyDescent="0.25">
      <c r="P7689" s="4"/>
    </row>
    <row r="7690" spans="16:16" x14ac:dyDescent="0.25">
      <c r="P7690" s="4"/>
    </row>
    <row r="7691" spans="16:16" x14ac:dyDescent="0.25">
      <c r="P7691" s="4"/>
    </row>
    <row r="7692" spans="16:16" x14ac:dyDescent="0.25">
      <c r="P7692" s="4"/>
    </row>
    <row r="7693" spans="16:16" x14ac:dyDescent="0.25">
      <c r="P7693" s="4"/>
    </row>
    <row r="7694" spans="16:16" x14ac:dyDescent="0.25">
      <c r="P7694" s="4"/>
    </row>
    <row r="7695" spans="16:16" x14ac:dyDescent="0.25">
      <c r="P7695" s="4"/>
    </row>
    <row r="7696" spans="16:16" x14ac:dyDescent="0.25">
      <c r="P7696" s="4"/>
    </row>
    <row r="7697" spans="16:16" x14ac:dyDescent="0.25">
      <c r="P7697" s="4"/>
    </row>
    <row r="7698" spans="16:16" x14ac:dyDescent="0.25">
      <c r="P7698" s="4"/>
    </row>
    <row r="7699" spans="16:16" x14ac:dyDescent="0.25">
      <c r="P7699" s="4"/>
    </row>
    <row r="7700" spans="16:16" x14ac:dyDescent="0.25">
      <c r="P7700" s="4"/>
    </row>
    <row r="7701" spans="16:16" x14ac:dyDescent="0.25">
      <c r="P7701" s="4"/>
    </row>
    <row r="7702" spans="16:16" x14ac:dyDescent="0.25">
      <c r="P7702" s="4"/>
    </row>
    <row r="7703" spans="16:16" x14ac:dyDescent="0.25">
      <c r="P7703" s="4"/>
    </row>
    <row r="7704" spans="16:16" x14ac:dyDescent="0.25">
      <c r="P7704" s="4"/>
    </row>
    <row r="7705" spans="16:16" x14ac:dyDescent="0.25">
      <c r="P7705" s="4"/>
    </row>
    <row r="7706" spans="16:16" x14ac:dyDescent="0.25">
      <c r="P7706" s="4"/>
    </row>
    <row r="7707" spans="16:16" x14ac:dyDescent="0.25">
      <c r="P7707" s="4"/>
    </row>
    <row r="7708" spans="16:16" x14ac:dyDescent="0.25">
      <c r="P7708" s="4"/>
    </row>
    <row r="7709" spans="16:16" x14ac:dyDescent="0.25">
      <c r="P7709" s="4"/>
    </row>
    <row r="7710" spans="16:16" x14ac:dyDescent="0.25">
      <c r="P7710" s="4"/>
    </row>
    <row r="7711" spans="16:16" x14ac:dyDescent="0.25">
      <c r="P7711" s="4"/>
    </row>
    <row r="7712" spans="16:16" x14ac:dyDescent="0.25">
      <c r="P7712" s="4"/>
    </row>
    <row r="7713" spans="16:16" x14ac:dyDescent="0.25">
      <c r="P7713" s="4"/>
    </row>
    <row r="7714" spans="16:16" x14ac:dyDescent="0.25">
      <c r="P7714" s="4"/>
    </row>
    <row r="7715" spans="16:16" x14ac:dyDescent="0.25">
      <c r="P7715" s="4"/>
    </row>
    <row r="7716" spans="16:16" x14ac:dyDescent="0.25">
      <c r="P7716" s="4"/>
    </row>
    <row r="7717" spans="16:16" x14ac:dyDescent="0.25">
      <c r="P7717" s="4"/>
    </row>
    <row r="7718" spans="16:16" x14ac:dyDescent="0.25">
      <c r="P7718" s="4"/>
    </row>
    <row r="7719" spans="16:16" x14ac:dyDescent="0.25">
      <c r="P7719" s="4"/>
    </row>
    <row r="7720" spans="16:16" x14ac:dyDescent="0.25">
      <c r="P7720" s="4"/>
    </row>
    <row r="7721" spans="16:16" x14ac:dyDescent="0.25">
      <c r="P7721" s="4"/>
    </row>
    <row r="7722" spans="16:16" x14ac:dyDescent="0.25">
      <c r="P7722" s="4"/>
    </row>
    <row r="7723" spans="16:16" x14ac:dyDescent="0.25">
      <c r="P7723" s="4"/>
    </row>
    <row r="7724" spans="16:16" x14ac:dyDescent="0.25">
      <c r="P7724" s="4"/>
    </row>
    <row r="7725" spans="16:16" x14ac:dyDescent="0.25">
      <c r="P7725" s="4"/>
    </row>
    <row r="7726" spans="16:16" x14ac:dyDescent="0.25">
      <c r="P7726" s="4"/>
    </row>
    <row r="7727" spans="16:16" x14ac:dyDescent="0.25">
      <c r="P7727" s="4"/>
    </row>
    <row r="7728" spans="16:16" x14ac:dyDescent="0.25">
      <c r="P7728" s="4"/>
    </row>
    <row r="7729" spans="16:16" x14ac:dyDescent="0.25">
      <c r="P7729" s="4"/>
    </row>
    <row r="7730" spans="16:16" x14ac:dyDescent="0.25">
      <c r="P7730" s="4"/>
    </row>
    <row r="7731" spans="16:16" x14ac:dyDescent="0.25">
      <c r="P7731" s="4"/>
    </row>
    <row r="7732" spans="16:16" x14ac:dyDescent="0.25">
      <c r="P7732" s="4"/>
    </row>
    <row r="7733" spans="16:16" x14ac:dyDescent="0.25">
      <c r="P7733" s="4"/>
    </row>
    <row r="7734" spans="16:16" x14ac:dyDescent="0.25">
      <c r="P7734" s="4"/>
    </row>
    <row r="7735" spans="16:16" x14ac:dyDescent="0.25">
      <c r="P7735" s="4"/>
    </row>
    <row r="7736" spans="16:16" x14ac:dyDescent="0.25">
      <c r="P7736" s="4"/>
    </row>
    <row r="7737" spans="16:16" x14ac:dyDescent="0.25">
      <c r="P7737" s="4"/>
    </row>
    <row r="7738" spans="16:16" x14ac:dyDescent="0.25">
      <c r="P7738" s="4"/>
    </row>
    <row r="7739" spans="16:16" x14ac:dyDescent="0.25">
      <c r="P7739" s="4"/>
    </row>
    <row r="7740" spans="16:16" x14ac:dyDescent="0.25">
      <c r="P7740" s="4"/>
    </row>
    <row r="7741" spans="16:16" x14ac:dyDescent="0.25">
      <c r="P7741" s="4"/>
    </row>
    <row r="7742" spans="16:16" x14ac:dyDescent="0.25">
      <c r="P7742" s="4"/>
    </row>
    <row r="7743" spans="16:16" x14ac:dyDescent="0.25">
      <c r="P7743" s="4"/>
    </row>
    <row r="7744" spans="16:16" x14ac:dyDescent="0.25">
      <c r="P7744" s="4"/>
    </row>
    <row r="7745" spans="16:16" x14ac:dyDescent="0.25">
      <c r="P7745" s="4"/>
    </row>
    <row r="7746" spans="16:16" x14ac:dyDescent="0.25">
      <c r="P7746" s="4"/>
    </row>
    <row r="7747" spans="16:16" x14ac:dyDescent="0.25">
      <c r="P7747" s="4"/>
    </row>
    <row r="7748" spans="16:16" x14ac:dyDescent="0.25">
      <c r="P7748" s="4"/>
    </row>
    <row r="7749" spans="16:16" x14ac:dyDescent="0.25">
      <c r="P7749" s="4"/>
    </row>
    <row r="7750" spans="16:16" x14ac:dyDescent="0.25">
      <c r="P7750" s="4"/>
    </row>
    <row r="7751" spans="16:16" x14ac:dyDescent="0.25">
      <c r="P7751" s="4"/>
    </row>
    <row r="7752" spans="16:16" x14ac:dyDescent="0.25">
      <c r="P7752" s="4"/>
    </row>
    <row r="7753" spans="16:16" x14ac:dyDescent="0.25">
      <c r="P7753" s="4"/>
    </row>
    <row r="7754" spans="16:16" x14ac:dyDescent="0.25">
      <c r="P7754" s="4"/>
    </row>
    <row r="7755" spans="16:16" x14ac:dyDescent="0.25">
      <c r="P7755" s="4"/>
    </row>
    <row r="7756" spans="16:16" x14ac:dyDescent="0.25">
      <c r="P7756" s="4"/>
    </row>
    <row r="7757" spans="16:16" x14ac:dyDescent="0.25">
      <c r="P7757" s="4"/>
    </row>
    <row r="7758" spans="16:16" x14ac:dyDescent="0.25">
      <c r="P7758" s="4"/>
    </row>
    <row r="7759" spans="16:16" x14ac:dyDescent="0.25">
      <c r="P7759" s="4"/>
    </row>
    <row r="7760" spans="16:16" x14ac:dyDescent="0.25">
      <c r="P7760" s="4"/>
    </row>
    <row r="7761" spans="16:16" x14ac:dyDescent="0.25">
      <c r="P7761" s="4"/>
    </row>
    <row r="7762" spans="16:16" x14ac:dyDescent="0.25">
      <c r="P7762" s="4"/>
    </row>
    <row r="7763" spans="16:16" x14ac:dyDescent="0.25">
      <c r="P7763" s="4"/>
    </row>
    <row r="7764" spans="16:16" x14ac:dyDescent="0.25">
      <c r="P7764" s="4"/>
    </row>
    <row r="7765" spans="16:16" x14ac:dyDescent="0.25">
      <c r="P7765" s="4"/>
    </row>
    <row r="7766" spans="16:16" x14ac:dyDescent="0.25">
      <c r="P7766" s="4"/>
    </row>
    <row r="7767" spans="16:16" x14ac:dyDescent="0.25">
      <c r="P7767" s="4"/>
    </row>
    <row r="7768" spans="16:16" x14ac:dyDescent="0.25">
      <c r="P7768" s="4"/>
    </row>
    <row r="7769" spans="16:16" x14ac:dyDescent="0.25">
      <c r="P7769" s="4"/>
    </row>
    <row r="7770" spans="16:16" x14ac:dyDescent="0.25">
      <c r="P7770" s="4"/>
    </row>
    <row r="7771" spans="16:16" x14ac:dyDescent="0.25">
      <c r="P7771" s="4"/>
    </row>
    <row r="7772" spans="16:16" x14ac:dyDescent="0.25">
      <c r="P7772" s="4"/>
    </row>
    <row r="7773" spans="16:16" x14ac:dyDescent="0.25">
      <c r="P7773" s="4"/>
    </row>
    <row r="7774" spans="16:16" x14ac:dyDescent="0.25">
      <c r="P7774" s="4"/>
    </row>
    <row r="7775" spans="16:16" x14ac:dyDescent="0.25">
      <c r="P7775" s="4"/>
    </row>
    <row r="7776" spans="16:16" x14ac:dyDescent="0.25">
      <c r="P7776" s="4"/>
    </row>
    <row r="7777" spans="16:16" x14ac:dyDescent="0.25">
      <c r="P7777" s="4"/>
    </row>
    <row r="7778" spans="16:16" x14ac:dyDescent="0.25">
      <c r="P7778" s="4"/>
    </row>
    <row r="7779" spans="16:16" x14ac:dyDescent="0.25">
      <c r="P7779" s="4"/>
    </row>
    <row r="7780" spans="16:16" x14ac:dyDescent="0.25">
      <c r="P7780" s="4"/>
    </row>
    <row r="7781" spans="16:16" x14ac:dyDescent="0.25">
      <c r="P7781" s="4"/>
    </row>
    <row r="7782" spans="16:16" x14ac:dyDescent="0.25">
      <c r="P7782" s="4"/>
    </row>
    <row r="7783" spans="16:16" x14ac:dyDescent="0.25">
      <c r="P7783" s="4"/>
    </row>
    <row r="7784" spans="16:16" x14ac:dyDescent="0.25">
      <c r="P7784" s="4"/>
    </row>
    <row r="7785" spans="16:16" x14ac:dyDescent="0.25">
      <c r="P7785" s="4"/>
    </row>
    <row r="7786" spans="16:16" x14ac:dyDescent="0.25">
      <c r="P7786" s="4"/>
    </row>
    <row r="7787" spans="16:16" x14ac:dyDescent="0.25">
      <c r="P7787" s="4"/>
    </row>
    <row r="7788" spans="16:16" x14ac:dyDescent="0.25">
      <c r="P7788" s="4"/>
    </row>
    <row r="7789" spans="16:16" x14ac:dyDescent="0.25">
      <c r="P7789" s="4"/>
    </row>
    <row r="7790" spans="16:16" x14ac:dyDescent="0.25">
      <c r="P7790" s="4"/>
    </row>
    <row r="7791" spans="16:16" x14ac:dyDescent="0.25">
      <c r="P7791" s="4"/>
    </row>
    <row r="7792" spans="16:16" x14ac:dyDescent="0.25">
      <c r="P7792" s="4"/>
    </row>
    <row r="7793" spans="16:16" x14ac:dyDescent="0.25">
      <c r="P7793" s="4"/>
    </row>
    <row r="7794" spans="16:16" x14ac:dyDescent="0.25">
      <c r="P7794" s="4"/>
    </row>
    <row r="7795" spans="16:16" x14ac:dyDescent="0.25">
      <c r="P7795" s="4"/>
    </row>
    <row r="7796" spans="16:16" x14ac:dyDescent="0.25">
      <c r="P7796" s="4"/>
    </row>
    <row r="7797" spans="16:16" x14ac:dyDescent="0.25">
      <c r="P7797" s="4"/>
    </row>
    <row r="7798" spans="16:16" x14ac:dyDescent="0.25">
      <c r="P7798" s="4"/>
    </row>
    <row r="7799" spans="16:16" x14ac:dyDescent="0.25">
      <c r="P7799" s="4"/>
    </row>
    <row r="7800" spans="16:16" x14ac:dyDescent="0.25">
      <c r="P7800" s="4"/>
    </row>
    <row r="7801" spans="16:16" x14ac:dyDescent="0.25">
      <c r="P7801" s="4"/>
    </row>
    <row r="7802" spans="16:16" x14ac:dyDescent="0.25">
      <c r="P7802" s="4"/>
    </row>
    <row r="7803" spans="16:16" x14ac:dyDescent="0.25">
      <c r="P7803" s="4"/>
    </row>
    <row r="7804" spans="16:16" x14ac:dyDescent="0.25">
      <c r="P7804" s="4"/>
    </row>
    <row r="7805" spans="16:16" x14ac:dyDescent="0.25">
      <c r="P7805" s="4"/>
    </row>
    <row r="7806" spans="16:16" x14ac:dyDescent="0.25">
      <c r="P7806" s="4"/>
    </row>
    <row r="7807" spans="16:16" x14ac:dyDescent="0.25">
      <c r="P7807" s="4"/>
    </row>
    <row r="7808" spans="16:16" x14ac:dyDescent="0.25">
      <c r="P7808" s="4"/>
    </row>
    <row r="7809" spans="16:16" x14ac:dyDescent="0.25">
      <c r="P7809" s="4"/>
    </row>
    <row r="7810" spans="16:16" x14ac:dyDescent="0.25">
      <c r="P7810" s="4"/>
    </row>
    <row r="7811" spans="16:16" x14ac:dyDescent="0.25">
      <c r="P7811" s="4"/>
    </row>
    <row r="7812" spans="16:16" x14ac:dyDescent="0.25">
      <c r="P7812" s="4"/>
    </row>
    <row r="7813" spans="16:16" x14ac:dyDescent="0.25">
      <c r="P7813" s="4"/>
    </row>
    <row r="7814" spans="16:16" x14ac:dyDescent="0.25">
      <c r="P7814" s="4"/>
    </row>
    <row r="7815" spans="16:16" x14ac:dyDescent="0.25">
      <c r="P7815" s="4"/>
    </row>
    <row r="7816" spans="16:16" x14ac:dyDescent="0.25">
      <c r="P7816" s="4"/>
    </row>
    <row r="7817" spans="16:16" x14ac:dyDescent="0.25">
      <c r="P7817" s="4"/>
    </row>
    <row r="7818" spans="16:16" x14ac:dyDescent="0.25">
      <c r="P7818" s="4"/>
    </row>
    <row r="7819" spans="16:16" x14ac:dyDescent="0.25">
      <c r="P7819" s="4"/>
    </row>
    <row r="7820" spans="16:16" x14ac:dyDescent="0.25">
      <c r="P7820" s="4"/>
    </row>
    <row r="7821" spans="16:16" x14ac:dyDescent="0.25">
      <c r="P7821" s="4"/>
    </row>
    <row r="7822" spans="16:16" x14ac:dyDescent="0.25">
      <c r="P7822" s="4"/>
    </row>
    <row r="7823" spans="16:16" x14ac:dyDescent="0.25">
      <c r="P7823" s="4"/>
    </row>
    <row r="7824" spans="16:16" x14ac:dyDescent="0.25">
      <c r="P7824" s="4"/>
    </row>
    <row r="7825" spans="16:16" x14ac:dyDescent="0.25">
      <c r="P7825" s="4"/>
    </row>
    <row r="7826" spans="16:16" x14ac:dyDescent="0.25">
      <c r="P7826" s="4"/>
    </row>
    <row r="7827" spans="16:16" x14ac:dyDescent="0.25">
      <c r="P7827" s="4"/>
    </row>
    <row r="7828" spans="16:16" x14ac:dyDescent="0.25">
      <c r="P7828" s="4"/>
    </row>
    <row r="7829" spans="16:16" x14ac:dyDescent="0.25">
      <c r="P7829" s="4"/>
    </row>
    <row r="7830" spans="16:16" x14ac:dyDescent="0.25">
      <c r="P7830" s="4"/>
    </row>
    <row r="7831" spans="16:16" x14ac:dyDescent="0.25">
      <c r="P7831" s="4"/>
    </row>
    <row r="7832" spans="16:16" x14ac:dyDescent="0.25">
      <c r="P7832" s="4"/>
    </row>
    <row r="7833" spans="16:16" x14ac:dyDescent="0.25">
      <c r="P7833" s="4"/>
    </row>
    <row r="7834" spans="16:16" x14ac:dyDescent="0.25">
      <c r="P7834" s="4"/>
    </row>
    <row r="7835" spans="16:16" x14ac:dyDescent="0.25">
      <c r="P7835" s="4"/>
    </row>
    <row r="7836" spans="16:16" x14ac:dyDescent="0.25">
      <c r="P7836" s="4"/>
    </row>
    <row r="7837" spans="16:16" x14ac:dyDescent="0.25">
      <c r="P7837" s="4"/>
    </row>
    <row r="7838" spans="16:16" x14ac:dyDescent="0.25">
      <c r="P7838" s="4"/>
    </row>
    <row r="7839" spans="16:16" x14ac:dyDescent="0.25">
      <c r="P7839" s="4"/>
    </row>
    <row r="7840" spans="16:16" x14ac:dyDescent="0.25">
      <c r="P7840" s="4"/>
    </row>
    <row r="7841" spans="16:16" x14ac:dyDescent="0.25">
      <c r="P7841" s="4"/>
    </row>
    <row r="7842" spans="16:16" x14ac:dyDescent="0.25">
      <c r="P7842" s="4"/>
    </row>
    <row r="7843" spans="16:16" x14ac:dyDescent="0.25">
      <c r="P7843" s="4"/>
    </row>
    <row r="7844" spans="16:16" x14ac:dyDescent="0.25">
      <c r="P7844" s="4"/>
    </row>
    <row r="7845" spans="16:16" x14ac:dyDescent="0.25">
      <c r="P7845" s="4"/>
    </row>
    <row r="7846" spans="16:16" x14ac:dyDescent="0.25">
      <c r="P7846" s="4"/>
    </row>
    <row r="7847" spans="16:16" x14ac:dyDescent="0.25">
      <c r="P7847" s="4"/>
    </row>
    <row r="7848" spans="16:16" x14ac:dyDescent="0.25">
      <c r="P7848" s="4"/>
    </row>
    <row r="7849" spans="16:16" x14ac:dyDescent="0.25">
      <c r="P7849" s="4"/>
    </row>
    <row r="7850" spans="16:16" x14ac:dyDescent="0.25">
      <c r="P7850" s="4"/>
    </row>
    <row r="7851" spans="16:16" x14ac:dyDescent="0.25">
      <c r="P7851" s="4"/>
    </row>
    <row r="7852" spans="16:16" x14ac:dyDescent="0.25">
      <c r="P7852" s="4"/>
    </row>
    <row r="7853" spans="16:16" x14ac:dyDescent="0.25">
      <c r="P7853" s="4"/>
    </row>
    <row r="7854" spans="16:16" x14ac:dyDescent="0.25">
      <c r="P7854" s="4"/>
    </row>
    <row r="7855" spans="16:16" x14ac:dyDescent="0.25">
      <c r="P7855" s="4"/>
    </row>
    <row r="7856" spans="16:16" x14ac:dyDescent="0.25">
      <c r="P7856" s="4"/>
    </row>
    <row r="7857" spans="16:16" x14ac:dyDescent="0.25">
      <c r="P7857" s="4"/>
    </row>
    <row r="7858" spans="16:16" x14ac:dyDescent="0.25">
      <c r="P7858" s="4"/>
    </row>
    <row r="7859" spans="16:16" x14ac:dyDescent="0.25">
      <c r="P7859" s="4"/>
    </row>
    <row r="7860" spans="16:16" x14ac:dyDescent="0.25">
      <c r="P7860" s="4"/>
    </row>
    <row r="7861" spans="16:16" x14ac:dyDescent="0.25">
      <c r="P7861" s="4"/>
    </row>
    <row r="7862" spans="16:16" x14ac:dyDescent="0.25">
      <c r="P7862" s="4"/>
    </row>
    <row r="7863" spans="16:16" x14ac:dyDescent="0.25">
      <c r="P7863" s="4"/>
    </row>
    <row r="7864" spans="16:16" x14ac:dyDescent="0.25">
      <c r="P7864" s="4"/>
    </row>
    <row r="7865" spans="16:16" x14ac:dyDescent="0.25">
      <c r="P7865" s="4"/>
    </row>
    <row r="7866" spans="16:16" x14ac:dyDescent="0.25">
      <c r="P7866" s="4"/>
    </row>
    <row r="7867" spans="16:16" x14ac:dyDescent="0.25">
      <c r="P7867" s="4"/>
    </row>
    <row r="7868" spans="16:16" x14ac:dyDescent="0.25">
      <c r="P7868" s="4"/>
    </row>
    <row r="7869" spans="16:16" x14ac:dyDescent="0.25">
      <c r="P7869" s="4"/>
    </row>
    <row r="7870" spans="16:16" x14ac:dyDescent="0.25">
      <c r="P7870" s="4"/>
    </row>
    <row r="7871" spans="16:16" x14ac:dyDescent="0.25">
      <c r="P7871" s="4"/>
    </row>
    <row r="7872" spans="16:16" x14ac:dyDescent="0.25">
      <c r="P7872" s="4"/>
    </row>
    <row r="7873" spans="16:16" x14ac:dyDescent="0.25">
      <c r="P7873" s="4"/>
    </row>
    <row r="7874" spans="16:16" x14ac:dyDescent="0.25">
      <c r="P7874" s="4"/>
    </row>
    <row r="7875" spans="16:16" x14ac:dyDescent="0.25">
      <c r="P7875" s="4"/>
    </row>
    <row r="7876" spans="16:16" x14ac:dyDescent="0.25">
      <c r="P7876" s="4"/>
    </row>
    <row r="7877" spans="16:16" x14ac:dyDescent="0.25">
      <c r="P7877" s="4"/>
    </row>
    <row r="7878" spans="16:16" x14ac:dyDescent="0.25">
      <c r="P7878" s="4"/>
    </row>
    <row r="7879" spans="16:16" x14ac:dyDescent="0.25">
      <c r="P7879" s="4"/>
    </row>
    <row r="7880" spans="16:16" x14ac:dyDescent="0.25">
      <c r="P7880" s="4"/>
    </row>
    <row r="7881" spans="16:16" x14ac:dyDescent="0.25">
      <c r="P7881" s="4"/>
    </row>
    <row r="7882" spans="16:16" x14ac:dyDescent="0.25">
      <c r="P7882" s="4"/>
    </row>
    <row r="7883" spans="16:16" x14ac:dyDescent="0.25">
      <c r="P7883" s="4"/>
    </row>
    <row r="7884" spans="16:16" x14ac:dyDescent="0.25">
      <c r="P7884" s="4"/>
    </row>
    <row r="7885" spans="16:16" x14ac:dyDescent="0.25">
      <c r="P7885" s="4"/>
    </row>
    <row r="7886" spans="16:16" x14ac:dyDescent="0.25">
      <c r="P7886" s="4"/>
    </row>
    <row r="7887" spans="16:16" x14ac:dyDescent="0.25">
      <c r="P7887" s="4"/>
    </row>
    <row r="7888" spans="16:16" x14ac:dyDescent="0.25">
      <c r="P7888" s="4"/>
    </row>
    <row r="7889" spans="16:16" x14ac:dyDescent="0.25">
      <c r="P7889" s="4"/>
    </row>
    <row r="7890" spans="16:16" x14ac:dyDescent="0.25">
      <c r="P7890" s="4"/>
    </row>
    <row r="7891" spans="16:16" x14ac:dyDescent="0.25">
      <c r="P7891" s="4"/>
    </row>
    <row r="7892" spans="16:16" x14ac:dyDescent="0.25">
      <c r="P7892" s="4"/>
    </row>
    <row r="7893" spans="16:16" x14ac:dyDescent="0.25">
      <c r="P7893" s="4"/>
    </row>
    <row r="7894" spans="16:16" x14ac:dyDescent="0.25">
      <c r="P7894" s="4"/>
    </row>
    <row r="7895" spans="16:16" x14ac:dyDescent="0.25">
      <c r="P7895" s="4"/>
    </row>
    <row r="7896" spans="16:16" x14ac:dyDescent="0.25">
      <c r="P7896" s="4"/>
    </row>
    <row r="7897" spans="16:16" x14ac:dyDescent="0.25">
      <c r="P7897" s="4"/>
    </row>
    <row r="7898" spans="16:16" x14ac:dyDescent="0.25">
      <c r="P7898" s="4"/>
    </row>
    <row r="7899" spans="16:16" x14ac:dyDescent="0.25">
      <c r="P7899" s="4"/>
    </row>
    <row r="7900" spans="16:16" x14ac:dyDescent="0.25">
      <c r="P7900" s="4"/>
    </row>
    <row r="7901" spans="16:16" x14ac:dyDescent="0.25">
      <c r="P7901" s="4"/>
    </row>
    <row r="7902" spans="16:16" x14ac:dyDescent="0.25">
      <c r="P7902" s="4"/>
    </row>
    <row r="7903" spans="16:16" x14ac:dyDescent="0.25">
      <c r="P7903" s="4"/>
    </row>
    <row r="7904" spans="16:16" x14ac:dyDescent="0.25">
      <c r="P7904" s="4"/>
    </row>
    <row r="7905" spans="16:16" x14ac:dyDescent="0.25">
      <c r="P7905" s="4"/>
    </row>
    <row r="7906" spans="16:16" x14ac:dyDescent="0.25">
      <c r="P7906" s="4"/>
    </row>
    <row r="7907" spans="16:16" x14ac:dyDescent="0.25">
      <c r="P7907" s="4"/>
    </row>
    <row r="7908" spans="16:16" x14ac:dyDescent="0.25">
      <c r="P7908" s="4"/>
    </row>
    <row r="7909" spans="16:16" x14ac:dyDescent="0.25">
      <c r="P7909" s="4"/>
    </row>
    <row r="7910" spans="16:16" x14ac:dyDescent="0.25">
      <c r="P7910" s="4"/>
    </row>
    <row r="7911" spans="16:16" x14ac:dyDescent="0.25">
      <c r="P7911" s="4"/>
    </row>
    <row r="7912" spans="16:16" x14ac:dyDescent="0.25">
      <c r="P7912" s="4"/>
    </row>
    <row r="7913" spans="16:16" x14ac:dyDescent="0.25">
      <c r="P7913" s="4"/>
    </row>
    <row r="7914" spans="16:16" x14ac:dyDescent="0.25">
      <c r="P7914" s="4"/>
    </row>
    <row r="7915" spans="16:16" x14ac:dyDescent="0.25">
      <c r="P7915" s="4"/>
    </row>
    <row r="7916" spans="16:16" x14ac:dyDescent="0.25">
      <c r="P7916" s="4"/>
    </row>
    <row r="7917" spans="16:16" x14ac:dyDescent="0.25">
      <c r="P7917" s="4"/>
    </row>
    <row r="7918" spans="16:16" x14ac:dyDescent="0.25">
      <c r="P7918" s="4"/>
    </row>
    <row r="7919" spans="16:16" x14ac:dyDescent="0.25">
      <c r="P7919" s="4"/>
    </row>
    <row r="7920" spans="16:16" x14ac:dyDescent="0.25">
      <c r="P7920" s="4"/>
    </row>
    <row r="7921" spans="16:16" x14ac:dyDescent="0.25">
      <c r="P7921" s="4"/>
    </row>
    <row r="7922" spans="16:16" x14ac:dyDescent="0.25">
      <c r="P7922" s="4"/>
    </row>
    <row r="7923" spans="16:16" x14ac:dyDescent="0.25">
      <c r="P7923" s="4"/>
    </row>
    <row r="7924" spans="16:16" x14ac:dyDescent="0.25">
      <c r="P7924" s="4"/>
    </row>
    <row r="7925" spans="16:16" x14ac:dyDescent="0.25">
      <c r="P7925" s="4"/>
    </row>
    <row r="7926" spans="16:16" x14ac:dyDescent="0.25">
      <c r="P7926" s="4"/>
    </row>
    <row r="7927" spans="16:16" x14ac:dyDescent="0.25">
      <c r="P7927" s="4"/>
    </row>
    <row r="7928" spans="16:16" x14ac:dyDescent="0.25">
      <c r="P7928" s="4"/>
    </row>
    <row r="7929" spans="16:16" x14ac:dyDescent="0.25">
      <c r="P7929" s="4"/>
    </row>
    <row r="7930" spans="16:16" x14ac:dyDescent="0.25">
      <c r="P7930" s="4"/>
    </row>
    <row r="7931" spans="16:16" x14ac:dyDescent="0.25">
      <c r="P7931" s="4"/>
    </row>
    <row r="7932" spans="16:16" x14ac:dyDescent="0.25">
      <c r="P7932" s="4"/>
    </row>
    <row r="7933" spans="16:16" x14ac:dyDescent="0.25">
      <c r="P7933" s="4"/>
    </row>
    <row r="7934" spans="16:16" x14ac:dyDescent="0.25">
      <c r="P7934" s="4"/>
    </row>
    <row r="7935" spans="16:16" x14ac:dyDescent="0.25">
      <c r="P7935" s="4"/>
    </row>
    <row r="7936" spans="16:16" x14ac:dyDescent="0.25">
      <c r="P7936" s="4"/>
    </row>
    <row r="7937" spans="16:16" x14ac:dyDescent="0.25">
      <c r="P7937" s="4"/>
    </row>
    <row r="7938" spans="16:16" x14ac:dyDescent="0.25">
      <c r="P7938" s="4"/>
    </row>
    <row r="7939" spans="16:16" x14ac:dyDescent="0.25">
      <c r="P7939" s="4"/>
    </row>
    <row r="7940" spans="16:16" x14ac:dyDescent="0.25">
      <c r="P7940" s="4"/>
    </row>
    <row r="7941" spans="16:16" x14ac:dyDescent="0.25">
      <c r="P7941" s="4"/>
    </row>
    <row r="7942" spans="16:16" x14ac:dyDescent="0.25">
      <c r="P7942" s="4"/>
    </row>
    <row r="7943" spans="16:16" x14ac:dyDescent="0.25">
      <c r="P7943" s="4"/>
    </row>
    <row r="7944" spans="16:16" x14ac:dyDescent="0.25">
      <c r="P7944" s="4"/>
    </row>
    <row r="7945" spans="16:16" x14ac:dyDescent="0.25">
      <c r="P7945" s="4"/>
    </row>
    <row r="7946" spans="16:16" x14ac:dyDescent="0.25">
      <c r="P7946" s="4"/>
    </row>
    <row r="7947" spans="16:16" x14ac:dyDescent="0.25">
      <c r="P7947" s="4"/>
    </row>
    <row r="7948" spans="16:16" x14ac:dyDescent="0.25">
      <c r="P7948" s="4"/>
    </row>
    <row r="7949" spans="16:16" x14ac:dyDescent="0.25">
      <c r="P7949" s="4"/>
    </row>
    <row r="7950" spans="16:16" x14ac:dyDescent="0.25">
      <c r="P7950" s="4"/>
    </row>
    <row r="7951" spans="16:16" x14ac:dyDescent="0.25">
      <c r="P7951" s="4"/>
    </row>
    <row r="7952" spans="16:16" x14ac:dyDescent="0.25">
      <c r="P7952" s="4"/>
    </row>
    <row r="7953" spans="16:16" x14ac:dyDescent="0.25">
      <c r="P7953" s="4"/>
    </row>
    <row r="7954" spans="16:16" x14ac:dyDescent="0.25">
      <c r="P7954" s="4"/>
    </row>
    <row r="7955" spans="16:16" x14ac:dyDescent="0.25">
      <c r="P7955" s="4"/>
    </row>
    <row r="7956" spans="16:16" x14ac:dyDescent="0.25">
      <c r="P7956" s="4"/>
    </row>
    <row r="7957" spans="16:16" x14ac:dyDescent="0.25">
      <c r="P7957" s="4"/>
    </row>
    <row r="7958" spans="16:16" x14ac:dyDescent="0.25">
      <c r="P7958" s="4"/>
    </row>
    <row r="7959" spans="16:16" x14ac:dyDescent="0.25">
      <c r="P7959" s="4"/>
    </row>
    <row r="7960" spans="16:16" x14ac:dyDescent="0.25">
      <c r="P7960" s="4"/>
    </row>
    <row r="7961" spans="16:16" x14ac:dyDescent="0.25">
      <c r="P7961" s="4"/>
    </row>
    <row r="7962" spans="16:16" x14ac:dyDescent="0.25">
      <c r="P7962" s="4"/>
    </row>
    <row r="7963" spans="16:16" x14ac:dyDescent="0.25">
      <c r="P7963" s="4"/>
    </row>
    <row r="7964" spans="16:16" x14ac:dyDescent="0.25">
      <c r="P7964" s="4"/>
    </row>
    <row r="7965" spans="16:16" x14ac:dyDescent="0.25">
      <c r="P7965" s="4"/>
    </row>
    <row r="7966" spans="16:16" x14ac:dyDescent="0.25">
      <c r="P7966" s="4"/>
    </row>
    <row r="7967" spans="16:16" x14ac:dyDescent="0.25">
      <c r="P7967" s="4"/>
    </row>
    <row r="7968" spans="16:16" x14ac:dyDescent="0.25">
      <c r="P7968" s="4"/>
    </row>
    <row r="7969" spans="16:16" x14ac:dyDescent="0.25">
      <c r="P7969" s="4"/>
    </row>
    <row r="7970" spans="16:16" x14ac:dyDescent="0.25">
      <c r="P7970" s="4"/>
    </row>
    <row r="7971" spans="16:16" x14ac:dyDescent="0.25">
      <c r="P7971" s="4"/>
    </row>
    <row r="7972" spans="16:16" x14ac:dyDescent="0.25">
      <c r="P7972" s="4"/>
    </row>
    <row r="7973" spans="16:16" x14ac:dyDescent="0.25">
      <c r="P7973" s="4"/>
    </row>
    <row r="7974" spans="16:16" x14ac:dyDescent="0.25">
      <c r="P7974" s="4"/>
    </row>
    <row r="7975" spans="16:16" x14ac:dyDescent="0.25">
      <c r="P7975" s="4"/>
    </row>
    <row r="7976" spans="16:16" x14ac:dyDescent="0.25">
      <c r="P7976" s="4"/>
    </row>
    <row r="7977" spans="16:16" x14ac:dyDescent="0.25">
      <c r="P7977" s="4"/>
    </row>
    <row r="7978" spans="16:16" x14ac:dyDescent="0.25">
      <c r="P7978" s="4"/>
    </row>
    <row r="7979" spans="16:16" x14ac:dyDescent="0.25">
      <c r="P7979" s="4"/>
    </row>
    <row r="7980" spans="16:16" x14ac:dyDescent="0.25">
      <c r="P7980" s="4"/>
    </row>
    <row r="7981" spans="16:16" x14ac:dyDescent="0.25">
      <c r="P7981" s="4"/>
    </row>
    <row r="7982" spans="16:16" x14ac:dyDescent="0.25">
      <c r="P7982" s="4"/>
    </row>
    <row r="7983" spans="16:16" x14ac:dyDescent="0.25">
      <c r="P7983" s="4"/>
    </row>
    <row r="7984" spans="16:16" x14ac:dyDescent="0.25">
      <c r="P7984" s="4"/>
    </row>
    <row r="7985" spans="16:16" x14ac:dyDescent="0.25">
      <c r="P7985" s="4"/>
    </row>
    <row r="7986" spans="16:16" x14ac:dyDescent="0.25">
      <c r="P7986" s="4"/>
    </row>
    <row r="7987" spans="16:16" x14ac:dyDescent="0.25">
      <c r="P7987" s="4"/>
    </row>
    <row r="7988" spans="16:16" x14ac:dyDescent="0.25">
      <c r="P7988" s="4"/>
    </row>
    <row r="7989" spans="16:16" x14ac:dyDescent="0.25">
      <c r="P7989" s="4"/>
    </row>
    <row r="7990" spans="16:16" x14ac:dyDescent="0.25">
      <c r="P7990" s="4"/>
    </row>
    <row r="7991" spans="16:16" x14ac:dyDescent="0.25">
      <c r="P7991" s="4"/>
    </row>
    <row r="7992" spans="16:16" x14ac:dyDescent="0.25">
      <c r="P7992" s="4"/>
    </row>
    <row r="7993" spans="16:16" x14ac:dyDescent="0.25">
      <c r="P7993" s="4"/>
    </row>
    <row r="7994" spans="16:16" x14ac:dyDescent="0.25">
      <c r="P7994" s="4"/>
    </row>
    <row r="7995" spans="16:16" x14ac:dyDescent="0.25">
      <c r="P7995" s="4"/>
    </row>
    <row r="7996" spans="16:16" x14ac:dyDescent="0.25">
      <c r="P7996" s="4"/>
    </row>
    <row r="7997" spans="16:16" x14ac:dyDescent="0.25">
      <c r="P7997" s="4"/>
    </row>
    <row r="7998" spans="16:16" x14ac:dyDescent="0.25">
      <c r="P7998" s="4"/>
    </row>
    <row r="7999" spans="16:16" x14ac:dyDescent="0.25">
      <c r="P7999" s="4"/>
    </row>
    <row r="8000" spans="16:16" x14ac:dyDescent="0.25">
      <c r="P8000" s="4"/>
    </row>
    <row r="8001" spans="16:16" x14ac:dyDescent="0.25">
      <c r="P8001" s="4"/>
    </row>
    <row r="8002" spans="16:16" x14ac:dyDescent="0.25">
      <c r="P8002" s="4"/>
    </row>
    <row r="8003" spans="16:16" x14ac:dyDescent="0.25">
      <c r="P8003" s="4"/>
    </row>
    <row r="8004" spans="16:16" x14ac:dyDescent="0.25">
      <c r="P8004" s="4"/>
    </row>
    <row r="8005" spans="16:16" x14ac:dyDescent="0.25">
      <c r="P8005" s="4"/>
    </row>
    <row r="8006" spans="16:16" x14ac:dyDescent="0.25">
      <c r="P8006" s="4"/>
    </row>
    <row r="8007" spans="16:16" x14ac:dyDescent="0.25">
      <c r="P8007" s="4"/>
    </row>
    <row r="8008" spans="16:16" x14ac:dyDescent="0.25">
      <c r="P8008" s="4"/>
    </row>
    <row r="8009" spans="16:16" x14ac:dyDescent="0.25">
      <c r="P8009" s="4"/>
    </row>
    <row r="8010" spans="16:16" x14ac:dyDescent="0.25">
      <c r="P8010" s="4"/>
    </row>
    <row r="8011" spans="16:16" x14ac:dyDescent="0.25">
      <c r="P8011" s="4"/>
    </row>
    <row r="8012" spans="16:16" x14ac:dyDescent="0.25">
      <c r="P8012" s="4"/>
    </row>
    <row r="8013" spans="16:16" x14ac:dyDescent="0.25">
      <c r="P8013" s="4"/>
    </row>
    <row r="8014" spans="16:16" x14ac:dyDescent="0.25">
      <c r="P8014" s="4"/>
    </row>
    <row r="8015" spans="16:16" x14ac:dyDescent="0.25">
      <c r="P8015" s="4"/>
    </row>
    <row r="8016" spans="16:16" x14ac:dyDescent="0.25">
      <c r="P8016" s="4"/>
    </row>
    <row r="8017" spans="16:16" x14ac:dyDescent="0.25">
      <c r="P8017" s="4"/>
    </row>
    <row r="8018" spans="16:16" x14ac:dyDescent="0.25">
      <c r="P8018" s="4"/>
    </row>
    <row r="8019" spans="16:16" x14ac:dyDescent="0.25">
      <c r="P8019" s="4"/>
    </row>
    <row r="8020" spans="16:16" x14ac:dyDescent="0.25">
      <c r="P8020" s="4"/>
    </row>
    <row r="8021" spans="16:16" x14ac:dyDescent="0.25">
      <c r="P8021" s="4"/>
    </row>
    <row r="8022" spans="16:16" x14ac:dyDescent="0.25">
      <c r="P8022" s="4"/>
    </row>
    <row r="8023" spans="16:16" x14ac:dyDescent="0.25">
      <c r="P8023" s="4"/>
    </row>
    <row r="8024" spans="16:16" x14ac:dyDescent="0.25">
      <c r="P8024" s="4"/>
    </row>
    <row r="8025" spans="16:16" x14ac:dyDescent="0.25">
      <c r="P8025" s="4"/>
    </row>
    <row r="8026" spans="16:16" x14ac:dyDescent="0.25">
      <c r="P8026" s="4"/>
    </row>
    <row r="8027" spans="16:16" x14ac:dyDescent="0.25">
      <c r="P8027" s="4"/>
    </row>
    <row r="8028" spans="16:16" x14ac:dyDescent="0.25">
      <c r="P8028" s="4"/>
    </row>
    <row r="8029" spans="16:16" x14ac:dyDescent="0.25">
      <c r="P8029" s="4"/>
    </row>
    <row r="8030" spans="16:16" x14ac:dyDescent="0.25">
      <c r="P8030" s="4"/>
    </row>
    <row r="8031" spans="16:16" x14ac:dyDescent="0.25">
      <c r="P8031" s="4"/>
    </row>
    <row r="8032" spans="16:16" x14ac:dyDescent="0.25">
      <c r="P8032" s="4"/>
    </row>
    <row r="8033" spans="16:16" x14ac:dyDescent="0.25">
      <c r="P8033" s="4"/>
    </row>
    <row r="8034" spans="16:16" x14ac:dyDescent="0.25">
      <c r="P8034" s="4"/>
    </row>
    <row r="8035" spans="16:16" x14ac:dyDescent="0.25">
      <c r="P8035" s="4"/>
    </row>
    <row r="8036" spans="16:16" x14ac:dyDescent="0.25">
      <c r="P8036" s="4"/>
    </row>
    <row r="8037" spans="16:16" x14ac:dyDescent="0.25">
      <c r="P8037" s="4"/>
    </row>
    <row r="8038" spans="16:16" x14ac:dyDescent="0.25">
      <c r="P8038" s="4"/>
    </row>
    <row r="8039" spans="16:16" x14ac:dyDescent="0.25">
      <c r="P8039" s="4"/>
    </row>
    <row r="8040" spans="16:16" x14ac:dyDescent="0.25">
      <c r="P8040" s="4"/>
    </row>
    <row r="8041" spans="16:16" x14ac:dyDescent="0.25">
      <c r="P8041" s="4"/>
    </row>
    <row r="8042" spans="16:16" x14ac:dyDescent="0.25">
      <c r="P8042" s="4"/>
    </row>
    <row r="8043" spans="16:16" x14ac:dyDescent="0.25">
      <c r="P8043" s="4"/>
    </row>
    <row r="8044" spans="16:16" x14ac:dyDescent="0.25">
      <c r="P8044" s="4"/>
    </row>
    <row r="8045" spans="16:16" x14ac:dyDescent="0.25">
      <c r="P8045" s="4"/>
    </row>
    <row r="8046" spans="16:16" x14ac:dyDescent="0.25">
      <c r="P8046" s="4"/>
    </row>
    <row r="8047" spans="16:16" x14ac:dyDescent="0.25">
      <c r="P8047" s="4"/>
    </row>
    <row r="8048" spans="16:16" x14ac:dyDescent="0.25">
      <c r="P8048" s="4"/>
    </row>
    <row r="8049" spans="16:16" x14ac:dyDescent="0.25">
      <c r="P8049" s="4"/>
    </row>
    <row r="8050" spans="16:16" x14ac:dyDescent="0.25">
      <c r="P8050" s="4"/>
    </row>
    <row r="8051" spans="16:16" x14ac:dyDescent="0.25">
      <c r="P8051" s="4"/>
    </row>
    <row r="8052" spans="16:16" x14ac:dyDescent="0.25">
      <c r="P8052" s="4"/>
    </row>
    <row r="8053" spans="16:16" x14ac:dyDescent="0.25">
      <c r="P8053" s="4"/>
    </row>
    <row r="8054" spans="16:16" x14ac:dyDescent="0.25">
      <c r="P8054" s="4"/>
    </row>
    <row r="8055" spans="16:16" x14ac:dyDescent="0.25">
      <c r="P8055" s="4"/>
    </row>
    <row r="8056" spans="16:16" x14ac:dyDescent="0.25">
      <c r="P8056" s="4"/>
    </row>
    <row r="8057" spans="16:16" x14ac:dyDescent="0.25">
      <c r="P8057" s="4"/>
    </row>
    <row r="8058" spans="16:16" x14ac:dyDescent="0.25">
      <c r="P8058" s="4"/>
    </row>
    <row r="8059" spans="16:16" x14ac:dyDescent="0.25">
      <c r="P8059" s="4"/>
    </row>
    <row r="8060" spans="16:16" x14ac:dyDescent="0.25">
      <c r="P8060" s="4"/>
    </row>
    <row r="8061" spans="16:16" x14ac:dyDescent="0.25">
      <c r="P8061" s="4"/>
    </row>
    <row r="8062" spans="16:16" x14ac:dyDescent="0.25">
      <c r="P8062" s="4"/>
    </row>
    <row r="8063" spans="16:16" x14ac:dyDescent="0.25">
      <c r="P8063" s="4"/>
    </row>
    <row r="8064" spans="16:16" x14ac:dyDescent="0.25">
      <c r="P8064" s="4"/>
    </row>
    <row r="8065" spans="16:16" x14ac:dyDescent="0.25">
      <c r="P8065" s="4"/>
    </row>
    <row r="8066" spans="16:16" x14ac:dyDescent="0.25">
      <c r="P8066" s="4"/>
    </row>
    <row r="8067" spans="16:16" x14ac:dyDescent="0.25">
      <c r="P8067" s="4"/>
    </row>
    <row r="8068" spans="16:16" x14ac:dyDescent="0.25">
      <c r="P8068" s="4"/>
    </row>
    <row r="8069" spans="16:16" x14ac:dyDescent="0.25">
      <c r="P8069" s="4"/>
    </row>
    <row r="8070" spans="16:16" x14ac:dyDescent="0.25">
      <c r="P8070" s="4"/>
    </row>
    <row r="8071" spans="16:16" x14ac:dyDescent="0.25">
      <c r="P8071" s="4"/>
    </row>
    <row r="8072" spans="16:16" x14ac:dyDescent="0.25">
      <c r="P8072" s="4"/>
    </row>
    <row r="8073" spans="16:16" x14ac:dyDescent="0.25">
      <c r="P8073" s="4"/>
    </row>
    <row r="8074" spans="16:16" x14ac:dyDescent="0.25">
      <c r="P8074" s="4"/>
    </row>
    <row r="8075" spans="16:16" x14ac:dyDescent="0.25">
      <c r="P8075" s="4"/>
    </row>
    <row r="8076" spans="16:16" x14ac:dyDescent="0.25">
      <c r="P8076" s="4"/>
    </row>
    <row r="8077" spans="16:16" x14ac:dyDescent="0.25">
      <c r="P8077" s="4"/>
    </row>
    <row r="8078" spans="16:16" x14ac:dyDescent="0.25">
      <c r="P8078" s="4"/>
    </row>
    <row r="8079" spans="16:16" x14ac:dyDescent="0.25">
      <c r="P8079" s="4"/>
    </row>
    <row r="8080" spans="16:16" x14ac:dyDescent="0.25">
      <c r="P8080" s="4"/>
    </row>
    <row r="8081" spans="16:16" x14ac:dyDescent="0.25">
      <c r="P8081" s="4"/>
    </row>
    <row r="8082" spans="16:16" x14ac:dyDescent="0.25">
      <c r="P8082" s="4"/>
    </row>
    <row r="8083" spans="16:16" x14ac:dyDescent="0.25">
      <c r="P8083" s="4"/>
    </row>
    <row r="8084" spans="16:16" x14ac:dyDescent="0.25">
      <c r="P8084" s="4"/>
    </row>
    <row r="8085" spans="16:16" x14ac:dyDescent="0.25">
      <c r="P8085" s="4"/>
    </row>
    <row r="8086" spans="16:16" x14ac:dyDescent="0.25">
      <c r="P8086" s="4"/>
    </row>
    <row r="8087" spans="16:16" x14ac:dyDescent="0.25">
      <c r="P8087" s="4"/>
    </row>
    <row r="8088" spans="16:16" x14ac:dyDescent="0.25">
      <c r="P8088" s="4"/>
    </row>
    <row r="8089" spans="16:16" x14ac:dyDescent="0.25">
      <c r="P8089" s="4"/>
    </row>
    <row r="8090" spans="16:16" x14ac:dyDescent="0.25">
      <c r="P8090" s="4"/>
    </row>
    <row r="8091" spans="16:16" x14ac:dyDescent="0.25">
      <c r="P8091" s="4"/>
    </row>
    <row r="8092" spans="16:16" x14ac:dyDescent="0.25">
      <c r="P8092" s="4"/>
    </row>
    <row r="8093" spans="16:16" x14ac:dyDescent="0.25">
      <c r="P8093" s="4"/>
    </row>
    <row r="8094" spans="16:16" x14ac:dyDescent="0.25">
      <c r="P8094" s="4"/>
    </row>
    <row r="8095" spans="16:16" x14ac:dyDescent="0.25">
      <c r="P8095" s="4"/>
    </row>
    <row r="8096" spans="16:16" x14ac:dyDescent="0.25">
      <c r="P8096" s="4"/>
    </row>
    <row r="8097" spans="16:16" x14ac:dyDescent="0.25">
      <c r="P8097" s="4"/>
    </row>
    <row r="8098" spans="16:16" x14ac:dyDescent="0.25">
      <c r="P8098" s="4"/>
    </row>
    <row r="8099" spans="16:16" x14ac:dyDescent="0.25">
      <c r="P8099" s="4"/>
    </row>
    <row r="8100" spans="16:16" x14ac:dyDescent="0.25">
      <c r="P8100" s="4"/>
    </row>
    <row r="8101" spans="16:16" x14ac:dyDescent="0.25">
      <c r="P8101" s="4"/>
    </row>
    <row r="8102" spans="16:16" x14ac:dyDescent="0.25">
      <c r="P8102" s="4"/>
    </row>
    <row r="8103" spans="16:16" x14ac:dyDescent="0.25">
      <c r="P8103" s="4"/>
    </row>
    <row r="8104" spans="16:16" x14ac:dyDescent="0.25">
      <c r="P8104" s="4"/>
    </row>
    <row r="8105" spans="16:16" x14ac:dyDescent="0.25">
      <c r="P8105" s="4"/>
    </row>
    <row r="8106" spans="16:16" x14ac:dyDescent="0.25">
      <c r="P8106" s="4"/>
    </row>
    <row r="8107" spans="16:16" x14ac:dyDescent="0.25">
      <c r="P8107" s="4"/>
    </row>
    <row r="8108" spans="16:16" x14ac:dyDescent="0.25">
      <c r="P8108" s="4"/>
    </row>
    <row r="8109" spans="16:16" x14ac:dyDescent="0.25">
      <c r="P8109" s="4"/>
    </row>
    <row r="8110" spans="16:16" x14ac:dyDescent="0.25">
      <c r="P8110" s="4"/>
    </row>
    <row r="8111" spans="16:16" x14ac:dyDescent="0.25">
      <c r="P8111" s="4"/>
    </row>
    <row r="8112" spans="16:16" x14ac:dyDescent="0.25">
      <c r="P8112" s="4"/>
    </row>
    <row r="8113" spans="16:16" x14ac:dyDescent="0.25">
      <c r="P8113" s="4"/>
    </row>
    <row r="8114" spans="16:16" x14ac:dyDescent="0.25">
      <c r="P8114" s="4"/>
    </row>
    <row r="8115" spans="16:16" x14ac:dyDescent="0.25">
      <c r="P8115" s="4"/>
    </row>
    <row r="8116" spans="16:16" x14ac:dyDescent="0.25">
      <c r="P8116" s="4"/>
    </row>
    <row r="8117" spans="16:16" x14ac:dyDescent="0.25">
      <c r="P8117" s="4"/>
    </row>
    <row r="8118" spans="16:16" x14ac:dyDescent="0.25">
      <c r="P8118" s="4"/>
    </row>
    <row r="8119" spans="16:16" x14ac:dyDescent="0.25">
      <c r="P8119" s="4"/>
    </row>
    <row r="8120" spans="16:16" x14ac:dyDescent="0.25">
      <c r="P8120" s="4"/>
    </row>
    <row r="8121" spans="16:16" x14ac:dyDescent="0.25">
      <c r="P8121" s="4"/>
    </row>
    <row r="8122" spans="16:16" x14ac:dyDescent="0.25">
      <c r="P8122" s="4"/>
    </row>
    <row r="8123" spans="16:16" x14ac:dyDescent="0.25">
      <c r="P8123" s="4"/>
    </row>
    <row r="8124" spans="16:16" x14ac:dyDescent="0.25">
      <c r="P8124" s="4"/>
    </row>
    <row r="8125" spans="16:16" x14ac:dyDescent="0.25">
      <c r="P8125" s="4"/>
    </row>
    <row r="8126" spans="16:16" x14ac:dyDescent="0.25">
      <c r="P8126" s="4"/>
    </row>
    <row r="8127" spans="16:16" x14ac:dyDescent="0.25">
      <c r="P8127" s="4"/>
    </row>
    <row r="8128" spans="16:16" x14ac:dyDescent="0.25">
      <c r="P8128" s="4"/>
    </row>
    <row r="8129" spans="16:16" x14ac:dyDescent="0.25">
      <c r="P8129" s="4"/>
    </row>
    <row r="8130" spans="16:16" x14ac:dyDescent="0.25">
      <c r="P8130" s="4"/>
    </row>
    <row r="8131" spans="16:16" x14ac:dyDescent="0.25">
      <c r="P8131" s="4"/>
    </row>
    <row r="8132" spans="16:16" x14ac:dyDescent="0.25">
      <c r="P8132" s="4"/>
    </row>
    <row r="8133" spans="16:16" x14ac:dyDescent="0.25">
      <c r="P8133" s="4"/>
    </row>
    <row r="8134" spans="16:16" x14ac:dyDescent="0.25">
      <c r="P8134" s="4"/>
    </row>
    <row r="8135" spans="16:16" x14ac:dyDescent="0.25">
      <c r="P8135" s="4"/>
    </row>
    <row r="8136" spans="16:16" x14ac:dyDescent="0.25">
      <c r="P8136" s="4"/>
    </row>
    <row r="8137" spans="16:16" x14ac:dyDescent="0.25">
      <c r="P8137" s="4"/>
    </row>
    <row r="8138" spans="16:16" x14ac:dyDescent="0.25">
      <c r="P8138" s="4"/>
    </row>
    <row r="8139" spans="16:16" x14ac:dyDescent="0.25">
      <c r="P8139" s="4"/>
    </row>
    <row r="8140" spans="16:16" x14ac:dyDescent="0.25">
      <c r="P8140" s="4"/>
    </row>
    <row r="8141" spans="16:16" x14ac:dyDescent="0.25">
      <c r="P8141" s="4"/>
    </row>
    <row r="8142" spans="16:16" x14ac:dyDescent="0.25">
      <c r="P8142" s="4"/>
    </row>
    <row r="8143" spans="16:16" x14ac:dyDescent="0.25">
      <c r="P8143" s="4"/>
    </row>
    <row r="8144" spans="16:16" x14ac:dyDescent="0.25">
      <c r="P8144" s="4"/>
    </row>
    <row r="8145" spans="16:16" x14ac:dyDescent="0.25">
      <c r="P8145" s="4"/>
    </row>
    <row r="8146" spans="16:16" x14ac:dyDescent="0.25">
      <c r="P8146" s="4"/>
    </row>
    <row r="8147" spans="16:16" x14ac:dyDescent="0.25">
      <c r="P8147" s="4"/>
    </row>
    <row r="8148" spans="16:16" x14ac:dyDescent="0.25">
      <c r="P8148" s="4"/>
    </row>
    <row r="8149" spans="16:16" x14ac:dyDescent="0.25">
      <c r="P8149" s="4"/>
    </row>
    <row r="8150" spans="16:16" x14ac:dyDescent="0.25">
      <c r="P8150" s="4"/>
    </row>
    <row r="8151" spans="16:16" x14ac:dyDescent="0.25">
      <c r="P8151" s="4"/>
    </row>
    <row r="8152" spans="16:16" x14ac:dyDescent="0.25">
      <c r="P8152" s="4"/>
    </row>
    <row r="8153" spans="16:16" x14ac:dyDescent="0.25">
      <c r="P8153" s="4"/>
    </row>
    <row r="8154" spans="16:16" x14ac:dyDescent="0.25">
      <c r="P8154" s="4"/>
    </row>
    <row r="8155" spans="16:16" x14ac:dyDescent="0.25">
      <c r="P8155" s="4"/>
    </row>
    <row r="8156" spans="16:16" x14ac:dyDescent="0.25">
      <c r="P8156" s="4"/>
    </row>
    <row r="8157" spans="16:16" x14ac:dyDescent="0.25">
      <c r="P8157" s="4"/>
    </row>
    <row r="8158" spans="16:16" x14ac:dyDescent="0.25">
      <c r="P8158" s="4"/>
    </row>
    <row r="8159" spans="16:16" x14ac:dyDescent="0.25">
      <c r="P8159" s="4"/>
    </row>
    <row r="8160" spans="16:16" x14ac:dyDescent="0.25">
      <c r="P8160" s="4"/>
    </row>
    <row r="8161" spans="16:16" x14ac:dyDescent="0.25">
      <c r="P8161" s="4"/>
    </row>
    <row r="8162" spans="16:16" x14ac:dyDescent="0.25">
      <c r="P8162" s="4"/>
    </row>
    <row r="8163" spans="16:16" x14ac:dyDescent="0.25">
      <c r="P8163" s="4"/>
    </row>
    <row r="8164" spans="16:16" x14ac:dyDescent="0.25">
      <c r="P8164" s="4"/>
    </row>
    <row r="8165" spans="16:16" x14ac:dyDescent="0.25">
      <c r="P8165" s="4"/>
    </row>
    <row r="8166" spans="16:16" x14ac:dyDescent="0.25">
      <c r="P8166" s="4"/>
    </row>
    <row r="8167" spans="16:16" x14ac:dyDescent="0.25">
      <c r="P8167" s="4"/>
    </row>
    <row r="8168" spans="16:16" x14ac:dyDescent="0.25">
      <c r="P8168" s="4"/>
    </row>
    <row r="8169" spans="16:16" x14ac:dyDescent="0.25">
      <c r="P8169" s="4"/>
    </row>
    <row r="8170" spans="16:16" x14ac:dyDescent="0.25">
      <c r="P8170" s="4"/>
    </row>
    <row r="8171" spans="16:16" x14ac:dyDescent="0.25">
      <c r="P8171" s="4"/>
    </row>
    <row r="8172" spans="16:16" x14ac:dyDescent="0.25">
      <c r="P8172" s="4"/>
    </row>
    <row r="8173" spans="16:16" x14ac:dyDescent="0.25">
      <c r="P8173" s="4"/>
    </row>
    <row r="8174" spans="16:16" x14ac:dyDescent="0.25">
      <c r="P8174" s="4"/>
    </row>
    <row r="8175" spans="16:16" x14ac:dyDescent="0.25">
      <c r="P8175" s="4"/>
    </row>
    <row r="8176" spans="16:16" x14ac:dyDescent="0.25">
      <c r="P8176" s="4"/>
    </row>
    <row r="8177" spans="16:16" x14ac:dyDescent="0.25">
      <c r="P8177" s="4"/>
    </row>
    <row r="8178" spans="16:16" x14ac:dyDescent="0.25">
      <c r="P8178" s="4"/>
    </row>
    <row r="8179" spans="16:16" x14ac:dyDescent="0.25">
      <c r="P8179" s="4"/>
    </row>
    <row r="8180" spans="16:16" x14ac:dyDescent="0.25">
      <c r="P8180" s="4"/>
    </row>
    <row r="8181" spans="16:16" x14ac:dyDescent="0.25">
      <c r="P8181" s="4"/>
    </row>
    <row r="8182" spans="16:16" x14ac:dyDescent="0.25">
      <c r="P8182" s="4"/>
    </row>
    <row r="8183" spans="16:16" x14ac:dyDescent="0.25">
      <c r="P8183" s="4"/>
    </row>
    <row r="8184" spans="16:16" x14ac:dyDescent="0.25">
      <c r="P8184" s="4"/>
    </row>
    <row r="8185" spans="16:16" x14ac:dyDescent="0.25">
      <c r="P8185" s="4"/>
    </row>
    <row r="8186" spans="16:16" x14ac:dyDescent="0.25">
      <c r="P8186" s="4"/>
    </row>
    <row r="8187" spans="16:16" x14ac:dyDescent="0.25">
      <c r="P8187" s="4"/>
    </row>
    <row r="8188" spans="16:16" x14ac:dyDescent="0.25">
      <c r="P8188" s="4"/>
    </row>
    <row r="8189" spans="16:16" x14ac:dyDescent="0.25">
      <c r="P8189" s="4"/>
    </row>
    <row r="8190" spans="16:16" x14ac:dyDescent="0.25">
      <c r="P8190" s="4"/>
    </row>
    <row r="8191" spans="16:16" x14ac:dyDescent="0.25">
      <c r="P8191" s="4"/>
    </row>
    <row r="8192" spans="16:16" x14ac:dyDescent="0.25">
      <c r="P8192" s="4"/>
    </row>
    <row r="8193" spans="16:16" x14ac:dyDescent="0.25">
      <c r="P8193" s="4"/>
    </row>
    <row r="8194" spans="16:16" x14ac:dyDescent="0.25">
      <c r="P8194" s="4"/>
    </row>
    <row r="8195" spans="16:16" x14ac:dyDescent="0.25">
      <c r="P8195" s="4"/>
    </row>
    <row r="8196" spans="16:16" x14ac:dyDescent="0.25">
      <c r="P8196" s="4"/>
    </row>
    <row r="8197" spans="16:16" x14ac:dyDescent="0.25">
      <c r="P8197" s="4"/>
    </row>
    <row r="8198" spans="16:16" x14ac:dyDescent="0.25">
      <c r="P8198" s="4"/>
    </row>
    <row r="8199" spans="16:16" x14ac:dyDescent="0.25">
      <c r="P8199" s="4"/>
    </row>
    <row r="8200" spans="16:16" x14ac:dyDescent="0.25">
      <c r="P8200" s="4"/>
    </row>
    <row r="8201" spans="16:16" x14ac:dyDescent="0.25">
      <c r="P8201" s="4"/>
    </row>
    <row r="8202" spans="16:16" x14ac:dyDescent="0.25">
      <c r="P8202" s="4"/>
    </row>
    <row r="8203" spans="16:16" x14ac:dyDescent="0.25">
      <c r="P8203" s="4"/>
    </row>
    <row r="8204" spans="16:16" x14ac:dyDescent="0.25">
      <c r="P8204" s="4"/>
    </row>
    <row r="8205" spans="16:16" x14ac:dyDescent="0.25">
      <c r="P8205" s="4"/>
    </row>
    <row r="8206" spans="16:16" x14ac:dyDescent="0.25">
      <c r="P8206" s="4"/>
    </row>
    <row r="8207" spans="16:16" x14ac:dyDescent="0.25">
      <c r="P8207" s="4"/>
    </row>
    <row r="8208" spans="16:16" x14ac:dyDescent="0.25">
      <c r="P8208" s="4"/>
    </row>
    <row r="8209" spans="16:16" x14ac:dyDescent="0.25">
      <c r="P8209" s="4"/>
    </row>
    <row r="8210" spans="16:16" x14ac:dyDescent="0.25">
      <c r="P8210" s="4"/>
    </row>
    <row r="8211" spans="16:16" x14ac:dyDescent="0.25">
      <c r="P8211" s="4"/>
    </row>
    <row r="8212" spans="16:16" x14ac:dyDescent="0.25">
      <c r="P8212" s="4"/>
    </row>
    <row r="8213" spans="16:16" x14ac:dyDescent="0.25">
      <c r="P8213" s="4"/>
    </row>
    <row r="8214" spans="16:16" x14ac:dyDescent="0.25">
      <c r="P8214" s="4"/>
    </row>
    <row r="8215" spans="16:16" x14ac:dyDescent="0.25">
      <c r="P8215" s="4"/>
    </row>
    <row r="8216" spans="16:16" x14ac:dyDescent="0.25">
      <c r="P8216" s="4"/>
    </row>
    <row r="8217" spans="16:16" x14ac:dyDescent="0.25">
      <c r="P8217" s="4"/>
    </row>
    <row r="8218" spans="16:16" x14ac:dyDescent="0.25">
      <c r="P8218" s="4"/>
    </row>
    <row r="8219" spans="16:16" x14ac:dyDescent="0.25">
      <c r="P8219" s="4"/>
    </row>
    <row r="8220" spans="16:16" x14ac:dyDescent="0.25">
      <c r="P8220" s="4"/>
    </row>
    <row r="8221" spans="16:16" x14ac:dyDescent="0.25">
      <c r="P8221" s="4"/>
    </row>
    <row r="8222" spans="16:16" x14ac:dyDescent="0.25">
      <c r="P8222" s="4"/>
    </row>
    <row r="8223" spans="16:16" x14ac:dyDescent="0.25">
      <c r="P8223" s="4"/>
    </row>
    <row r="8224" spans="16:16" x14ac:dyDescent="0.25">
      <c r="P8224" s="4"/>
    </row>
    <row r="8225" spans="16:16" x14ac:dyDescent="0.25">
      <c r="P8225" s="4"/>
    </row>
    <row r="8226" spans="16:16" x14ac:dyDescent="0.25">
      <c r="P8226" s="4"/>
    </row>
    <row r="8227" spans="16:16" x14ac:dyDescent="0.25">
      <c r="P8227" s="4"/>
    </row>
    <row r="8228" spans="16:16" x14ac:dyDescent="0.25">
      <c r="P8228" s="4"/>
    </row>
    <row r="8229" spans="16:16" x14ac:dyDescent="0.25">
      <c r="P8229" s="4"/>
    </row>
    <row r="8230" spans="16:16" x14ac:dyDescent="0.25">
      <c r="P8230" s="4"/>
    </row>
    <row r="8231" spans="16:16" x14ac:dyDescent="0.25">
      <c r="P8231" s="4"/>
    </row>
    <row r="8232" spans="16:16" x14ac:dyDescent="0.25">
      <c r="P8232" s="4"/>
    </row>
    <row r="8233" spans="16:16" x14ac:dyDescent="0.25">
      <c r="P8233" s="4"/>
    </row>
    <row r="8234" spans="16:16" x14ac:dyDescent="0.25">
      <c r="P8234" s="4"/>
    </row>
    <row r="8235" spans="16:16" x14ac:dyDescent="0.25">
      <c r="P8235" s="4"/>
    </row>
    <row r="8236" spans="16:16" x14ac:dyDescent="0.25">
      <c r="P8236" s="4"/>
    </row>
    <row r="8237" spans="16:16" x14ac:dyDescent="0.25">
      <c r="P8237" s="4"/>
    </row>
    <row r="8238" spans="16:16" x14ac:dyDescent="0.25">
      <c r="P8238" s="4"/>
    </row>
    <row r="8239" spans="16:16" x14ac:dyDescent="0.25">
      <c r="P8239" s="4"/>
    </row>
    <row r="8240" spans="16:16" x14ac:dyDescent="0.25">
      <c r="P8240" s="4"/>
    </row>
    <row r="8241" spans="16:16" x14ac:dyDescent="0.25">
      <c r="P8241" s="4"/>
    </row>
    <row r="8242" spans="16:16" x14ac:dyDescent="0.25">
      <c r="P8242" s="4"/>
    </row>
    <row r="8243" spans="16:16" x14ac:dyDescent="0.25">
      <c r="P8243" s="4"/>
    </row>
    <row r="8244" spans="16:16" x14ac:dyDescent="0.25">
      <c r="P8244" s="4"/>
    </row>
    <row r="8245" spans="16:16" x14ac:dyDescent="0.25">
      <c r="P8245" s="4"/>
    </row>
    <row r="8246" spans="16:16" x14ac:dyDescent="0.25">
      <c r="P8246" s="4"/>
    </row>
    <row r="8247" spans="16:16" x14ac:dyDescent="0.25">
      <c r="P8247" s="4"/>
    </row>
    <row r="8248" spans="16:16" x14ac:dyDescent="0.25">
      <c r="P8248" s="4"/>
    </row>
    <row r="8249" spans="16:16" x14ac:dyDescent="0.25">
      <c r="P8249" s="4"/>
    </row>
    <row r="8250" spans="16:16" x14ac:dyDescent="0.25">
      <c r="P8250" s="4"/>
    </row>
    <row r="8251" spans="16:16" x14ac:dyDescent="0.25">
      <c r="P8251" s="4"/>
    </row>
    <row r="8252" spans="16:16" x14ac:dyDescent="0.25">
      <c r="P8252" s="4"/>
    </row>
    <row r="8253" spans="16:16" x14ac:dyDescent="0.25">
      <c r="P8253" s="4"/>
    </row>
    <row r="8254" spans="16:16" x14ac:dyDescent="0.25">
      <c r="P8254" s="4"/>
    </row>
    <row r="8255" spans="16:16" x14ac:dyDescent="0.25">
      <c r="P8255" s="4"/>
    </row>
    <row r="8256" spans="16:16" x14ac:dyDescent="0.25">
      <c r="P8256" s="4"/>
    </row>
    <row r="8257" spans="16:16" x14ac:dyDescent="0.25">
      <c r="P8257" s="4"/>
    </row>
    <row r="8258" spans="16:16" x14ac:dyDescent="0.25">
      <c r="P8258" s="4"/>
    </row>
    <row r="8259" spans="16:16" x14ac:dyDescent="0.25">
      <c r="P8259" s="4"/>
    </row>
    <row r="8260" spans="16:16" x14ac:dyDescent="0.25">
      <c r="P8260" s="4"/>
    </row>
    <row r="8261" spans="16:16" x14ac:dyDescent="0.25">
      <c r="P8261" s="4"/>
    </row>
    <row r="8262" spans="16:16" x14ac:dyDescent="0.25">
      <c r="P8262" s="4"/>
    </row>
    <row r="8263" spans="16:16" x14ac:dyDescent="0.25">
      <c r="P8263" s="4"/>
    </row>
    <row r="8264" spans="16:16" x14ac:dyDescent="0.25">
      <c r="P8264" s="4"/>
    </row>
    <row r="8265" spans="16:16" x14ac:dyDescent="0.25">
      <c r="P8265" s="4"/>
    </row>
    <row r="8266" spans="16:16" x14ac:dyDescent="0.25">
      <c r="P8266" s="4"/>
    </row>
    <row r="8267" spans="16:16" x14ac:dyDescent="0.25">
      <c r="P8267" s="4"/>
    </row>
    <row r="8268" spans="16:16" x14ac:dyDescent="0.25">
      <c r="P8268" s="4"/>
    </row>
    <row r="8269" spans="16:16" x14ac:dyDescent="0.25">
      <c r="P8269" s="4"/>
    </row>
    <row r="8270" spans="16:16" x14ac:dyDescent="0.25">
      <c r="P8270" s="4"/>
    </row>
    <row r="8271" spans="16:16" x14ac:dyDescent="0.25">
      <c r="P8271" s="4"/>
    </row>
    <row r="8272" spans="16:16" x14ac:dyDescent="0.25">
      <c r="P8272" s="4"/>
    </row>
    <row r="8273" spans="16:16" x14ac:dyDescent="0.25">
      <c r="P8273" s="4"/>
    </row>
    <row r="8274" spans="16:16" x14ac:dyDescent="0.25">
      <c r="P8274" s="4"/>
    </row>
    <row r="8275" spans="16:16" x14ac:dyDescent="0.25">
      <c r="P8275" s="4"/>
    </row>
    <row r="8276" spans="16:16" x14ac:dyDescent="0.25">
      <c r="P8276" s="4"/>
    </row>
    <row r="8277" spans="16:16" x14ac:dyDescent="0.25">
      <c r="P8277" s="4"/>
    </row>
    <row r="8278" spans="16:16" x14ac:dyDescent="0.25">
      <c r="P8278" s="4"/>
    </row>
    <row r="8279" spans="16:16" x14ac:dyDescent="0.25">
      <c r="P8279" s="4"/>
    </row>
    <row r="8280" spans="16:16" x14ac:dyDescent="0.25">
      <c r="P8280" s="4"/>
    </row>
    <row r="8281" spans="16:16" x14ac:dyDescent="0.25">
      <c r="P8281" s="4"/>
    </row>
    <row r="8282" spans="16:16" x14ac:dyDescent="0.25">
      <c r="P8282" s="4"/>
    </row>
    <row r="8283" spans="16:16" x14ac:dyDescent="0.25">
      <c r="P8283" s="4"/>
    </row>
    <row r="8284" spans="16:16" x14ac:dyDescent="0.25">
      <c r="P8284" s="4"/>
    </row>
    <row r="8285" spans="16:16" x14ac:dyDescent="0.25">
      <c r="P8285" s="4"/>
    </row>
    <row r="8286" spans="16:16" x14ac:dyDescent="0.25">
      <c r="P8286" s="4"/>
    </row>
    <row r="8287" spans="16:16" x14ac:dyDescent="0.25">
      <c r="P8287" s="4"/>
    </row>
    <row r="8288" spans="16:16" x14ac:dyDescent="0.25">
      <c r="P8288" s="4"/>
    </row>
    <row r="8289" spans="16:16" x14ac:dyDescent="0.25">
      <c r="P8289" s="4"/>
    </row>
    <row r="8290" spans="16:16" x14ac:dyDescent="0.25">
      <c r="P8290" s="4"/>
    </row>
    <row r="8291" spans="16:16" x14ac:dyDescent="0.25">
      <c r="P8291" s="4"/>
    </row>
    <row r="8292" spans="16:16" x14ac:dyDescent="0.25">
      <c r="P8292" s="4"/>
    </row>
    <row r="8293" spans="16:16" x14ac:dyDescent="0.25">
      <c r="P8293" s="4"/>
    </row>
    <row r="8294" spans="16:16" x14ac:dyDescent="0.25">
      <c r="P8294" s="4"/>
    </row>
    <row r="8295" spans="16:16" x14ac:dyDescent="0.25">
      <c r="P8295" s="4"/>
    </row>
    <row r="8296" spans="16:16" x14ac:dyDescent="0.25">
      <c r="P8296" s="4"/>
    </row>
    <row r="8297" spans="16:16" x14ac:dyDescent="0.25">
      <c r="P8297" s="4"/>
    </row>
    <row r="8298" spans="16:16" x14ac:dyDescent="0.25">
      <c r="P8298" s="4"/>
    </row>
    <row r="8299" spans="16:16" x14ac:dyDescent="0.25">
      <c r="P8299" s="4"/>
    </row>
    <row r="8300" spans="16:16" x14ac:dyDescent="0.25">
      <c r="P8300" s="4"/>
    </row>
    <row r="8301" spans="16:16" x14ac:dyDescent="0.25">
      <c r="P8301" s="4"/>
    </row>
    <row r="8302" spans="16:16" x14ac:dyDescent="0.25">
      <c r="P8302" s="4"/>
    </row>
    <row r="8303" spans="16:16" x14ac:dyDescent="0.25">
      <c r="P8303" s="4"/>
    </row>
    <row r="8304" spans="16:16" x14ac:dyDescent="0.25">
      <c r="P8304" s="4"/>
    </row>
    <row r="8305" spans="16:16" x14ac:dyDescent="0.25">
      <c r="P8305" s="4"/>
    </row>
    <row r="8306" spans="16:16" x14ac:dyDescent="0.25">
      <c r="P8306" s="4"/>
    </row>
    <row r="8307" spans="16:16" x14ac:dyDescent="0.25">
      <c r="P8307" s="4"/>
    </row>
    <row r="8308" spans="16:16" x14ac:dyDescent="0.25">
      <c r="P8308" s="4"/>
    </row>
    <row r="8309" spans="16:16" x14ac:dyDescent="0.25">
      <c r="P8309" s="4"/>
    </row>
    <row r="8310" spans="16:16" x14ac:dyDescent="0.25">
      <c r="P8310" s="4"/>
    </row>
    <row r="8311" spans="16:16" x14ac:dyDescent="0.25">
      <c r="P8311" s="4"/>
    </row>
    <row r="8312" spans="16:16" x14ac:dyDescent="0.25">
      <c r="P8312" s="4"/>
    </row>
    <row r="8313" spans="16:16" x14ac:dyDescent="0.25">
      <c r="P8313" s="4"/>
    </row>
    <row r="8314" spans="16:16" x14ac:dyDescent="0.25">
      <c r="P8314" s="4"/>
    </row>
    <row r="8315" spans="16:16" x14ac:dyDescent="0.25">
      <c r="P8315" s="4"/>
    </row>
    <row r="8316" spans="16:16" x14ac:dyDescent="0.25">
      <c r="P8316" s="4"/>
    </row>
    <row r="8317" spans="16:16" x14ac:dyDescent="0.25">
      <c r="P8317" s="4"/>
    </row>
    <row r="8318" spans="16:16" x14ac:dyDescent="0.25">
      <c r="P8318" s="4"/>
    </row>
    <row r="8319" spans="16:16" x14ac:dyDescent="0.25">
      <c r="P8319" s="4"/>
    </row>
    <row r="8320" spans="16:16" x14ac:dyDescent="0.25">
      <c r="P8320" s="4"/>
    </row>
    <row r="8321" spans="16:16" x14ac:dyDescent="0.25">
      <c r="P8321" s="4"/>
    </row>
    <row r="8322" spans="16:16" x14ac:dyDescent="0.25">
      <c r="P8322" s="4"/>
    </row>
    <row r="8323" spans="16:16" x14ac:dyDescent="0.25">
      <c r="P8323" s="4"/>
    </row>
    <row r="8324" spans="16:16" x14ac:dyDescent="0.25">
      <c r="P8324" s="4"/>
    </row>
    <row r="8325" spans="16:16" x14ac:dyDescent="0.25">
      <c r="P8325" s="4"/>
    </row>
    <row r="8326" spans="16:16" x14ac:dyDescent="0.25">
      <c r="P8326" s="4"/>
    </row>
    <row r="8327" spans="16:16" x14ac:dyDescent="0.25">
      <c r="P8327" s="4"/>
    </row>
    <row r="8328" spans="16:16" x14ac:dyDescent="0.25">
      <c r="P8328" s="4"/>
    </row>
    <row r="8329" spans="16:16" x14ac:dyDescent="0.25">
      <c r="P8329" s="4"/>
    </row>
    <row r="8330" spans="16:16" x14ac:dyDescent="0.25">
      <c r="P8330" s="4"/>
    </row>
    <row r="8331" spans="16:16" x14ac:dyDescent="0.25">
      <c r="P8331" s="4"/>
    </row>
    <row r="8332" spans="16:16" x14ac:dyDescent="0.25">
      <c r="P8332" s="4"/>
    </row>
    <row r="8333" spans="16:16" x14ac:dyDescent="0.25">
      <c r="P8333" s="4"/>
    </row>
    <row r="8334" spans="16:16" x14ac:dyDescent="0.25">
      <c r="P8334" s="4"/>
    </row>
    <row r="8335" spans="16:16" x14ac:dyDescent="0.25">
      <c r="P8335" s="4"/>
    </row>
    <row r="8336" spans="16:16" x14ac:dyDescent="0.25">
      <c r="P8336" s="4"/>
    </row>
    <row r="8337" spans="16:16" x14ac:dyDescent="0.25">
      <c r="P8337" s="4"/>
    </row>
    <row r="8338" spans="16:16" x14ac:dyDescent="0.25">
      <c r="P8338" s="4"/>
    </row>
    <row r="8339" spans="16:16" x14ac:dyDescent="0.25">
      <c r="P8339" s="4"/>
    </row>
    <row r="8340" spans="16:16" x14ac:dyDescent="0.25">
      <c r="P8340" s="4"/>
    </row>
    <row r="8341" spans="16:16" x14ac:dyDescent="0.25">
      <c r="P8341" s="4"/>
    </row>
    <row r="8342" spans="16:16" x14ac:dyDescent="0.25">
      <c r="P8342" s="4"/>
    </row>
    <row r="8343" spans="16:16" x14ac:dyDescent="0.25">
      <c r="P8343" s="4"/>
    </row>
    <row r="8344" spans="16:16" x14ac:dyDescent="0.25">
      <c r="P8344" s="4"/>
    </row>
    <row r="8345" spans="16:16" x14ac:dyDescent="0.25">
      <c r="P8345" s="4"/>
    </row>
    <row r="8346" spans="16:16" x14ac:dyDescent="0.25">
      <c r="P8346" s="4"/>
    </row>
    <row r="8347" spans="16:16" x14ac:dyDescent="0.25">
      <c r="P8347" s="4"/>
    </row>
    <row r="8348" spans="16:16" x14ac:dyDescent="0.25">
      <c r="P8348" s="4"/>
    </row>
    <row r="8349" spans="16:16" x14ac:dyDescent="0.25">
      <c r="P8349" s="4"/>
    </row>
    <row r="8350" spans="16:16" x14ac:dyDescent="0.25">
      <c r="P8350" s="4"/>
    </row>
    <row r="8351" spans="16:16" x14ac:dyDescent="0.25">
      <c r="P8351" s="4"/>
    </row>
    <row r="8352" spans="16:16" x14ac:dyDescent="0.25">
      <c r="P8352" s="4"/>
    </row>
    <row r="8353" spans="16:16" x14ac:dyDescent="0.25">
      <c r="P8353" s="4"/>
    </row>
    <row r="8354" spans="16:16" x14ac:dyDescent="0.25">
      <c r="P8354" s="4"/>
    </row>
    <row r="8355" spans="16:16" x14ac:dyDescent="0.25">
      <c r="P8355" s="4"/>
    </row>
    <row r="8356" spans="16:16" x14ac:dyDescent="0.25">
      <c r="P8356" s="4"/>
    </row>
    <row r="8357" spans="16:16" x14ac:dyDescent="0.25">
      <c r="P8357" s="4"/>
    </row>
    <row r="8358" spans="16:16" x14ac:dyDescent="0.25">
      <c r="P8358" s="4"/>
    </row>
    <row r="8359" spans="16:16" x14ac:dyDescent="0.25">
      <c r="P8359" s="4"/>
    </row>
    <row r="8360" spans="16:16" x14ac:dyDescent="0.25">
      <c r="P8360" s="4"/>
    </row>
    <row r="8361" spans="16:16" x14ac:dyDescent="0.25">
      <c r="P8361" s="4"/>
    </row>
    <row r="8362" spans="16:16" x14ac:dyDescent="0.25">
      <c r="P8362" s="4"/>
    </row>
    <row r="8363" spans="16:16" x14ac:dyDescent="0.25">
      <c r="P8363" s="4"/>
    </row>
    <row r="8364" spans="16:16" x14ac:dyDescent="0.25">
      <c r="P8364" s="4"/>
    </row>
    <row r="8365" spans="16:16" x14ac:dyDescent="0.25">
      <c r="P8365" s="4"/>
    </row>
    <row r="8366" spans="16:16" x14ac:dyDescent="0.25">
      <c r="P8366" s="4"/>
    </row>
    <row r="8367" spans="16:16" x14ac:dyDescent="0.25">
      <c r="P8367" s="4"/>
    </row>
    <row r="8368" spans="16:16" x14ac:dyDescent="0.25">
      <c r="P8368" s="4"/>
    </row>
    <row r="8369" spans="16:16" x14ac:dyDescent="0.25">
      <c r="P8369" s="4"/>
    </row>
    <row r="8370" spans="16:16" x14ac:dyDescent="0.25">
      <c r="P8370" s="4"/>
    </row>
    <row r="8371" spans="16:16" x14ac:dyDescent="0.25">
      <c r="P8371" s="4"/>
    </row>
    <row r="8372" spans="16:16" x14ac:dyDescent="0.25">
      <c r="P8372" s="4"/>
    </row>
    <row r="8373" spans="16:16" x14ac:dyDescent="0.25">
      <c r="P8373" s="4"/>
    </row>
    <row r="8374" spans="16:16" x14ac:dyDescent="0.25">
      <c r="P8374" s="4"/>
    </row>
    <row r="8375" spans="16:16" x14ac:dyDescent="0.25">
      <c r="P8375" s="4"/>
    </row>
    <row r="8376" spans="16:16" x14ac:dyDescent="0.25">
      <c r="P8376" s="4"/>
    </row>
    <row r="8377" spans="16:16" x14ac:dyDescent="0.25">
      <c r="P8377" s="4"/>
    </row>
    <row r="8378" spans="16:16" x14ac:dyDescent="0.25">
      <c r="P8378" s="4"/>
    </row>
    <row r="8379" spans="16:16" x14ac:dyDescent="0.25">
      <c r="P8379" s="4"/>
    </row>
    <row r="8380" spans="16:16" x14ac:dyDescent="0.25">
      <c r="P8380" s="4"/>
    </row>
    <row r="8381" spans="16:16" x14ac:dyDescent="0.25">
      <c r="P8381" s="4"/>
    </row>
    <row r="8382" spans="16:16" x14ac:dyDescent="0.25">
      <c r="P8382" s="4"/>
    </row>
    <row r="8383" spans="16:16" x14ac:dyDescent="0.25">
      <c r="P8383" s="4"/>
    </row>
    <row r="8384" spans="16:16" x14ac:dyDescent="0.25">
      <c r="P8384" s="4"/>
    </row>
    <row r="8385" spans="16:16" x14ac:dyDescent="0.25">
      <c r="P8385" s="4"/>
    </row>
    <row r="8386" spans="16:16" x14ac:dyDescent="0.25">
      <c r="P8386" s="4"/>
    </row>
    <row r="8387" spans="16:16" x14ac:dyDescent="0.25">
      <c r="P8387" s="4"/>
    </row>
    <row r="8388" spans="16:16" x14ac:dyDescent="0.25">
      <c r="P8388" s="4"/>
    </row>
    <row r="8389" spans="16:16" x14ac:dyDescent="0.25">
      <c r="P8389" s="4"/>
    </row>
    <row r="8390" spans="16:16" x14ac:dyDescent="0.25">
      <c r="P8390" s="4"/>
    </row>
    <row r="8391" spans="16:16" x14ac:dyDescent="0.25">
      <c r="P8391" s="4"/>
    </row>
    <row r="8392" spans="16:16" x14ac:dyDescent="0.25">
      <c r="P8392" s="4"/>
    </row>
    <row r="8393" spans="16:16" x14ac:dyDescent="0.25">
      <c r="P8393" s="4"/>
    </row>
    <row r="8394" spans="16:16" x14ac:dyDescent="0.25">
      <c r="P8394" s="4"/>
    </row>
    <row r="8395" spans="16:16" x14ac:dyDescent="0.25">
      <c r="P8395" s="4"/>
    </row>
    <row r="8396" spans="16:16" x14ac:dyDescent="0.25">
      <c r="P8396" s="4"/>
    </row>
    <row r="8397" spans="16:16" x14ac:dyDescent="0.25">
      <c r="P8397" s="4"/>
    </row>
    <row r="8398" spans="16:16" x14ac:dyDescent="0.25">
      <c r="P8398" s="4"/>
    </row>
    <row r="8399" spans="16:16" x14ac:dyDescent="0.25">
      <c r="P8399" s="4"/>
    </row>
    <row r="8400" spans="16:16" x14ac:dyDescent="0.25">
      <c r="P8400" s="4"/>
    </row>
    <row r="8401" spans="16:16" x14ac:dyDescent="0.25">
      <c r="P8401" s="4"/>
    </row>
    <row r="8402" spans="16:16" x14ac:dyDescent="0.25">
      <c r="P8402" s="4"/>
    </row>
    <row r="8403" spans="16:16" x14ac:dyDescent="0.25">
      <c r="P8403" s="4"/>
    </row>
    <row r="8404" spans="16:16" x14ac:dyDescent="0.25">
      <c r="P8404" s="4"/>
    </row>
    <row r="8405" spans="16:16" x14ac:dyDescent="0.25">
      <c r="P8405" s="4"/>
    </row>
    <row r="8406" spans="16:16" x14ac:dyDescent="0.25">
      <c r="P8406" s="4"/>
    </row>
    <row r="8407" spans="16:16" x14ac:dyDescent="0.25">
      <c r="P8407" s="4"/>
    </row>
    <row r="8408" spans="16:16" x14ac:dyDescent="0.25">
      <c r="P8408" s="4"/>
    </row>
    <row r="8409" spans="16:16" x14ac:dyDescent="0.25">
      <c r="P8409" s="4"/>
    </row>
    <row r="8410" spans="16:16" x14ac:dyDescent="0.25">
      <c r="P8410" s="4"/>
    </row>
    <row r="8411" spans="16:16" x14ac:dyDescent="0.25">
      <c r="P8411" s="4"/>
    </row>
    <row r="8412" spans="16:16" x14ac:dyDescent="0.25">
      <c r="P8412" s="4"/>
    </row>
    <row r="8413" spans="16:16" x14ac:dyDescent="0.25">
      <c r="P8413" s="4"/>
    </row>
    <row r="8414" spans="16:16" x14ac:dyDescent="0.25">
      <c r="P8414" s="4"/>
    </row>
    <row r="8415" spans="16:16" x14ac:dyDescent="0.25">
      <c r="P8415" s="4"/>
    </row>
    <row r="8416" spans="16:16" x14ac:dyDescent="0.25">
      <c r="P8416" s="4"/>
    </row>
    <row r="8417" spans="16:16" x14ac:dyDescent="0.25">
      <c r="P8417" s="4"/>
    </row>
    <row r="8418" spans="16:16" x14ac:dyDescent="0.25">
      <c r="P8418" s="4"/>
    </row>
    <row r="8419" spans="16:16" x14ac:dyDescent="0.25">
      <c r="P8419" s="4"/>
    </row>
    <row r="8420" spans="16:16" x14ac:dyDescent="0.25">
      <c r="P8420" s="4"/>
    </row>
    <row r="8421" spans="16:16" x14ac:dyDescent="0.25">
      <c r="P8421" s="4"/>
    </row>
    <row r="8422" spans="16:16" x14ac:dyDescent="0.25">
      <c r="P8422" s="4"/>
    </row>
    <row r="8423" spans="16:16" x14ac:dyDescent="0.25">
      <c r="P8423" s="4"/>
    </row>
    <row r="8424" spans="16:16" x14ac:dyDescent="0.25">
      <c r="P8424" s="4"/>
    </row>
    <row r="8425" spans="16:16" x14ac:dyDescent="0.25">
      <c r="P8425" s="4"/>
    </row>
    <row r="8426" spans="16:16" x14ac:dyDescent="0.25">
      <c r="P8426" s="4"/>
    </row>
    <row r="8427" spans="16:16" x14ac:dyDescent="0.25">
      <c r="P8427" s="4"/>
    </row>
    <row r="8428" spans="16:16" x14ac:dyDescent="0.25">
      <c r="P8428" s="4"/>
    </row>
    <row r="8429" spans="16:16" x14ac:dyDescent="0.25">
      <c r="P8429" s="4"/>
    </row>
    <row r="8430" spans="16:16" x14ac:dyDescent="0.25">
      <c r="P8430" s="4"/>
    </row>
    <row r="8431" spans="16:16" x14ac:dyDescent="0.25">
      <c r="P8431" s="4"/>
    </row>
    <row r="8432" spans="16:16" x14ac:dyDescent="0.25">
      <c r="P8432" s="4"/>
    </row>
    <row r="8433" spans="16:16" x14ac:dyDescent="0.25">
      <c r="P8433" s="4"/>
    </row>
    <row r="8434" spans="16:16" x14ac:dyDescent="0.25">
      <c r="P8434" s="4"/>
    </row>
    <row r="8435" spans="16:16" x14ac:dyDescent="0.25">
      <c r="P8435" s="4"/>
    </row>
    <row r="8436" spans="16:16" x14ac:dyDescent="0.25">
      <c r="P8436" s="4"/>
    </row>
    <row r="8437" spans="16:16" x14ac:dyDescent="0.25">
      <c r="P8437" s="4"/>
    </row>
    <row r="8438" spans="16:16" x14ac:dyDescent="0.25">
      <c r="P8438" s="4"/>
    </row>
    <row r="8439" spans="16:16" x14ac:dyDescent="0.25">
      <c r="P8439" s="4"/>
    </row>
    <row r="8440" spans="16:16" x14ac:dyDescent="0.25">
      <c r="P8440" s="4"/>
    </row>
    <row r="8441" spans="16:16" x14ac:dyDescent="0.25">
      <c r="P8441" s="4"/>
    </row>
    <row r="8442" spans="16:16" x14ac:dyDescent="0.25">
      <c r="P8442" s="4"/>
    </row>
    <row r="8443" spans="16:16" x14ac:dyDescent="0.25">
      <c r="P8443" s="4"/>
    </row>
    <row r="8444" spans="16:16" x14ac:dyDescent="0.25">
      <c r="P8444" s="4"/>
    </row>
    <row r="8445" spans="16:16" x14ac:dyDescent="0.25">
      <c r="P8445" s="4"/>
    </row>
    <row r="8446" spans="16:16" x14ac:dyDescent="0.25">
      <c r="P8446" s="4"/>
    </row>
    <row r="8447" spans="16:16" x14ac:dyDescent="0.25">
      <c r="P8447" s="4"/>
    </row>
    <row r="8448" spans="16:16" x14ac:dyDescent="0.25">
      <c r="P8448" s="4"/>
    </row>
    <row r="8449" spans="16:16" x14ac:dyDescent="0.25">
      <c r="P8449" s="4"/>
    </row>
    <row r="8450" spans="16:16" x14ac:dyDescent="0.25">
      <c r="P8450" s="4"/>
    </row>
    <row r="8451" spans="16:16" x14ac:dyDescent="0.25">
      <c r="P8451" s="4"/>
    </row>
    <row r="8452" spans="16:16" x14ac:dyDescent="0.25">
      <c r="P8452" s="4"/>
    </row>
    <row r="8453" spans="16:16" x14ac:dyDescent="0.25">
      <c r="P8453" s="4"/>
    </row>
    <row r="8454" spans="16:16" x14ac:dyDescent="0.25">
      <c r="P8454" s="4"/>
    </row>
    <row r="8455" spans="16:16" x14ac:dyDescent="0.25">
      <c r="P8455" s="4"/>
    </row>
    <row r="8456" spans="16:16" x14ac:dyDescent="0.25">
      <c r="P8456" s="4"/>
    </row>
    <row r="8457" spans="16:16" x14ac:dyDescent="0.25">
      <c r="P8457" s="4"/>
    </row>
    <row r="8458" spans="16:16" x14ac:dyDescent="0.25">
      <c r="P8458" s="4"/>
    </row>
    <row r="8459" spans="16:16" x14ac:dyDescent="0.25">
      <c r="P8459" s="4"/>
    </row>
    <row r="8460" spans="16:16" x14ac:dyDescent="0.25">
      <c r="P8460" s="4"/>
    </row>
    <row r="8461" spans="16:16" x14ac:dyDescent="0.25">
      <c r="P8461" s="4"/>
    </row>
    <row r="8462" spans="16:16" x14ac:dyDescent="0.25">
      <c r="P8462" s="4"/>
    </row>
    <row r="8463" spans="16:16" x14ac:dyDescent="0.25">
      <c r="P8463" s="4"/>
    </row>
    <row r="8464" spans="16:16" x14ac:dyDescent="0.25">
      <c r="P8464" s="4"/>
    </row>
    <row r="8465" spans="16:16" x14ac:dyDescent="0.25">
      <c r="P8465" s="4"/>
    </row>
    <row r="8466" spans="16:16" x14ac:dyDescent="0.25">
      <c r="P8466" s="4"/>
    </row>
    <row r="8467" spans="16:16" x14ac:dyDescent="0.25">
      <c r="P8467" s="4"/>
    </row>
    <row r="8468" spans="16:16" x14ac:dyDescent="0.25">
      <c r="P8468" s="4"/>
    </row>
    <row r="8469" spans="16:16" x14ac:dyDescent="0.25">
      <c r="P8469" s="4"/>
    </row>
    <row r="8470" spans="16:16" x14ac:dyDescent="0.25">
      <c r="P8470" s="4"/>
    </row>
    <row r="8471" spans="16:16" x14ac:dyDescent="0.25">
      <c r="P8471" s="4"/>
    </row>
    <row r="8472" spans="16:16" x14ac:dyDescent="0.25">
      <c r="P8472" s="4"/>
    </row>
    <row r="8473" spans="16:16" x14ac:dyDescent="0.25">
      <c r="P8473" s="4"/>
    </row>
    <row r="8474" spans="16:16" x14ac:dyDescent="0.25">
      <c r="P8474" s="4"/>
    </row>
    <row r="8475" spans="16:16" x14ac:dyDescent="0.25">
      <c r="P8475" s="4"/>
    </row>
    <row r="8476" spans="16:16" x14ac:dyDescent="0.25">
      <c r="P8476" s="4"/>
    </row>
    <row r="8477" spans="16:16" x14ac:dyDescent="0.25">
      <c r="P8477" s="4"/>
    </row>
    <row r="8478" spans="16:16" x14ac:dyDescent="0.25">
      <c r="P8478" s="4"/>
    </row>
    <row r="8479" spans="16:16" x14ac:dyDescent="0.25">
      <c r="P8479" s="4"/>
    </row>
    <row r="8480" spans="16:16" x14ac:dyDescent="0.25">
      <c r="P8480" s="4"/>
    </row>
    <row r="8481" spans="16:16" x14ac:dyDescent="0.25">
      <c r="P8481" s="4"/>
    </row>
    <row r="8482" spans="16:16" x14ac:dyDescent="0.25">
      <c r="P8482" s="4"/>
    </row>
    <row r="8483" spans="16:16" x14ac:dyDescent="0.25">
      <c r="P8483" s="4"/>
    </row>
    <row r="8484" spans="16:16" x14ac:dyDescent="0.25">
      <c r="P8484" s="4"/>
    </row>
    <row r="8485" spans="16:16" x14ac:dyDescent="0.25">
      <c r="P8485" s="4"/>
    </row>
    <row r="8486" spans="16:16" x14ac:dyDescent="0.25">
      <c r="P8486" s="4"/>
    </row>
    <row r="8487" spans="16:16" x14ac:dyDescent="0.25">
      <c r="P8487" s="4"/>
    </row>
    <row r="8488" spans="16:16" x14ac:dyDescent="0.25">
      <c r="P8488" s="4"/>
    </row>
    <row r="8489" spans="16:16" x14ac:dyDescent="0.25">
      <c r="P8489" s="4"/>
    </row>
    <row r="8490" spans="16:16" x14ac:dyDescent="0.25">
      <c r="P8490" s="4"/>
    </row>
    <row r="8491" spans="16:16" x14ac:dyDescent="0.25">
      <c r="P8491" s="4"/>
    </row>
    <row r="8492" spans="16:16" x14ac:dyDescent="0.25">
      <c r="P8492" s="4"/>
    </row>
    <row r="8493" spans="16:16" x14ac:dyDescent="0.25">
      <c r="P8493" s="4"/>
    </row>
    <row r="8494" spans="16:16" x14ac:dyDescent="0.25">
      <c r="P8494" s="4"/>
    </row>
    <row r="8495" spans="16:16" x14ac:dyDescent="0.25">
      <c r="P8495" s="4"/>
    </row>
    <row r="8496" spans="16:16" x14ac:dyDescent="0.25">
      <c r="P8496" s="4"/>
    </row>
    <row r="8497" spans="16:16" x14ac:dyDescent="0.25">
      <c r="P8497" s="4"/>
    </row>
    <row r="8498" spans="16:16" x14ac:dyDescent="0.25">
      <c r="P8498" s="4"/>
    </row>
    <row r="8499" spans="16:16" x14ac:dyDescent="0.25">
      <c r="P8499" s="4"/>
    </row>
    <row r="8500" spans="16:16" x14ac:dyDescent="0.25">
      <c r="P8500" s="4"/>
    </row>
    <row r="8501" spans="16:16" x14ac:dyDescent="0.25">
      <c r="P8501" s="4"/>
    </row>
    <row r="8502" spans="16:16" x14ac:dyDescent="0.25">
      <c r="P8502" s="4"/>
    </row>
    <row r="8503" spans="16:16" x14ac:dyDescent="0.25">
      <c r="P8503" s="4"/>
    </row>
    <row r="8504" spans="16:16" x14ac:dyDescent="0.25">
      <c r="P8504" s="4"/>
    </row>
    <row r="8505" spans="16:16" x14ac:dyDescent="0.25">
      <c r="P8505" s="4"/>
    </row>
    <row r="8506" spans="16:16" x14ac:dyDescent="0.25">
      <c r="P8506" s="4"/>
    </row>
    <row r="8507" spans="16:16" x14ac:dyDescent="0.25">
      <c r="P8507" s="4"/>
    </row>
    <row r="8508" spans="16:16" x14ac:dyDescent="0.25">
      <c r="P8508" s="4"/>
    </row>
    <row r="8509" spans="16:16" x14ac:dyDescent="0.25">
      <c r="P8509" s="4"/>
    </row>
    <row r="8510" spans="16:16" x14ac:dyDescent="0.25">
      <c r="P8510" s="4"/>
    </row>
    <row r="8511" spans="16:16" x14ac:dyDescent="0.25">
      <c r="P8511" s="4"/>
    </row>
    <row r="8512" spans="16:16" x14ac:dyDescent="0.25">
      <c r="P8512" s="4"/>
    </row>
    <row r="8513" spans="16:16" x14ac:dyDescent="0.25">
      <c r="P8513" s="4"/>
    </row>
    <row r="8514" spans="16:16" x14ac:dyDescent="0.25">
      <c r="P8514" s="4"/>
    </row>
    <row r="8515" spans="16:16" x14ac:dyDescent="0.25">
      <c r="P8515" s="4"/>
    </row>
    <row r="8516" spans="16:16" x14ac:dyDescent="0.25">
      <c r="P8516" s="4"/>
    </row>
    <row r="8517" spans="16:16" x14ac:dyDescent="0.25">
      <c r="P8517" s="4"/>
    </row>
    <row r="8518" spans="16:16" x14ac:dyDescent="0.25">
      <c r="P8518" s="4"/>
    </row>
    <row r="8519" spans="16:16" x14ac:dyDescent="0.25">
      <c r="P8519" s="4"/>
    </row>
    <row r="8520" spans="16:16" x14ac:dyDescent="0.25">
      <c r="P8520" s="4"/>
    </row>
    <row r="8521" spans="16:16" x14ac:dyDescent="0.25">
      <c r="P8521" s="4"/>
    </row>
    <row r="8522" spans="16:16" x14ac:dyDescent="0.25">
      <c r="P8522" s="4"/>
    </row>
    <row r="8523" spans="16:16" x14ac:dyDescent="0.25">
      <c r="P8523" s="4"/>
    </row>
    <row r="8524" spans="16:16" x14ac:dyDescent="0.25">
      <c r="P8524" s="4"/>
    </row>
    <row r="8525" spans="16:16" x14ac:dyDescent="0.25">
      <c r="P8525" s="4"/>
    </row>
    <row r="8526" spans="16:16" x14ac:dyDescent="0.25">
      <c r="P8526" s="4"/>
    </row>
    <row r="8527" spans="16:16" x14ac:dyDescent="0.25">
      <c r="P8527" s="4"/>
    </row>
    <row r="8528" spans="16:16" x14ac:dyDescent="0.25">
      <c r="P8528" s="4"/>
    </row>
    <row r="8529" spans="16:16" x14ac:dyDescent="0.25">
      <c r="P8529" s="4"/>
    </row>
    <row r="8530" spans="16:16" x14ac:dyDescent="0.25">
      <c r="P8530" s="4"/>
    </row>
    <row r="8531" spans="16:16" x14ac:dyDescent="0.25">
      <c r="P8531" s="4"/>
    </row>
    <row r="8532" spans="16:16" x14ac:dyDescent="0.25">
      <c r="P8532" s="4"/>
    </row>
    <row r="8533" spans="16:16" x14ac:dyDescent="0.25">
      <c r="P8533" s="4"/>
    </row>
    <row r="8534" spans="16:16" x14ac:dyDescent="0.25">
      <c r="P8534" s="4"/>
    </row>
    <row r="8535" spans="16:16" x14ac:dyDescent="0.25">
      <c r="P8535" s="4"/>
    </row>
    <row r="8536" spans="16:16" x14ac:dyDescent="0.25">
      <c r="P8536" s="4"/>
    </row>
    <row r="8537" spans="16:16" x14ac:dyDescent="0.25">
      <c r="P8537" s="4"/>
    </row>
    <row r="8538" spans="16:16" x14ac:dyDescent="0.25">
      <c r="P8538" s="4"/>
    </row>
    <row r="8539" spans="16:16" x14ac:dyDescent="0.25">
      <c r="P8539" s="4"/>
    </row>
    <row r="8540" spans="16:16" x14ac:dyDescent="0.25">
      <c r="P8540" s="4"/>
    </row>
    <row r="8541" spans="16:16" x14ac:dyDescent="0.25">
      <c r="P8541" s="4"/>
    </row>
    <row r="8542" spans="16:16" x14ac:dyDescent="0.25">
      <c r="P8542" s="4"/>
    </row>
    <row r="8543" spans="16:16" x14ac:dyDescent="0.25">
      <c r="P8543" s="4"/>
    </row>
    <row r="8544" spans="16:16" x14ac:dyDescent="0.25">
      <c r="P8544" s="4"/>
    </row>
    <row r="8545" spans="16:16" x14ac:dyDescent="0.25">
      <c r="P8545" s="4"/>
    </row>
    <row r="8546" spans="16:16" x14ac:dyDescent="0.25">
      <c r="P8546" s="4"/>
    </row>
    <row r="8547" spans="16:16" x14ac:dyDescent="0.25">
      <c r="P8547" s="4"/>
    </row>
    <row r="8548" spans="16:16" x14ac:dyDescent="0.25">
      <c r="P8548" s="4"/>
    </row>
    <row r="8549" spans="16:16" x14ac:dyDescent="0.25">
      <c r="P8549" s="4"/>
    </row>
    <row r="8550" spans="16:16" x14ac:dyDescent="0.25">
      <c r="P8550" s="4"/>
    </row>
    <row r="8551" spans="16:16" x14ac:dyDescent="0.25">
      <c r="P8551" s="4"/>
    </row>
    <row r="8552" spans="16:16" x14ac:dyDescent="0.25">
      <c r="P8552" s="4"/>
    </row>
    <row r="8553" spans="16:16" x14ac:dyDescent="0.25">
      <c r="P8553" s="4"/>
    </row>
    <row r="8554" spans="16:16" x14ac:dyDescent="0.25">
      <c r="P8554" s="4"/>
    </row>
    <row r="8555" spans="16:16" x14ac:dyDescent="0.25">
      <c r="P8555" s="4"/>
    </row>
    <row r="8556" spans="16:16" x14ac:dyDescent="0.25">
      <c r="P8556" s="4"/>
    </row>
    <row r="8557" spans="16:16" x14ac:dyDescent="0.25">
      <c r="P8557" s="4"/>
    </row>
    <row r="8558" spans="16:16" x14ac:dyDescent="0.25">
      <c r="P8558" s="4"/>
    </row>
    <row r="8559" spans="16:16" x14ac:dyDescent="0.25">
      <c r="P8559" s="4"/>
    </row>
    <row r="8560" spans="16:16" x14ac:dyDescent="0.25">
      <c r="P8560" s="4"/>
    </row>
    <row r="8561" spans="16:16" x14ac:dyDescent="0.25">
      <c r="P8561" s="4"/>
    </row>
    <row r="8562" spans="16:16" x14ac:dyDescent="0.25">
      <c r="P8562" s="4"/>
    </row>
    <row r="8563" spans="16:16" x14ac:dyDescent="0.25">
      <c r="P8563" s="4"/>
    </row>
    <row r="8564" spans="16:16" x14ac:dyDescent="0.25">
      <c r="P8564" s="4"/>
    </row>
    <row r="8565" spans="16:16" x14ac:dyDescent="0.25">
      <c r="P8565" s="4"/>
    </row>
    <row r="8566" spans="16:16" x14ac:dyDescent="0.25">
      <c r="P8566" s="4"/>
    </row>
    <row r="8567" spans="16:16" x14ac:dyDescent="0.25">
      <c r="P8567" s="4"/>
    </row>
    <row r="8568" spans="16:16" x14ac:dyDescent="0.25">
      <c r="P8568" s="4"/>
    </row>
    <row r="8569" spans="16:16" x14ac:dyDescent="0.25">
      <c r="P8569" s="4"/>
    </row>
    <row r="8570" spans="16:16" x14ac:dyDescent="0.25">
      <c r="P8570" s="4"/>
    </row>
    <row r="8571" spans="16:16" x14ac:dyDescent="0.25">
      <c r="P8571" s="4"/>
    </row>
    <row r="8572" spans="16:16" x14ac:dyDescent="0.25">
      <c r="P8572" s="4"/>
    </row>
    <row r="8573" spans="16:16" x14ac:dyDescent="0.25">
      <c r="P8573" s="4"/>
    </row>
    <row r="8574" spans="16:16" x14ac:dyDescent="0.25">
      <c r="P8574" s="4"/>
    </row>
    <row r="8575" spans="16:16" x14ac:dyDescent="0.25">
      <c r="P8575" s="4"/>
    </row>
    <row r="8576" spans="16:16" x14ac:dyDescent="0.25">
      <c r="P8576" s="4"/>
    </row>
    <row r="8577" spans="16:16" x14ac:dyDescent="0.25">
      <c r="P8577" s="4"/>
    </row>
    <row r="8578" spans="16:16" x14ac:dyDescent="0.25">
      <c r="P8578" s="4"/>
    </row>
    <row r="8579" spans="16:16" x14ac:dyDescent="0.25">
      <c r="P8579" s="4"/>
    </row>
    <row r="8580" spans="16:16" x14ac:dyDescent="0.25">
      <c r="P8580" s="4"/>
    </row>
    <row r="8581" spans="16:16" x14ac:dyDescent="0.25">
      <c r="P8581" s="4"/>
    </row>
    <row r="8582" spans="16:16" x14ac:dyDescent="0.25">
      <c r="P8582" s="4"/>
    </row>
    <row r="8583" spans="16:16" x14ac:dyDescent="0.25">
      <c r="P8583" s="4"/>
    </row>
    <row r="8584" spans="16:16" x14ac:dyDescent="0.25">
      <c r="P8584" s="4"/>
    </row>
    <row r="8585" spans="16:16" x14ac:dyDescent="0.25">
      <c r="P8585" s="4"/>
    </row>
    <row r="8586" spans="16:16" x14ac:dyDescent="0.25">
      <c r="P8586" s="4"/>
    </row>
    <row r="8587" spans="16:16" x14ac:dyDescent="0.25">
      <c r="P8587" s="4"/>
    </row>
    <row r="8588" spans="16:16" x14ac:dyDescent="0.25">
      <c r="P8588" s="4"/>
    </row>
    <row r="8589" spans="16:16" x14ac:dyDescent="0.25">
      <c r="P8589" s="4"/>
    </row>
    <row r="8590" spans="16:16" x14ac:dyDescent="0.25">
      <c r="P8590" s="4"/>
    </row>
    <row r="8591" spans="16:16" x14ac:dyDescent="0.25">
      <c r="P8591" s="4"/>
    </row>
    <row r="8592" spans="16:16" x14ac:dyDescent="0.25">
      <c r="P8592" s="4"/>
    </row>
    <row r="8593" spans="16:16" x14ac:dyDescent="0.25">
      <c r="P8593" s="4"/>
    </row>
    <row r="8594" spans="16:16" x14ac:dyDescent="0.25">
      <c r="P8594" s="4"/>
    </row>
    <row r="8595" spans="16:16" x14ac:dyDescent="0.25">
      <c r="P8595" s="4"/>
    </row>
    <row r="8596" spans="16:16" x14ac:dyDescent="0.25">
      <c r="P8596" s="4"/>
    </row>
    <row r="8597" spans="16:16" x14ac:dyDescent="0.25">
      <c r="P8597" s="4"/>
    </row>
    <row r="8598" spans="16:16" x14ac:dyDescent="0.25">
      <c r="P8598" s="4"/>
    </row>
    <row r="8599" spans="16:16" x14ac:dyDescent="0.25">
      <c r="P8599" s="4"/>
    </row>
    <row r="8600" spans="16:16" x14ac:dyDescent="0.25">
      <c r="P8600" s="4"/>
    </row>
    <row r="8601" spans="16:16" x14ac:dyDescent="0.25">
      <c r="P8601" s="4"/>
    </row>
    <row r="8602" spans="16:16" x14ac:dyDescent="0.25">
      <c r="P8602" s="4"/>
    </row>
    <row r="8603" spans="16:16" x14ac:dyDescent="0.25">
      <c r="P8603" s="4"/>
    </row>
    <row r="8604" spans="16:16" x14ac:dyDescent="0.25">
      <c r="P8604" s="4"/>
    </row>
    <row r="8605" spans="16:16" x14ac:dyDescent="0.25">
      <c r="P8605" s="4"/>
    </row>
    <row r="8606" spans="16:16" x14ac:dyDescent="0.25">
      <c r="P8606" s="4"/>
    </row>
    <row r="8607" spans="16:16" x14ac:dyDescent="0.25">
      <c r="P8607" s="4"/>
    </row>
    <row r="8608" spans="16:16" x14ac:dyDescent="0.25">
      <c r="P8608" s="4"/>
    </row>
    <row r="8609" spans="16:16" x14ac:dyDescent="0.25">
      <c r="P8609" s="4"/>
    </row>
    <row r="8610" spans="16:16" x14ac:dyDescent="0.25">
      <c r="P8610" s="4"/>
    </row>
    <row r="8611" spans="16:16" x14ac:dyDescent="0.25">
      <c r="P8611" s="4"/>
    </row>
    <row r="8612" spans="16:16" x14ac:dyDescent="0.25">
      <c r="P8612" s="4"/>
    </row>
    <row r="8613" spans="16:16" x14ac:dyDescent="0.25">
      <c r="P8613" s="4"/>
    </row>
    <row r="8614" spans="16:16" x14ac:dyDescent="0.25">
      <c r="P8614" s="4"/>
    </row>
    <row r="8615" spans="16:16" x14ac:dyDescent="0.25">
      <c r="P8615" s="4"/>
    </row>
    <row r="8616" spans="16:16" x14ac:dyDescent="0.25">
      <c r="P8616" s="4"/>
    </row>
    <row r="8617" spans="16:16" x14ac:dyDescent="0.25">
      <c r="P8617" s="4"/>
    </row>
    <row r="8618" spans="16:16" x14ac:dyDescent="0.25">
      <c r="P8618" s="4"/>
    </row>
    <row r="8619" spans="16:16" x14ac:dyDescent="0.25">
      <c r="P8619" s="4"/>
    </row>
    <row r="8620" spans="16:16" x14ac:dyDescent="0.25">
      <c r="P8620" s="4"/>
    </row>
    <row r="8621" spans="16:16" x14ac:dyDescent="0.25">
      <c r="P8621" s="4"/>
    </row>
    <row r="8622" spans="16:16" x14ac:dyDescent="0.25">
      <c r="P8622" s="4"/>
    </row>
    <row r="8623" spans="16:16" x14ac:dyDescent="0.25">
      <c r="P8623" s="4"/>
    </row>
    <row r="8624" spans="16:16" x14ac:dyDescent="0.25">
      <c r="P8624" s="4"/>
    </row>
    <row r="8625" spans="16:16" x14ac:dyDescent="0.25">
      <c r="P8625" s="4"/>
    </row>
    <row r="8626" spans="16:16" x14ac:dyDescent="0.25">
      <c r="P8626" s="4"/>
    </row>
    <row r="8627" spans="16:16" x14ac:dyDescent="0.25">
      <c r="P8627" s="4"/>
    </row>
    <row r="8628" spans="16:16" x14ac:dyDescent="0.25">
      <c r="P8628" s="4"/>
    </row>
    <row r="8629" spans="16:16" x14ac:dyDescent="0.25">
      <c r="P8629" s="4"/>
    </row>
    <row r="8630" spans="16:16" x14ac:dyDescent="0.25">
      <c r="P8630" s="4"/>
    </row>
    <row r="8631" spans="16:16" x14ac:dyDescent="0.25">
      <c r="P8631" s="4"/>
    </row>
    <row r="8632" spans="16:16" x14ac:dyDescent="0.25">
      <c r="P8632" s="4"/>
    </row>
    <row r="8633" spans="16:16" x14ac:dyDescent="0.25">
      <c r="P8633" s="4"/>
    </row>
    <row r="8634" spans="16:16" x14ac:dyDescent="0.25">
      <c r="P8634" s="4"/>
    </row>
    <row r="8635" spans="16:16" x14ac:dyDescent="0.25">
      <c r="P8635" s="4"/>
    </row>
    <row r="8636" spans="16:16" x14ac:dyDescent="0.25">
      <c r="P8636" s="4"/>
    </row>
    <row r="8637" spans="16:16" x14ac:dyDescent="0.25">
      <c r="P8637" s="4"/>
    </row>
    <row r="8638" spans="16:16" x14ac:dyDescent="0.25">
      <c r="P8638" s="4"/>
    </row>
    <row r="8639" spans="16:16" x14ac:dyDescent="0.25">
      <c r="P8639" s="4"/>
    </row>
    <row r="8640" spans="16:16" x14ac:dyDescent="0.25">
      <c r="P8640" s="4"/>
    </row>
    <row r="8641" spans="16:16" x14ac:dyDescent="0.25">
      <c r="P8641" s="4"/>
    </row>
    <row r="8642" spans="16:16" x14ac:dyDescent="0.25">
      <c r="P8642" s="4"/>
    </row>
    <row r="8643" spans="16:16" x14ac:dyDescent="0.25">
      <c r="P8643" s="4"/>
    </row>
    <row r="8644" spans="16:16" x14ac:dyDescent="0.25">
      <c r="P8644" s="4"/>
    </row>
    <row r="8645" spans="16:16" x14ac:dyDescent="0.25">
      <c r="P8645" s="4"/>
    </row>
    <row r="8646" spans="16:16" x14ac:dyDescent="0.25">
      <c r="P8646" s="4"/>
    </row>
    <row r="8647" spans="16:16" x14ac:dyDescent="0.25">
      <c r="P8647" s="4"/>
    </row>
    <row r="8648" spans="16:16" x14ac:dyDescent="0.25">
      <c r="P8648" s="4"/>
    </row>
    <row r="8649" spans="16:16" x14ac:dyDescent="0.25">
      <c r="P8649" s="4"/>
    </row>
    <row r="8650" spans="16:16" x14ac:dyDescent="0.25">
      <c r="P8650" s="4"/>
    </row>
    <row r="8651" spans="16:16" x14ac:dyDescent="0.25">
      <c r="P8651" s="4"/>
    </row>
    <row r="8652" spans="16:16" x14ac:dyDescent="0.25">
      <c r="P8652" s="4"/>
    </row>
    <row r="8653" spans="16:16" x14ac:dyDescent="0.25">
      <c r="P8653" s="4"/>
    </row>
    <row r="8654" spans="16:16" x14ac:dyDescent="0.25">
      <c r="P8654" s="4"/>
    </row>
    <row r="8655" spans="16:16" x14ac:dyDescent="0.25">
      <c r="P8655" s="4"/>
    </row>
    <row r="8656" spans="16:16" x14ac:dyDescent="0.25">
      <c r="P8656" s="4"/>
    </row>
    <row r="8657" spans="16:16" x14ac:dyDescent="0.25">
      <c r="P8657" s="4"/>
    </row>
    <row r="8658" spans="16:16" x14ac:dyDescent="0.25">
      <c r="P8658" s="4"/>
    </row>
    <row r="8659" spans="16:16" x14ac:dyDescent="0.25">
      <c r="P8659" s="4"/>
    </row>
    <row r="8660" spans="16:16" x14ac:dyDescent="0.25">
      <c r="P8660" s="4"/>
    </row>
    <row r="8661" spans="16:16" x14ac:dyDescent="0.25">
      <c r="P8661" s="4"/>
    </row>
    <row r="8662" spans="16:16" x14ac:dyDescent="0.25">
      <c r="P8662" s="4"/>
    </row>
    <row r="8663" spans="16:16" x14ac:dyDescent="0.25">
      <c r="P8663" s="4"/>
    </row>
    <row r="8664" spans="16:16" x14ac:dyDescent="0.25">
      <c r="P8664" s="4"/>
    </row>
    <row r="8665" spans="16:16" x14ac:dyDescent="0.25">
      <c r="P8665" s="4"/>
    </row>
    <row r="8666" spans="16:16" x14ac:dyDescent="0.25">
      <c r="P8666" s="4"/>
    </row>
    <row r="8667" spans="16:16" x14ac:dyDescent="0.25">
      <c r="P8667" s="4"/>
    </row>
    <row r="8668" spans="16:16" x14ac:dyDescent="0.25">
      <c r="P8668" s="4"/>
    </row>
    <row r="8669" spans="16:16" x14ac:dyDescent="0.25">
      <c r="P8669" s="4"/>
    </row>
    <row r="8670" spans="16:16" x14ac:dyDescent="0.25">
      <c r="P8670" s="4"/>
    </row>
    <row r="8671" spans="16:16" x14ac:dyDescent="0.25">
      <c r="P8671" s="4"/>
    </row>
    <row r="8672" spans="16:16" x14ac:dyDescent="0.25">
      <c r="P8672" s="4"/>
    </row>
    <row r="8673" spans="16:16" x14ac:dyDescent="0.25">
      <c r="P8673" s="4"/>
    </row>
    <row r="8674" spans="16:16" x14ac:dyDescent="0.25">
      <c r="P8674" s="4"/>
    </row>
    <row r="8675" spans="16:16" x14ac:dyDescent="0.25">
      <c r="P8675" s="4"/>
    </row>
    <row r="8676" spans="16:16" x14ac:dyDescent="0.25">
      <c r="P8676" s="4"/>
    </row>
    <row r="8677" spans="16:16" x14ac:dyDescent="0.25">
      <c r="P8677" s="4"/>
    </row>
    <row r="8678" spans="16:16" x14ac:dyDescent="0.25">
      <c r="P8678" s="4"/>
    </row>
    <row r="8679" spans="16:16" x14ac:dyDescent="0.25">
      <c r="P8679" s="4"/>
    </row>
    <row r="8680" spans="16:16" x14ac:dyDescent="0.25">
      <c r="P8680" s="4"/>
    </row>
    <row r="8681" spans="16:16" x14ac:dyDescent="0.25">
      <c r="P8681" s="4"/>
    </row>
    <row r="8682" spans="16:16" x14ac:dyDescent="0.25">
      <c r="P8682" s="4"/>
    </row>
    <row r="8683" spans="16:16" x14ac:dyDescent="0.25">
      <c r="P8683" s="4"/>
    </row>
    <row r="8684" spans="16:16" x14ac:dyDescent="0.25">
      <c r="P8684" s="4"/>
    </row>
    <row r="8685" spans="16:16" x14ac:dyDescent="0.25">
      <c r="P8685" s="4"/>
    </row>
    <row r="8686" spans="16:16" x14ac:dyDescent="0.25">
      <c r="P8686" s="4"/>
    </row>
    <row r="8687" spans="16:16" x14ac:dyDescent="0.25">
      <c r="P8687" s="4"/>
    </row>
    <row r="8688" spans="16:16" x14ac:dyDescent="0.25">
      <c r="P8688" s="4"/>
    </row>
    <row r="8689" spans="16:16" x14ac:dyDescent="0.25">
      <c r="P8689" s="4"/>
    </row>
    <row r="8690" spans="16:16" x14ac:dyDescent="0.25">
      <c r="P8690" s="4"/>
    </row>
    <row r="8691" spans="16:16" x14ac:dyDescent="0.25">
      <c r="P8691" s="4"/>
    </row>
    <row r="8692" spans="16:16" x14ac:dyDescent="0.25">
      <c r="P8692" s="4"/>
    </row>
    <row r="8693" spans="16:16" x14ac:dyDescent="0.25">
      <c r="P8693" s="4"/>
    </row>
    <row r="8694" spans="16:16" x14ac:dyDescent="0.25">
      <c r="P8694" s="4"/>
    </row>
    <row r="8695" spans="16:16" x14ac:dyDescent="0.25">
      <c r="P8695" s="4"/>
    </row>
    <row r="8696" spans="16:16" x14ac:dyDescent="0.25">
      <c r="P8696" s="4"/>
    </row>
    <row r="8697" spans="16:16" x14ac:dyDescent="0.25">
      <c r="P8697" s="4"/>
    </row>
    <row r="8698" spans="16:16" x14ac:dyDescent="0.25">
      <c r="P8698" s="4"/>
    </row>
    <row r="8699" spans="16:16" x14ac:dyDescent="0.25">
      <c r="P8699" s="4"/>
    </row>
    <row r="8700" spans="16:16" x14ac:dyDescent="0.25">
      <c r="P8700" s="4"/>
    </row>
    <row r="8701" spans="16:16" x14ac:dyDescent="0.25">
      <c r="P8701" s="4"/>
    </row>
    <row r="8702" spans="16:16" x14ac:dyDescent="0.25">
      <c r="P8702" s="4"/>
    </row>
    <row r="8703" spans="16:16" x14ac:dyDescent="0.25">
      <c r="P8703" s="4"/>
    </row>
    <row r="8704" spans="16:16" x14ac:dyDescent="0.25">
      <c r="P8704" s="4"/>
    </row>
    <row r="8705" spans="16:16" x14ac:dyDescent="0.25">
      <c r="P8705" s="4"/>
    </row>
    <row r="8706" spans="16:16" x14ac:dyDescent="0.25">
      <c r="P8706" s="4"/>
    </row>
    <row r="8707" spans="16:16" x14ac:dyDescent="0.25">
      <c r="P8707" s="4"/>
    </row>
    <row r="8708" spans="16:16" x14ac:dyDescent="0.25">
      <c r="P8708" s="4"/>
    </row>
    <row r="8709" spans="16:16" x14ac:dyDescent="0.25">
      <c r="P8709" s="4"/>
    </row>
    <row r="8710" spans="16:16" x14ac:dyDescent="0.25">
      <c r="P8710" s="4"/>
    </row>
    <row r="8711" spans="16:16" x14ac:dyDescent="0.25">
      <c r="P8711" s="4"/>
    </row>
    <row r="8712" spans="16:16" x14ac:dyDescent="0.25">
      <c r="P8712" s="4"/>
    </row>
    <row r="8713" spans="16:16" x14ac:dyDescent="0.25">
      <c r="P8713" s="4"/>
    </row>
    <row r="8714" spans="16:16" x14ac:dyDescent="0.25">
      <c r="P8714" s="4"/>
    </row>
    <row r="8715" spans="16:16" x14ac:dyDescent="0.25">
      <c r="P8715" s="4"/>
    </row>
    <row r="8716" spans="16:16" x14ac:dyDescent="0.25">
      <c r="P8716" s="4"/>
    </row>
    <row r="8717" spans="16:16" x14ac:dyDescent="0.25">
      <c r="P8717" s="4"/>
    </row>
    <row r="8718" spans="16:16" x14ac:dyDescent="0.25">
      <c r="P8718" s="4"/>
    </row>
    <row r="8719" spans="16:16" x14ac:dyDescent="0.25">
      <c r="P8719" s="4"/>
    </row>
    <row r="8720" spans="16:16" x14ac:dyDescent="0.25">
      <c r="P8720" s="4"/>
    </row>
    <row r="8721" spans="16:16" x14ac:dyDescent="0.25">
      <c r="P8721" s="4"/>
    </row>
    <row r="8722" spans="16:16" x14ac:dyDescent="0.25">
      <c r="P8722" s="4"/>
    </row>
    <row r="8723" spans="16:16" x14ac:dyDescent="0.25">
      <c r="P8723" s="4"/>
    </row>
    <row r="8724" spans="16:16" x14ac:dyDescent="0.25">
      <c r="P8724" s="4"/>
    </row>
    <row r="8725" spans="16:16" x14ac:dyDescent="0.25">
      <c r="P8725" s="4"/>
    </row>
    <row r="8726" spans="16:16" x14ac:dyDescent="0.25">
      <c r="P8726" s="4"/>
    </row>
    <row r="8727" spans="16:16" x14ac:dyDescent="0.25">
      <c r="P8727" s="4"/>
    </row>
    <row r="8728" spans="16:16" x14ac:dyDescent="0.25">
      <c r="P8728" s="4"/>
    </row>
    <row r="8729" spans="16:16" x14ac:dyDescent="0.25">
      <c r="P8729" s="4"/>
    </row>
    <row r="8730" spans="16:16" x14ac:dyDescent="0.25">
      <c r="P8730" s="4"/>
    </row>
    <row r="8731" spans="16:16" x14ac:dyDescent="0.25">
      <c r="P8731" s="4"/>
    </row>
    <row r="8732" spans="16:16" x14ac:dyDescent="0.25">
      <c r="P8732" s="4"/>
    </row>
    <row r="8733" spans="16:16" x14ac:dyDescent="0.25">
      <c r="P8733" s="4"/>
    </row>
    <row r="8734" spans="16:16" x14ac:dyDescent="0.25">
      <c r="P8734" s="4"/>
    </row>
    <row r="8735" spans="16:16" x14ac:dyDescent="0.25">
      <c r="P8735" s="4"/>
    </row>
    <row r="8736" spans="16:16" x14ac:dyDescent="0.25">
      <c r="P8736" s="4"/>
    </row>
    <row r="8737" spans="16:16" x14ac:dyDescent="0.25">
      <c r="P8737" s="4"/>
    </row>
    <row r="8738" spans="16:16" x14ac:dyDescent="0.25">
      <c r="P8738" s="4"/>
    </row>
    <row r="8739" spans="16:16" x14ac:dyDescent="0.25">
      <c r="P8739" s="4"/>
    </row>
    <row r="8740" spans="16:16" x14ac:dyDescent="0.25">
      <c r="P8740" s="4"/>
    </row>
    <row r="8741" spans="16:16" x14ac:dyDescent="0.25">
      <c r="P8741" s="4"/>
    </row>
    <row r="8742" spans="16:16" x14ac:dyDescent="0.25">
      <c r="P8742" s="4"/>
    </row>
    <row r="8743" spans="16:16" x14ac:dyDescent="0.25">
      <c r="P8743" s="4"/>
    </row>
    <row r="8744" spans="16:16" x14ac:dyDescent="0.25">
      <c r="P8744" s="4"/>
    </row>
    <row r="8745" spans="16:16" x14ac:dyDescent="0.25">
      <c r="P8745" s="4"/>
    </row>
    <row r="8746" spans="16:16" x14ac:dyDescent="0.25">
      <c r="P8746" s="4"/>
    </row>
    <row r="8747" spans="16:16" x14ac:dyDescent="0.25">
      <c r="P8747" s="4"/>
    </row>
    <row r="8748" spans="16:16" x14ac:dyDescent="0.25">
      <c r="P8748" s="4"/>
    </row>
    <row r="8749" spans="16:16" x14ac:dyDescent="0.25">
      <c r="P8749" s="4"/>
    </row>
    <row r="8750" spans="16:16" x14ac:dyDescent="0.25">
      <c r="P8750" s="4"/>
    </row>
    <row r="8751" spans="16:16" x14ac:dyDescent="0.25">
      <c r="P8751" s="4"/>
    </row>
    <row r="8752" spans="16:16" x14ac:dyDescent="0.25">
      <c r="P8752" s="4"/>
    </row>
    <row r="8753" spans="16:16" x14ac:dyDescent="0.25">
      <c r="P8753" s="4"/>
    </row>
    <row r="8754" spans="16:16" x14ac:dyDescent="0.25">
      <c r="P8754" s="4"/>
    </row>
    <row r="8755" spans="16:16" x14ac:dyDescent="0.25">
      <c r="P8755" s="4"/>
    </row>
    <row r="8756" spans="16:16" x14ac:dyDescent="0.25">
      <c r="P8756" s="4"/>
    </row>
    <row r="8757" spans="16:16" x14ac:dyDescent="0.25">
      <c r="P8757" s="4"/>
    </row>
    <row r="8758" spans="16:16" x14ac:dyDescent="0.25">
      <c r="P8758" s="4"/>
    </row>
    <row r="8759" spans="16:16" x14ac:dyDescent="0.25">
      <c r="P8759" s="4"/>
    </row>
    <row r="8760" spans="16:16" x14ac:dyDescent="0.25">
      <c r="P8760" s="4"/>
    </row>
    <row r="8761" spans="16:16" x14ac:dyDescent="0.25">
      <c r="P8761" s="4"/>
    </row>
    <row r="8762" spans="16:16" x14ac:dyDescent="0.25">
      <c r="P8762" s="4"/>
    </row>
    <row r="8763" spans="16:16" x14ac:dyDescent="0.25">
      <c r="P8763" s="4"/>
    </row>
    <row r="8764" spans="16:16" x14ac:dyDescent="0.25">
      <c r="P8764" s="4"/>
    </row>
    <row r="8765" spans="16:16" x14ac:dyDescent="0.25">
      <c r="P8765" s="4"/>
    </row>
    <row r="8766" spans="16:16" x14ac:dyDescent="0.25">
      <c r="P8766" s="4"/>
    </row>
    <row r="8767" spans="16:16" x14ac:dyDescent="0.25">
      <c r="P8767" s="4"/>
    </row>
    <row r="8768" spans="16:16" x14ac:dyDescent="0.25">
      <c r="P8768" s="4"/>
    </row>
    <row r="8769" spans="16:16" x14ac:dyDescent="0.25">
      <c r="P8769" s="4"/>
    </row>
    <row r="8770" spans="16:16" x14ac:dyDescent="0.25">
      <c r="P8770" s="4"/>
    </row>
    <row r="8771" spans="16:16" x14ac:dyDescent="0.25">
      <c r="P8771" s="4"/>
    </row>
    <row r="8772" spans="16:16" x14ac:dyDescent="0.25">
      <c r="P8772" s="4"/>
    </row>
    <row r="8773" spans="16:16" x14ac:dyDescent="0.25">
      <c r="P8773" s="4"/>
    </row>
    <row r="8774" spans="16:16" x14ac:dyDescent="0.25">
      <c r="P8774" s="4"/>
    </row>
    <row r="8775" spans="16:16" x14ac:dyDescent="0.25">
      <c r="P8775" s="4"/>
    </row>
    <row r="8776" spans="16:16" x14ac:dyDescent="0.25">
      <c r="P8776" s="4"/>
    </row>
    <row r="8777" spans="16:16" x14ac:dyDescent="0.25">
      <c r="P8777" s="4"/>
    </row>
    <row r="8778" spans="16:16" x14ac:dyDescent="0.25">
      <c r="P8778" s="4"/>
    </row>
    <row r="8779" spans="16:16" x14ac:dyDescent="0.25">
      <c r="P8779" s="4"/>
    </row>
    <row r="8780" spans="16:16" x14ac:dyDescent="0.25">
      <c r="P8780" s="4"/>
    </row>
    <row r="8781" spans="16:16" x14ac:dyDescent="0.25">
      <c r="P8781" s="4"/>
    </row>
    <row r="8782" spans="16:16" x14ac:dyDescent="0.25">
      <c r="P8782" s="4"/>
    </row>
    <row r="8783" spans="16:16" x14ac:dyDescent="0.25">
      <c r="P8783" s="4"/>
    </row>
    <row r="8784" spans="16:16" x14ac:dyDescent="0.25">
      <c r="P8784" s="4"/>
    </row>
    <row r="8785" spans="16:16" x14ac:dyDescent="0.25">
      <c r="P8785" s="4"/>
    </row>
    <row r="8786" spans="16:16" x14ac:dyDescent="0.25">
      <c r="P8786" s="4"/>
    </row>
    <row r="8787" spans="16:16" x14ac:dyDescent="0.25">
      <c r="P8787" s="4"/>
    </row>
    <row r="8788" spans="16:16" x14ac:dyDescent="0.25">
      <c r="P8788" s="4"/>
    </row>
    <row r="8789" spans="16:16" x14ac:dyDescent="0.25">
      <c r="P8789" s="4"/>
    </row>
    <row r="8790" spans="16:16" x14ac:dyDescent="0.25">
      <c r="P8790" s="4"/>
    </row>
    <row r="8791" spans="16:16" x14ac:dyDescent="0.25">
      <c r="P8791" s="4"/>
    </row>
    <row r="8792" spans="16:16" x14ac:dyDescent="0.25">
      <c r="P8792" s="4"/>
    </row>
    <row r="8793" spans="16:16" x14ac:dyDescent="0.25">
      <c r="P8793" s="4"/>
    </row>
    <row r="8794" spans="16:16" x14ac:dyDescent="0.25">
      <c r="P8794" s="4"/>
    </row>
    <row r="8795" spans="16:16" x14ac:dyDescent="0.25">
      <c r="P8795" s="4"/>
    </row>
    <row r="8796" spans="16:16" x14ac:dyDescent="0.25">
      <c r="P8796" s="4"/>
    </row>
    <row r="8797" spans="16:16" x14ac:dyDescent="0.25">
      <c r="P8797" s="4"/>
    </row>
    <row r="8798" spans="16:16" x14ac:dyDescent="0.25">
      <c r="P8798" s="4"/>
    </row>
    <row r="8799" spans="16:16" x14ac:dyDescent="0.25">
      <c r="P8799" s="4"/>
    </row>
    <row r="8800" spans="16:16" x14ac:dyDescent="0.25">
      <c r="P8800" s="4"/>
    </row>
    <row r="8801" spans="16:16" x14ac:dyDescent="0.25">
      <c r="P8801" s="4"/>
    </row>
    <row r="8802" spans="16:16" x14ac:dyDescent="0.25">
      <c r="P8802" s="4"/>
    </row>
    <row r="8803" spans="16:16" x14ac:dyDescent="0.25">
      <c r="P8803" s="4"/>
    </row>
    <row r="8804" spans="16:16" x14ac:dyDescent="0.25">
      <c r="P8804" s="4"/>
    </row>
    <row r="8805" spans="16:16" x14ac:dyDescent="0.25">
      <c r="P8805" s="4"/>
    </row>
    <row r="8806" spans="16:16" x14ac:dyDescent="0.25">
      <c r="P8806" s="4"/>
    </row>
    <row r="8807" spans="16:16" x14ac:dyDescent="0.25">
      <c r="P8807" s="4"/>
    </row>
    <row r="8808" spans="16:16" x14ac:dyDescent="0.25">
      <c r="P8808" s="4"/>
    </row>
    <row r="8809" spans="16:16" x14ac:dyDescent="0.25">
      <c r="P8809" s="4"/>
    </row>
    <row r="8810" spans="16:16" x14ac:dyDescent="0.25">
      <c r="P8810" s="4"/>
    </row>
    <row r="8811" spans="16:16" x14ac:dyDescent="0.25">
      <c r="P8811" s="4"/>
    </row>
    <row r="8812" spans="16:16" x14ac:dyDescent="0.25">
      <c r="P8812" s="4"/>
    </row>
    <row r="8813" spans="16:16" x14ac:dyDescent="0.25">
      <c r="P8813" s="4"/>
    </row>
    <row r="8814" spans="16:16" x14ac:dyDescent="0.25">
      <c r="P8814" s="4"/>
    </row>
    <row r="8815" spans="16:16" x14ac:dyDescent="0.25">
      <c r="P8815" s="4"/>
    </row>
    <row r="8816" spans="16:16" x14ac:dyDescent="0.25">
      <c r="P8816" s="4"/>
    </row>
    <row r="8817" spans="16:16" x14ac:dyDescent="0.25">
      <c r="P8817" s="4"/>
    </row>
    <row r="8818" spans="16:16" x14ac:dyDescent="0.25">
      <c r="P8818" s="4"/>
    </row>
    <row r="8819" spans="16:16" x14ac:dyDescent="0.25">
      <c r="P8819" s="4"/>
    </row>
    <row r="8820" spans="16:16" x14ac:dyDescent="0.25">
      <c r="P8820" s="4"/>
    </row>
    <row r="8821" spans="16:16" x14ac:dyDescent="0.25">
      <c r="P8821" s="4"/>
    </row>
    <row r="8822" spans="16:16" x14ac:dyDescent="0.25">
      <c r="P8822" s="4"/>
    </row>
    <row r="8823" spans="16:16" x14ac:dyDescent="0.25">
      <c r="P8823" s="4"/>
    </row>
    <row r="8824" spans="16:16" x14ac:dyDescent="0.25">
      <c r="P8824" s="4"/>
    </row>
    <row r="8825" spans="16:16" x14ac:dyDescent="0.25">
      <c r="P8825" s="4"/>
    </row>
    <row r="8826" spans="16:16" x14ac:dyDescent="0.25">
      <c r="P8826" s="4"/>
    </row>
    <row r="8827" spans="16:16" x14ac:dyDescent="0.25">
      <c r="P8827" s="4"/>
    </row>
    <row r="8828" spans="16:16" x14ac:dyDescent="0.25">
      <c r="P8828" s="4"/>
    </row>
    <row r="8829" spans="16:16" x14ac:dyDescent="0.25">
      <c r="P8829" s="4"/>
    </row>
    <row r="8830" spans="16:16" x14ac:dyDescent="0.25">
      <c r="P8830" s="4"/>
    </row>
    <row r="8831" spans="16:16" x14ac:dyDescent="0.25">
      <c r="P8831" s="4"/>
    </row>
    <row r="8832" spans="16:16" x14ac:dyDescent="0.25">
      <c r="P8832" s="4"/>
    </row>
    <row r="8833" spans="16:16" x14ac:dyDescent="0.25">
      <c r="P8833" s="4"/>
    </row>
    <row r="8834" spans="16:16" x14ac:dyDescent="0.25">
      <c r="P8834" s="4"/>
    </row>
    <row r="8835" spans="16:16" x14ac:dyDescent="0.25">
      <c r="P8835" s="4"/>
    </row>
    <row r="8836" spans="16:16" x14ac:dyDescent="0.25">
      <c r="P8836" s="4"/>
    </row>
    <row r="8837" spans="16:16" x14ac:dyDescent="0.25">
      <c r="P8837" s="4"/>
    </row>
    <row r="8838" spans="16:16" x14ac:dyDescent="0.25">
      <c r="P8838" s="4"/>
    </row>
    <row r="8839" spans="16:16" x14ac:dyDescent="0.25">
      <c r="P8839" s="4"/>
    </row>
    <row r="8840" spans="16:16" x14ac:dyDescent="0.25">
      <c r="P8840" s="4"/>
    </row>
    <row r="8841" spans="16:16" x14ac:dyDescent="0.25">
      <c r="P8841" s="4"/>
    </row>
    <row r="8842" spans="16:16" x14ac:dyDescent="0.25">
      <c r="P8842" s="4"/>
    </row>
    <row r="8843" spans="16:16" x14ac:dyDescent="0.25">
      <c r="P8843" s="4"/>
    </row>
    <row r="8844" spans="16:16" x14ac:dyDescent="0.25">
      <c r="P8844" s="4"/>
    </row>
    <row r="8845" spans="16:16" x14ac:dyDescent="0.25">
      <c r="P8845" s="4"/>
    </row>
    <row r="8846" spans="16:16" x14ac:dyDescent="0.25">
      <c r="P8846" s="4"/>
    </row>
    <row r="8847" spans="16:16" x14ac:dyDescent="0.25">
      <c r="P8847" s="4"/>
    </row>
    <row r="8848" spans="16:16" x14ac:dyDescent="0.25">
      <c r="P8848" s="4"/>
    </row>
    <row r="8849" spans="16:16" x14ac:dyDescent="0.25">
      <c r="P8849" s="4"/>
    </row>
    <row r="8850" spans="16:16" x14ac:dyDescent="0.25">
      <c r="P8850" s="4"/>
    </row>
    <row r="8851" spans="16:16" x14ac:dyDescent="0.25">
      <c r="P8851" s="4"/>
    </row>
    <row r="8852" spans="16:16" x14ac:dyDescent="0.25">
      <c r="P8852" s="4"/>
    </row>
    <row r="8853" spans="16:16" x14ac:dyDescent="0.25">
      <c r="P8853" s="4"/>
    </row>
    <row r="8854" spans="16:16" x14ac:dyDescent="0.25">
      <c r="P8854" s="4"/>
    </row>
    <row r="8855" spans="16:16" x14ac:dyDescent="0.25">
      <c r="P8855" s="4"/>
    </row>
    <row r="8856" spans="16:16" x14ac:dyDescent="0.25">
      <c r="P8856" s="4"/>
    </row>
    <row r="8857" spans="16:16" x14ac:dyDescent="0.25">
      <c r="P8857" s="4"/>
    </row>
    <row r="8858" spans="16:16" x14ac:dyDescent="0.25">
      <c r="P8858" s="4"/>
    </row>
    <row r="8859" spans="16:16" x14ac:dyDescent="0.25">
      <c r="P8859" s="4"/>
    </row>
    <row r="8860" spans="16:16" x14ac:dyDescent="0.25">
      <c r="P8860" s="4"/>
    </row>
    <row r="8861" spans="16:16" x14ac:dyDescent="0.25">
      <c r="P8861" s="4"/>
    </row>
    <row r="8862" spans="16:16" x14ac:dyDescent="0.25">
      <c r="P8862" s="4"/>
    </row>
    <row r="8863" spans="16:16" x14ac:dyDescent="0.25">
      <c r="P8863" s="4"/>
    </row>
    <row r="8864" spans="16:16" x14ac:dyDescent="0.25">
      <c r="P8864" s="4"/>
    </row>
    <row r="8865" spans="16:16" x14ac:dyDescent="0.25">
      <c r="P8865" s="4"/>
    </row>
    <row r="8866" spans="16:16" x14ac:dyDescent="0.25">
      <c r="P8866" s="4"/>
    </row>
    <row r="8867" spans="16:16" x14ac:dyDescent="0.25">
      <c r="P8867" s="4"/>
    </row>
    <row r="8868" spans="16:16" x14ac:dyDescent="0.25">
      <c r="P8868" s="4"/>
    </row>
    <row r="8869" spans="16:16" x14ac:dyDescent="0.25">
      <c r="P8869" s="4"/>
    </row>
    <row r="8870" spans="16:16" x14ac:dyDescent="0.25">
      <c r="P8870" s="4"/>
    </row>
    <row r="8871" spans="16:16" x14ac:dyDescent="0.25">
      <c r="P8871" s="4"/>
    </row>
    <row r="8872" spans="16:16" x14ac:dyDescent="0.25">
      <c r="P8872" s="4"/>
    </row>
    <row r="8873" spans="16:16" x14ac:dyDescent="0.25">
      <c r="P8873" s="4"/>
    </row>
    <row r="8874" spans="16:16" x14ac:dyDescent="0.25">
      <c r="P8874" s="4"/>
    </row>
    <row r="8875" spans="16:16" x14ac:dyDescent="0.25">
      <c r="P8875" s="4"/>
    </row>
    <row r="8876" spans="16:16" x14ac:dyDescent="0.25">
      <c r="P8876" s="4"/>
    </row>
    <row r="8877" spans="16:16" x14ac:dyDescent="0.25">
      <c r="P8877" s="4"/>
    </row>
    <row r="8878" spans="16:16" x14ac:dyDescent="0.25">
      <c r="P8878" s="4"/>
    </row>
    <row r="8879" spans="16:16" x14ac:dyDescent="0.25">
      <c r="P8879" s="4"/>
    </row>
    <row r="8880" spans="16:16" x14ac:dyDescent="0.25">
      <c r="P8880" s="4"/>
    </row>
    <row r="8881" spans="16:16" x14ac:dyDescent="0.25">
      <c r="P8881" s="4"/>
    </row>
    <row r="8882" spans="16:16" x14ac:dyDescent="0.25">
      <c r="P8882" s="4"/>
    </row>
    <row r="8883" spans="16:16" x14ac:dyDescent="0.25">
      <c r="P8883" s="4"/>
    </row>
    <row r="8884" spans="16:16" x14ac:dyDescent="0.25">
      <c r="P8884" s="4"/>
    </row>
    <row r="8885" spans="16:16" x14ac:dyDescent="0.25">
      <c r="P8885" s="4"/>
    </row>
    <row r="8886" spans="16:16" x14ac:dyDescent="0.25">
      <c r="P8886" s="4"/>
    </row>
    <row r="8887" spans="16:16" x14ac:dyDescent="0.25">
      <c r="P8887" s="4"/>
    </row>
    <row r="8888" spans="16:16" x14ac:dyDescent="0.25">
      <c r="P8888" s="4"/>
    </row>
    <row r="8889" spans="16:16" x14ac:dyDescent="0.25">
      <c r="P8889" s="4"/>
    </row>
    <row r="8890" spans="16:16" x14ac:dyDescent="0.25">
      <c r="P8890" s="4"/>
    </row>
    <row r="8891" spans="16:16" x14ac:dyDescent="0.25">
      <c r="P8891" s="4"/>
    </row>
    <row r="8892" spans="16:16" x14ac:dyDescent="0.25">
      <c r="P8892" s="4"/>
    </row>
    <row r="8893" spans="16:16" x14ac:dyDescent="0.25">
      <c r="P8893" s="4"/>
    </row>
    <row r="8894" spans="16:16" x14ac:dyDescent="0.25">
      <c r="P8894" s="4"/>
    </row>
    <row r="8895" spans="16:16" x14ac:dyDescent="0.25">
      <c r="P8895" s="4"/>
    </row>
    <row r="8896" spans="16:16" x14ac:dyDescent="0.25">
      <c r="P8896" s="4"/>
    </row>
    <row r="8897" spans="16:16" x14ac:dyDescent="0.25">
      <c r="P8897" s="4"/>
    </row>
    <row r="8898" spans="16:16" x14ac:dyDescent="0.25">
      <c r="P8898" s="4"/>
    </row>
    <row r="8899" spans="16:16" x14ac:dyDescent="0.25">
      <c r="P8899" s="4"/>
    </row>
    <row r="8900" spans="16:16" x14ac:dyDescent="0.25">
      <c r="P8900" s="4"/>
    </row>
    <row r="8901" spans="16:16" x14ac:dyDescent="0.25">
      <c r="P8901" s="4"/>
    </row>
    <row r="8902" spans="16:16" x14ac:dyDescent="0.25">
      <c r="P8902" s="4"/>
    </row>
    <row r="8903" spans="16:16" x14ac:dyDescent="0.25">
      <c r="P8903" s="4"/>
    </row>
    <row r="8904" spans="16:16" x14ac:dyDescent="0.25">
      <c r="P8904" s="4"/>
    </row>
    <row r="8905" spans="16:16" x14ac:dyDescent="0.25">
      <c r="P8905" s="4"/>
    </row>
    <row r="8906" spans="16:16" x14ac:dyDescent="0.25">
      <c r="P8906" s="4"/>
    </row>
    <row r="8907" spans="16:16" x14ac:dyDescent="0.25">
      <c r="P8907" s="4"/>
    </row>
    <row r="8908" spans="16:16" x14ac:dyDescent="0.25">
      <c r="P8908" s="4"/>
    </row>
    <row r="8909" spans="16:16" x14ac:dyDescent="0.25">
      <c r="P8909" s="4"/>
    </row>
    <row r="8910" spans="16:16" x14ac:dyDescent="0.25">
      <c r="P8910" s="4"/>
    </row>
    <row r="8911" spans="16:16" x14ac:dyDescent="0.25">
      <c r="P8911" s="4"/>
    </row>
    <row r="8912" spans="16:16" x14ac:dyDescent="0.25">
      <c r="P8912" s="4"/>
    </row>
    <row r="8913" spans="16:16" x14ac:dyDescent="0.25">
      <c r="P8913" s="4"/>
    </row>
    <row r="8914" spans="16:16" x14ac:dyDescent="0.25">
      <c r="P8914" s="4"/>
    </row>
    <row r="8915" spans="16:16" x14ac:dyDescent="0.25">
      <c r="P8915" s="4"/>
    </row>
    <row r="8916" spans="16:16" x14ac:dyDescent="0.25">
      <c r="P8916" s="4"/>
    </row>
    <row r="8917" spans="16:16" x14ac:dyDescent="0.25">
      <c r="P8917" s="4"/>
    </row>
    <row r="8918" spans="16:16" x14ac:dyDescent="0.25">
      <c r="P8918" s="4"/>
    </row>
    <row r="8919" spans="16:16" x14ac:dyDescent="0.25">
      <c r="P8919" s="4"/>
    </row>
    <row r="8920" spans="16:16" x14ac:dyDescent="0.25">
      <c r="P8920" s="4"/>
    </row>
    <row r="8921" spans="16:16" x14ac:dyDescent="0.25">
      <c r="P8921" s="4"/>
    </row>
    <row r="8922" spans="16:16" x14ac:dyDescent="0.25">
      <c r="P8922" s="4"/>
    </row>
    <row r="8923" spans="16:16" x14ac:dyDescent="0.25">
      <c r="P8923" s="4"/>
    </row>
    <row r="8924" spans="16:16" x14ac:dyDescent="0.25">
      <c r="P8924" s="4"/>
    </row>
    <row r="8925" spans="16:16" x14ac:dyDescent="0.25">
      <c r="P8925" s="4"/>
    </row>
    <row r="8926" spans="16:16" x14ac:dyDescent="0.25">
      <c r="P8926" s="4"/>
    </row>
    <row r="8927" spans="16:16" x14ac:dyDescent="0.25">
      <c r="P8927" s="4"/>
    </row>
    <row r="8928" spans="16:16" x14ac:dyDescent="0.25">
      <c r="P8928" s="4"/>
    </row>
    <row r="8929" spans="16:16" x14ac:dyDescent="0.25">
      <c r="P8929" s="4"/>
    </row>
    <row r="8930" spans="16:16" x14ac:dyDescent="0.25">
      <c r="P8930" s="4"/>
    </row>
    <row r="8931" spans="16:16" x14ac:dyDescent="0.25">
      <c r="P8931" s="4"/>
    </row>
    <row r="8932" spans="16:16" x14ac:dyDescent="0.25">
      <c r="P8932" s="4"/>
    </row>
    <row r="8933" spans="16:16" x14ac:dyDescent="0.25">
      <c r="P8933" s="4"/>
    </row>
    <row r="8934" spans="16:16" x14ac:dyDescent="0.25">
      <c r="P8934" s="4"/>
    </row>
    <row r="8935" spans="16:16" x14ac:dyDescent="0.25">
      <c r="P8935" s="4"/>
    </row>
    <row r="8936" spans="16:16" x14ac:dyDescent="0.25">
      <c r="P8936" s="4"/>
    </row>
    <row r="8937" spans="16:16" x14ac:dyDescent="0.25">
      <c r="P8937" s="4"/>
    </row>
    <row r="8938" spans="16:16" x14ac:dyDescent="0.25">
      <c r="P8938" s="4"/>
    </row>
    <row r="8939" spans="16:16" x14ac:dyDescent="0.25">
      <c r="P8939" s="4"/>
    </row>
    <row r="8940" spans="16:16" x14ac:dyDescent="0.25">
      <c r="P8940" s="4"/>
    </row>
    <row r="8941" spans="16:16" x14ac:dyDescent="0.25">
      <c r="P8941" s="4"/>
    </row>
    <row r="8942" spans="16:16" x14ac:dyDescent="0.25">
      <c r="P8942" s="4"/>
    </row>
    <row r="8943" spans="16:16" x14ac:dyDescent="0.25">
      <c r="P8943" s="4"/>
    </row>
    <row r="8944" spans="16:16" x14ac:dyDescent="0.25">
      <c r="P8944" s="4"/>
    </row>
    <row r="8945" spans="16:16" x14ac:dyDescent="0.25">
      <c r="P8945" s="4"/>
    </row>
    <row r="8946" spans="16:16" x14ac:dyDescent="0.25">
      <c r="P8946" s="4"/>
    </row>
    <row r="8947" spans="16:16" x14ac:dyDescent="0.25">
      <c r="P8947" s="4"/>
    </row>
    <row r="8948" spans="16:16" x14ac:dyDescent="0.25">
      <c r="P8948" s="4"/>
    </row>
    <row r="8949" spans="16:16" x14ac:dyDescent="0.25">
      <c r="P8949" s="4"/>
    </row>
    <row r="8950" spans="16:16" x14ac:dyDescent="0.25">
      <c r="P8950" s="4"/>
    </row>
    <row r="8951" spans="16:16" x14ac:dyDescent="0.25">
      <c r="P8951" s="4"/>
    </row>
    <row r="8952" spans="16:16" x14ac:dyDescent="0.25">
      <c r="P8952" s="4"/>
    </row>
    <row r="8953" spans="16:16" x14ac:dyDescent="0.25">
      <c r="P8953" s="4"/>
    </row>
    <row r="8954" spans="16:16" x14ac:dyDescent="0.25">
      <c r="P8954" s="4"/>
    </row>
    <row r="8955" spans="16:16" x14ac:dyDescent="0.25">
      <c r="P8955" s="4"/>
    </row>
    <row r="8956" spans="16:16" x14ac:dyDescent="0.25">
      <c r="P8956" s="4"/>
    </row>
    <row r="8957" spans="16:16" x14ac:dyDescent="0.25">
      <c r="P8957" s="4"/>
    </row>
    <row r="8958" spans="16:16" x14ac:dyDescent="0.25">
      <c r="P8958" s="4"/>
    </row>
    <row r="8959" spans="16:16" x14ac:dyDescent="0.25">
      <c r="P8959" s="4"/>
    </row>
    <row r="8960" spans="16:16" x14ac:dyDescent="0.25">
      <c r="P8960" s="4"/>
    </row>
    <row r="8961" spans="16:16" x14ac:dyDescent="0.25">
      <c r="P8961" s="4"/>
    </row>
    <row r="8962" spans="16:16" x14ac:dyDescent="0.25">
      <c r="P8962" s="4"/>
    </row>
    <row r="8963" spans="16:16" x14ac:dyDescent="0.25">
      <c r="P8963" s="4"/>
    </row>
    <row r="8964" spans="16:16" x14ac:dyDescent="0.25">
      <c r="P8964" s="4"/>
    </row>
    <row r="8965" spans="16:16" x14ac:dyDescent="0.25">
      <c r="P8965" s="4"/>
    </row>
    <row r="8966" spans="16:16" x14ac:dyDescent="0.25">
      <c r="P8966" s="4"/>
    </row>
    <row r="8967" spans="16:16" x14ac:dyDescent="0.25">
      <c r="P8967" s="4"/>
    </row>
    <row r="8968" spans="16:16" x14ac:dyDescent="0.25">
      <c r="P8968" s="4"/>
    </row>
    <row r="8969" spans="16:16" x14ac:dyDescent="0.25">
      <c r="P8969" s="4"/>
    </row>
    <row r="8970" spans="16:16" x14ac:dyDescent="0.25">
      <c r="P8970" s="4"/>
    </row>
    <row r="8971" spans="16:16" x14ac:dyDescent="0.25">
      <c r="P8971" s="4"/>
    </row>
    <row r="8972" spans="16:16" x14ac:dyDescent="0.25">
      <c r="P8972" s="4"/>
    </row>
    <row r="8973" spans="16:16" x14ac:dyDescent="0.25">
      <c r="P8973" s="4"/>
    </row>
    <row r="8974" spans="16:16" x14ac:dyDescent="0.25">
      <c r="P8974" s="4"/>
    </row>
    <row r="8975" spans="16:16" x14ac:dyDescent="0.25">
      <c r="P8975" s="4"/>
    </row>
    <row r="8976" spans="16:16" x14ac:dyDescent="0.25">
      <c r="P8976" s="4"/>
    </row>
    <row r="8977" spans="16:16" x14ac:dyDescent="0.25">
      <c r="P8977" s="4"/>
    </row>
    <row r="8978" spans="16:16" x14ac:dyDescent="0.25">
      <c r="P8978" s="4"/>
    </row>
    <row r="8979" spans="16:16" x14ac:dyDescent="0.25">
      <c r="P8979" s="4"/>
    </row>
    <row r="8980" spans="16:16" x14ac:dyDescent="0.25">
      <c r="P8980" s="4"/>
    </row>
    <row r="8981" spans="16:16" x14ac:dyDescent="0.25">
      <c r="P8981" s="4"/>
    </row>
    <row r="8982" spans="16:16" x14ac:dyDescent="0.25">
      <c r="P8982" s="4"/>
    </row>
    <row r="8983" spans="16:16" x14ac:dyDescent="0.25">
      <c r="P8983" s="4"/>
    </row>
    <row r="8984" spans="16:16" x14ac:dyDescent="0.25">
      <c r="P8984" s="4"/>
    </row>
    <row r="8985" spans="16:16" x14ac:dyDescent="0.25">
      <c r="P8985" s="4"/>
    </row>
    <row r="8986" spans="16:16" x14ac:dyDescent="0.25">
      <c r="P8986" s="4"/>
    </row>
    <row r="8987" spans="16:16" x14ac:dyDescent="0.25">
      <c r="P8987" s="4"/>
    </row>
    <row r="8988" spans="16:16" x14ac:dyDescent="0.25">
      <c r="P8988" s="4"/>
    </row>
    <row r="8989" spans="16:16" x14ac:dyDescent="0.25">
      <c r="P8989" s="4"/>
    </row>
    <row r="8990" spans="16:16" x14ac:dyDescent="0.25">
      <c r="P8990" s="4"/>
    </row>
    <row r="8991" spans="16:16" x14ac:dyDescent="0.25">
      <c r="P8991" s="4"/>
    </row>
    <row r="8992" spans="16:16" x14ac:dyDescent="0.25">
      <c r="P8992" s="4"/>
    </row>
    <row r="8993" spans="16:16" x14ac:dyDescent="0.25">
      <c r="P8993" s="4"/>
    </row>
    <row r="8994" spans="16:16" x14ac:dyDescent="0.25">
      <c r="P8994" s="4"/>
    </row>
    <row r="8995" spans="16:16" x14ac:dyDescent="0.25">
      <c r="P8995" s="4"/>
    </row>
    <row r="8996" spans="16:16" x14ac:dyDescent="0.25">
      <c r="P8996" s="4"/>
    </row>
    <row r="8997" spans="16:16" x14ac:dyDescent="0.25">
      <c r="P8997" s="4"/>
    </row>
    <row r="8998" spans="16:16" x14ac:dyDescent="0.25">
      <c r="P8998" s="4"/>
    </row>
    <row r="8999" spans="16:16" x14ac:dyDescent="0.25">
      <c r="P8999" s="4"/>
    </row>
    <row r="9000" spans="16:16" x14ac:dyDescent="0.25">
      <c r="P9000" s="4"/>
    </row>
    <row r="9001" spans="16:16" x14ac:dyDescent="0.25">
      <c r="P9001" s="4"/>
    </row>
    <row r="9002" spans="16:16" x14ac:dyDescent="0.25">
      <c r="P9002" s="4"/>
    </row>
    <row r="9003" spans="16:16" x14ac:dyDescent="0.25">
      <c r="P9003" s="4"/>
    </row>
    <row r="9004" spans="16:16" x14ac:dyDescent="0.25">
      <c r="P9004" s="4"/>
    </row>
    <row r="9005" spans="16:16" x14ac:dyDescent="0.25">
      <c r="P9005" s="4"/>
    </row>
    <row r="9006" spans="16:16" x14ac:dyDescent="0.25">
      <c r="P9006" s="4"/>
    </row>
    <row r="9007" spans="16:16" x14ac:dyDescent="0.25">
      <c r="P9007" s="4"/>
    </row>
    <row r="9008" spans="16:16" x14ac:dyDescent="0.25">
      <c r="P9008" s="4"/>
    </row>
    <row r="9009" spans="16:16" x14ac:dyDescent="0.25">
      <c r="P9009" s="4"/>
    </row>
    <row r="9010" spans="16:16" x14ac:dyDescent="0.25">
      <c r="P9010" s="4"/>
    </row>
    <row r="9011" spans="16:16" x14ac:dyDescent="0.25">
      <c r="P9011" s="4"/>
    </row>
    <row r="9012" spans="16:16" x14ac:dyDescent="0.25">
      <c r="P9012" s="4"/>
    </row>
    <row r="9013" spans="16:16" x14ac:dyDescent="0.25">
      <c r="P9013" s="4"/>
    </row>
    <row r="9014" spans="16:16" x14ac:dyDescent="0.25">
      <c r="P9014" s="4"/>
    </row>
    <row r="9015" spans="16:16" x14ac:dyDescent="0.25">
      <c r="P9015" s="4"/>
    </row>
    <row r="9016" spans="16:16" x14ac:dyDescent="0.25">
      <c r="P9016" s="4"/>
    </row>
    <row r="9017" spans="16:16" x14ac:dyDescent="0.25">
      <c r="P9017" s="4"/>
    </row>
    <row r="9018" spans="16:16" x14ac:dyDescent="0.25">
      <c r="P9018" s="4"/>
    </row>
    <row r="9019" spans="16:16" x14ac:dyDescent="0.25">
      <c r="P9019" s="4"/>
    </row>
    <row r="9020" spans="16:16" x14ac:dyDescent="0.25">
      <c r="P9020" s="4"/>
    </row>
    <row r="9021" spans="16:16" x14ac:dyDescent="0.25">
      <c r="P9021" s="4"/>
    </row>
    <row r="9022" spans="16:16" x14ac:dyDescent="0.25">
      <c r="P9022" s="4"/>
    </row>
    <row r="9023" spans="16:16" x14ac:dyDescent="0.25">
      <c r="P9023" s="4"/>
    </row>
    <row r="9024" spans="16:16" x14ac:dyDescent="0.25">
      <c r="P9024" s="4"/>
    </row>
    <row r="9025" spans="16:16" x14ac:dyDescent="0.25">
      <c r="P9025" s="4"/>
    </row>
    <row r="9026" spans="16:16" x14ac:dyDescent="0.25">
      <c r="P9026" s="4"/>
    </row>
    <row r="9027" spans="16:16" x14ac:dyDescent="0.25">
      <c r="P9027" s="4"/>
    </row>
    <row r="9028" spans="16:16" x14ac:dyDescent="0.25">
      <c r="P9028" s="4"/>
    </row>
    <row r="9029" spans="16:16" x14ac:dyDescent="0.25">
      <c r="P9029" s="4"/>
    </row>
    <row r="9030" spans="16:16" x14ac:dyDescent="0.25">
      <c r="P9030" s="4"/>
    </row>
    <row r="9031" spans="16:16" x14ac:dyDescent="0.25">
      <c r="P9031" s="4"/>
    </row>
    <row r="9032" spans="16:16" x14ac:dyDescent="0.25">
      <c r="P9032" s="4"/>
    </row>
    <row r="9033" spans="16:16" x14ac:dyDescent="0.25">
      <c r="P9033" s="4"/>
    </row>
    <row r="9034" spans="16:16" x14ac:dyDescent="0.25">
      <c r="P9034" s="4"/>
    </row>
    <row r="9035" spans="16:16" x14ac:dyDescent="0.25">
      <c r="P9035" s="4"/>
    </row>
    <row r="9036" spans="16:16" x14ac:dyDescent="0.25">
      <c r="P9036" s="4"/>
    </row>
    <row r="9037" spans="16:16" x14ac:dyDescent="0.25">
      <c r="P9037" s="4"/>
    </row>
    <row r="9038" spans="16:16" x14ac:dyDescent="0.25">
      <c r="P9038" s="4"/>
    </row>
    <row r="9039" spans="16:16" x14ac:dyDescent="0.25">
      <c r="P9039" s="4"/>
    </row>
    <row r="9040" spans="16:16" x14ac:dyDescent="0.25">
      <c r="P9040" s="4"/>
    </row>
    <row r="9041" spans="16:16" x14ac:dyDescent="0.25">
      <c r="P9041" s="4"/>
    </row>
    <row r="9042" spans="16:16" x14ac:dyDescent="0.25">
      <c r="P9042" s="4"/>
    </row>
    <row r="9043" spans="16:16" x14ac:dyDescent="0.25">
      <c r="P9043" s="4"/>
    </row>
    <row r="9044" spans="16:16" x14ac:dyDescent="0.25">
      <c r="P9044" s="4"/>
    </row>
    <row r="9045" spans="16:16" x14ac:dyDescent="0.25">
      <c r="P9045" s="4"/>
    </row>
    <row r="9046" spans="16:16" x14ac:dyDescent="0.25">
      <c r="P9046" s="4"/>
    </row>
    <row r="9047" spans="16:16" x14ac:dyDescent="0.25">
      <c r="P9047" s="4"/>
    </row>
    <row r="9048" spans="16:16" x14ac:dyDescent="0.25">
      <c r="P9048" s="4"/>
    </row>
    <row r="9049" spans="16:16" x14ac:dyDescent="0.25">
      <c r="P9049" s="4"/>
    </row>
    <row r="9050" spans="16:16" x14ac:dyDescent="0.25">
      <c r="P9050" s="4"/>
    </row>
    <row r="9051" spans="16:16" x14ac:dyDescent="0.25">
      <c r="P9051" s="4"/>
    </row>
    <row r="9052" spans="16:16" x14ac:dyDescent="0.25">
      <c r="P9052" s="4"/>
    </row>
    <row r="9053" spans="16:16" x14ac:dyDescent="0.25">
      <c r="P9053" s="4"/>
    </row>
    <row r="9054" spans="16:16" x14ac:dyDescent="0.25">
      <c r="P9054" s="4"/>
    </row>
    <row r="9055" spans="16:16" x14ac:dyDescent="0.25">
      <c r="P9055" s="4"/>
    </row>
    <row r="9056" spans="16:16" x14ac:dyDescent="0.25">
      <c r="P9056" s="4"/>
    </row>
    <row r="9057" spans="16:16" x14ac:dyDescent="0.25">
      <c r="P9057" s="4"/>
    </row>
    <row r="9058" spans="16:16" x14ac:dyDescent="0.25">
      <c r="P9058" s="4"/>
    </row>
    <row r="9059" spans="16:16" x14ac:dyDescent="0.25">
      <c r="P9059" s="4"/>
    </row>
    <row r="9060" spans="16:16" x14ac:dyDescent="0.25">
      <c r="P9060" s="4"/>
    </row>
    <row r="9061" spans="16:16" x14ac:dyDescent="0.25">
      <c r="P9061" s="4"/>
    </row>
    <row r="9062" spans="16:16" x14ac:dyDescent="0.25">
      <c r="P9062" s="4"/>
    </row>
    <row r="9063" spans="16:16" x14ac:dyDescent="0.25">
      <c r="P9063" s="4"/>
    </row>
    <row r="9064" spans="16:16" x14ac:dyDescent="0.25">
      <c r="P9064" s="4"/>
    </row>
    <row r="9065" spans="16:16" x14ac:dyDescent="0.25">
      <c r="P9065" s="4"/>
    </row>
    <row r="9066" spans="16:16" x14ac:dyDescent="0.25">
      <c r="P9066" s="4"/>
    </row>
    <row r="9067" spans="16:16" x14ac:dyDescent="0.25">
      <c r="P9067" s="4"/>
    </row>
    <row r="9068" spans="16:16" x14ac:dyDescent="0.25">
      <c r="P9068" s="4"/>
    </row>
    <row r="9069" spans="16:16" x14ac:dyDescent="0.25">
      <c r="P9069" s="4"/>
    </row>
    <row r="9070" spans="16:16" x14ac:dyDescent="0.25">
      <c r="P9070" s="4"/>
    </row>
    <row r="9071" spans="16:16" x14ac:dyDescent="0.25">
      <c r="P9071" s="4"/>
    </row>
    <row r="9072" spans="16:16" x14ac:dyDescent="0.25">
      <c r="P9072" s="4"/>
    </row>
    <row r="9073" spans="16:16" x14ac:dyDescent="0.25">
      <c r="P9073" s="4"/>
    </row>
    <row r="9074" spans="16:16" x14ac:dyDescent="0.25">
      <c r="P9074" s="4"/>
    </row>
    <row r="9075" spans="16:16" x14ac:dyDescent="0.25">
      <c r="P9075" s="4"/>
    </row>
    <row r="9076" spans="16:16" x14ac:dyDescent="0.25">
      <c r="P9076" s="4"/>
    </row>
    <row r="9077" spans="16:16" x14ac:dyDescent="0.25">
      <c r="P9077" s="4"/>
    </row>
    <row r="9078" spans="16:16" x14ac:dyDescent="0.25">
      <c r="P9078" s="4"/>
    </row>
    <row r="9079" spans="16:16" x14ac:dyDescent="0.25">
      <c r="P9079" s="4"/>
    </row>
    <row r="9080" spans="16:16" x14ac:dyDescent="0.25">
      <c r="P9080" s="4"/>
    </row>
    <row r="9081" spans="16:16" x14ac:dyDescent="0.25">
      <c r="P9081" s="4"/>
    </row>
    <row r="9082" spans="16:16" x14ac:dyDescent="0.25">
      <c r="P9082" s="4"/>
    </row>
    <row r="9083" spans="16:16" x14ac:dyDescent="0.25">
      <c r="P9083" s="4"/>
    </row>
    <row r="9084" spans="16:16" x14ac:dyDescent="0.25">
      <c r="P9084" s="4"/>
    </row>
    <row r="9085" spans="16:16" x14ac:dyDescent="0.25">
      <c r="P9085" s="4"/>
    </row>
    <row r="9086" spans="16:16" x14ac:dyDescent="0.25">
      <c r="P9086" s="4"/>
    </row>
    <row r="9087" spans="16:16" x14ac:dyDescent="0.25">
      <c r="P9087" s="4"/>
    </row>
    <row r="9088" spans="16:16" x14ac:dyDescent="0.25">
      <c r="P9088" s="4"/>
    </row>
    <row r="9089" spans="16:16" x14ac:dyDescent="0.25">
      <c r="P9089" s="4"/>
    </row>
    <row r="9090" spans="16:16" x14ac:dyDescent="0.25">
      <c r="P9090" s="4"/>
    </row>
    <row r="9091" spans="16:16" x14ac:dyDescent="0.25">
      <c r="P9091" s="4"/>
    </row>
    <row r="9092" spans="16:16" x14ac:dyDescent="0.25">
      <c r="P9092" s="4"/>
    </row>
    <row r="9093" spans="16:16" x14ac:dyDescent="0.25">
      <c r="P9093" s="4"/>
    </row>
    <row r="9094" spans="16:16" x14ac:dyDescent="0.25">
      <c r="P9094" s="4"/>
    </row>
    <row r="9095" spans="16:16" x14ac:dyDescent="0.25">
      <c r="P9095" s="4"/>
    </row>
    <row r="9096" spans="16:16" x14ac:dyDescent="0.25">
      <c r="P9096" s="4"/>
    </row>
    <row r="9097" spans="16:16" x14ac:dyDescent="0.25">
      <c r="P9097" s="4"/>
    </row>
    <row r="9098" spans="16:16" x14ac:dyDescent="0.25">
      <c r="P9098" s="4"/>
    </row>
    <row r="9099" spans="16:16" x14ac:dyDescent="0.25">
      <c r="P9099" s="4"/>
    </row>
    <row r="9100" spans="16:16" x14ac:dyDescent="0.25">
      <c r="P9100" s="4"/>
    </row>
    <row r="9101" spans="16:16" x14ac:dyDescent="0.25">
      <c r="P9101" s="4"/>
    </row>
    <row r="9102" spans="16:16" x14ac:dyDescent="0.25">
      <c r="P9102" s="4"/>
    </row>
    <row r="9103" spans="16:16" x14ac:dyDescent="0.25">
      <c r="P9103" s="4"/>
    </row>
    <row r="9104" spans="16:16" x14ac:dyDescent="0.25">
      <c r="P9104" s="4"/>
    </row>
    <row r="9105" spans="16:16" x14ac:dyDescent="0.25">
      <c r="P9105" s="4"/>
    </row>
    <row r="9106" spans="16:16" x14ac:dyDescent="0.25">
      <c r="P9106" s="4"/>
    </row>
    <row r="9107" spans="16:16" x14ac:dyDescent="0.25">
      <c r="P9107" s="4"/>
    </row>
    <row r="9108" spans="16:16" x14ac:dyDescent="0.25">
      <c r="P9108" s="4"/>
    </row>
    <row r="9109" spans="16:16" x14ac:dyDescent="0.25">
      <c r="P9109" s="4"/>
    </row>
    <row r="9110" spans="16:16" x14ac:dyDescent="0.25">
      <c r="P9110" s="4"/>
    </row>
    <row r="9111" spans="16:16" x14ac:dyDescent="0.25">
      <c r="P9111" s="4"/>
    </row>
    <row r="9112" spans="16:16" x14ac:dyDescent="0.25">
      <c r="P9112" s="4"/>
    </row>
    <row r="9113" spans="16:16" x14ac:dyDescent="0.25">
      <c r="P9113" s="4"/>
    </row>
    <row r="9114" spans="16:16" x14ac:dyDescent="0.25">
      <c r="P9114" s="4"/>
    </row>
    <row r="9115" spans="16:16" x14ac:dyDescent="0.25">
      <c r="P9115" s="4"/>
    </row>
    <row r="9116" spans="16:16" x14ac:dyDescent="0.25">
      <c r="P9116" s="4"/>
    </row>
    <row r="9117" spans="16:16" x14ac:dyDescent="0.25">
      <c r="P9117" s="4"/>
    </row>
    <row r="9118" spans="16:16" x14ac:dyDescent="0.25">
      <c r="P9118" s="4"/>
    </row>
    <row r="9119" spans="16:16" x14ac:dyDescent="0.25">
      <c r="P9119" s="4"/>
    </row>
    <row r="9120" spans="16:16" x14ac:dyDescent="0.25">
      <c r="P9120" s="4"/>
    </row>
    <row r="9121" spans="16:16" x14ac:dyDescent="0.25">
      <c r="P9121" s="4"/>
    </row>
    <row r="9122" spans="16:16" x14ac:dyDescent="0.25">
      <c r="P9122" s="4"/>
    </row>
    <row r="9123" spans="16:16" x14ac:dyDescent="0.25">
      <c r="P9123" s="4"/>
    </row>
    <row r="9124" spans="16:16" x14ac:dyDescent="0.25">
      <c r="P9124" s="4"/>
    </row>
    <row r="9125" spans="16:16" x14ac:dyDescent="0.25">
      <c r="P9125" s="4"/>
    </row>
    <row r="9126" spans="16:16" x14ac:dyDescent="0.25">
      <c r="P9126" s="4"/>
    </row>
    <row r="9127" spans="16:16" x14ac:dyDescent="0.25">
      <c r="P9127" s="4"/>
    </row>
    <row r="9128" spans="16:16" x14ac:dyDescent="0.25">
      <c r="P9128" s="4"/>
    </row>
    <row r="9129" spans="16:16" x14ac:dyDescent="0.25">
      <c r="P9129" s="4"/>
    </row>
    <row r="9130" spans="16:16" x14ac:dyDescent="0.25">
      <c r="P9130" s="4"/>
    </row>
    <row r="9131" spans="16:16" x14ac:dyDescent="0.25">
      <c r="P9131" s="4"/>
    </row>
    <row r="9132" spans="16:16" x14ac:dyDescent="0.25">
      <c r="P9132" s="4"/>
    </row>
    <row r="9133" spans="16:16" x14ac:dyDescent="0.25">
      <c r="P9133" s="4"/>
    </row>
    <row r="9134" spans="16:16" x14ac:dyDescent="0.25">
      <c r="P9134" s="4"/>
    </row>
    <row r="9135" spans="16:16" x14ac:dyDescent="0.25">
      <c r="P9135" s="4"/>
    </row>
    <row r="9136" spans="16:16" x14ac:dyDescent="0.25">
      <c r="P9136" s="4"/>
    </row>
    <row r="9137" spans="16:16" x14ac:dyDescent="0.25">
      <c r="P9137" s="4"/>
    </row>
    <row r="9138" spans="16:16" x14ac:dyDescent="0.25">
      <c r="P9138" s="4"/>
    </row>
    <row r="9139" spans="16:16" x14ac:dyDescent="0.25">
      <c r="P9139" s="4"/>
    </row>
    <row r="9140" spans="16:16" x14ac:dyDescent="0.25">
      <c r="P9140" s="4"/>
    </row>
    <row r="9141" spans="16:16" x14ac:dyDescent="0.25">
      <c r="P9141" s="4"/>
    </row>
    <row r="9142" spans="16:16" x14ac:dyDescent="0.25">
      <c r="P9142" s="4"/>
    </row>
    <row r="9143" spans="16:16" x14ac:dyDescent="0.25">
      <c r="P9143" s="4"/>
    </row>
    <row r="9144" spans="16:16" x14ac:dyDescent="0.25">
      <c r="P9144" s="4"/>
    </row>
    <row r="9145" spans="16:16" x14ac:dyDescent="0.25">
      <c r="P9145" s="4"/>
    </row>
    <row r="9146" spans="16:16" x14ac:dyDescent="0.25">
      <c r="P9146" s="4"/>
    </row>
    <row r="9147" spans="16:16" x14ac:dyDescent="0.25">
      <c r="P9147" s="4"/>
    </row>
    <row r="9148" spans="16:16" x14ac:dyDescent="0.25">
      <c r="P9148" s="4"/>
    </row>
    <row r="9149" spans="16:16" x14ac:dyDescent="0.25">
      <c r="P9149" s="4"/>
    </row>
    <row r="9150" spans="16:16" x14ac:dyDescent="0.25">
      <c r="P9150" s="4"/>
    </row>
    <row r="9151" spans="16:16" x14ac:dyDescent="0.25">
      <c r="P9151" s="4"/>
    </row>
    <row r="9152" spans="16:16" x14ac:dyDescent="0.25">
      <c r="P9152" s="4"/>
    </row>
    <row r="9153" spans="16:16" x14ac:dyDescent="0.25">
      <c r="P9153" s="4"/>
    </row>
    <row r="9154" spans="16:16" x14ac:dyDescent="0.25">
      <c r="P9154" s="4"/>
    </row>
    <row r="9155" spans="16:16" x14ac:dyDescent="0.25">
      <c r="P9155" s="4"/>
    </row>
    <row r="9156" spans="16:16" x14ac:dyDescent="0.25">
      <c r="P9156" s="4"/>
    </row>
    <row r="9157" spans="16:16" x14ac:dyDescent="0.25">
      <c r="P9157" s="4"/>
    </row>
    <row r="9158" spans="16:16" x14ac:dyDescent="0.25">
      <c r="P9158" s="4"/>
    </row>
    <row r="9159" spans="16:16" x14ac:dyDescent="0.25">
      <c r="P9159" s="4"/>
    </row>
    <row r="9160" spans="16:16" x14ac:dyDescent="0.25">
      <c r="P9160" s="4"/>
    </row>
    <row r="9161" spans="16:16" x14ac:dyDescent="0.25">
      <c r="P9161" s="4"/>
    </row>
    <row r="9162" spans="16:16" x14ac:dyDescent="0.25">
      <c r="P9162" s="4"/>
    </row>
    <row r="9163" spans="16:16" x14ac:dyDescent="0.25">
      <c r="P9163" s="4"/>
    </row>
    <row r="9164" spans="16:16" x14ac:dyDescent="0.25">
      <c r="P9164" s="4"/>
    </row>
    <row r="9165" spans="16:16" x14ac:dyDescent="0.25">
      <c r="P9165" s="4"/>
    </row>
    <row r="9166" spans="16:16" x14ac:dyDescent="0.25">
      <c r="P9166" s="4"/>
    </row>
    <row r="9167" spans="16:16" x14ac:dyDescent="0.25">
      <c r="P9167" s="4"/>
    </row>
    <row r="9168" spans="16:16" x14ac:dyDescent="0.25">
      <c r="P9168" s="4"/>
    </row>
    <row r="9169" spans="16:16" x14ac:dyDescent="0.25">
      <c r="P9169" s="4"/>
    </row>
    <row r="9170" spans="16:16" x14ac:dyDescent="0.25">
      <c r="P9170" s="4"/>
    </row>
    <row r="9171" spans="16:16" x14ac:dyDescent="0.25">
      <c r="P9171" s="4"/>
    </row>
    <row r="9172" spans="16:16" x14ac:dyDescent="0.25">
      <c r="P9172" s="4"/>
    </row>
    <row r="9173" spans="16:16" x14ac:dyDescent="0.25">
      <c r="P9173" s="4"/>
    </row>
    <row r="9174" spans="16:16" x14ac:dyDescent="0.25">
      <c r="P9174" s="4"/>
    </row>
    <row r="9175" spans="16:16" x14ac:dyDescent="0.25">
      <c r="P9175" s="4"/>
    </row>
    <row r="9176" spans="16:16" x14ac:dyDescent="0.25">
      <c r="P9176" s="4"/>
    </row>
    <row r="9177" spans="16:16" x14ac:dyDescent="0.25">
      <c r="P9177" s="4"/>
    </row>
    <row r="9178" spans="16:16" x14ac:dyDescent="0.25">
      <c r="P9178" s="4"/>
    </row>
    <row r="9179" spans="16:16" x14ac:dyDescent="0.25">
      <c r="P9179" s="4"/>
    </row>
    <row r="9180" spans="16:16" x14ac:dyDescent="0.25">
      <c r="P9180" s="4"/>
    </row>
    <row r="9181" spans="16:16" x14ac:dyDescent="0.25">
      <c r="P9181" s="4"/>
    </row>
    <row r="9182" spans="16:16" x14ac:dyDescent="0.25">
      <c r="P9182" s="4"/>
    </row>
    <row r="9183" spans="16:16" x14ac:dyDescent="0.25">
      <c r="P9183" s="4"/>
    </row>
    <row r="9184" spans="16:16" x14ac:dyDescent="0.25">
      <c r="P9184" s="4"/>
    </row>
    <row r="9185" spans="16:16" x14ac:dyDescent="0.25">
      <c r="P9185" s="4"/>
    </row>
    <row r="9186" spans="16:16" x14ac:dyDescent="0.25">
      <c r="P9186" s="4"/>
    </row>
    <row r="9187" spans="16:16" x14ac:dyDescent="0.25">
      <c r="P9187" s="4"/>
    </row>
    <row r="9188" spans="16:16" x14ac:dyDescent="0.25">
      <c r="P9188" s="4"/>
    </row>
    <row r="9189" spans="16:16" x14ac:dyDescent="0.25">
      <c r="P9189" s="4"/>
    </row>
    <row r="9190" spans="16:16" x14ac:dyDescent="0.25">
      <c r="P9190" s="4"/>
    </row>
    <row r="9191" spans="16:16" x14ac:dyDescent="0.25">
      <c r="P9191" s="4"/>
    </row>
    <row r="9192" spans="16:16" x14ac:dyDescent="0.25">
      <c r="P9192" s="4"/>
    </row>
    <row r="9193" spans="16:16" x14ac:dyDescent="0.25">
      <c r="P9193" s="4"/>
    </row>
    <row r="9194" spans="16:16" x14ac:dyDescent="0.25">
      <c r="P9194" s="4"/>
    </row>
    <row r="9195" spans="16:16" x14ac:dyDescent="0.25">
      <c r="P9195" s="4"/>
    </row>
    <row r="9196" spans="16:16" x14ac:dyDescent="0.25">
      <c r="P9196" s="4"/>
    </row>
    <row r="9197" spans="16:16" x14ac:dyDescent="0.25">
      <c r="P9197" s="4"/>
    </row>
    <row r="9198" spans="16:16" x14ac:dyDescent="0.25">
      <c r="P9198" s="4"/>
    </row>
    <row r="9199" spans="16:16" x14ac:dyDescent="0.25">
      <c r="P9199" s="4"/>
    </row>
    <row r="9200" spans="16:16" x14ac:dyDescent="0.25">
      <c r="P9200" s="4"/>
    </row>
    <row r="9201" spans="16:16" x14ac:dyDescent="0.25">
      <c r="P9201" s="4"/>
    </row>
    <row r="9202" spans="16:16" x14ac:dyDescent="0.25">
      <c r="P9202" s="4"/>
    </row>
    <row r="9203" spans="16:16" x14ac:dyDescent="0.25">
      <c r="P9203" s="4"/>
    </row>
    <row r="9204" spans="16:16" x14ac:dyDescent="0.25">
      <c r="P9204" s="4"/>
    </row>
    <row r="9205" spans="16:16" x14ac:dyDescent="0.25">
      <c r="P9205" s="4"/>
    </row>
    <row r="9206" spans="16:16" x14ac:dyDescent="0.25">
      <c r="P9206" s="4"/>
    </row>
    <row r="9207" spans="16:16" x14ac:dyDescent="0.25">
      <c r="P9207" s="4"/>
    </row>
    <row r="9208" spans="16:16" x14ac:dyDescent="0.25">
      <c r="P9208" s="4"/>
    </row>
    <row r="9209" spans="16:16" x14ac:dyDescent="0.25">
      <c r="P9209" s="4"/>
    </row>
    <row r="9210" spans="16:16" x14ac:dyDescent="0.25">
      <c r="P9210" s="4"/>
    </row>
    <row r="9211" spans="16:16" x14ac:dyDescent="0.25">
      <c r="P9211" s="4"/>
    </row>
    <row r="9212" spans="16:16" x14ac:dyDescent="0.25">
      <c r="P9212" s="4"/>
    </row>
    <row r="9213" spans="16:16" x14ac:dyDescent="0.25">
      <c r="P9213" s="4"/>
    </row>
    <row r="9214" spans="16:16" x14ac:dyDescent="0.25">
      <c r="P9214" s="4"/>
    </row>
    <row r="9215" spans="16:16" x14ac:dyDescent="0.25">
      <c r="P9215" s="4"/>
    </row>
    <row r="9216" spans="16:16" x14ac:dyDescent="0.25">
      <c r="P9216" s="4"/>
    </row>
    <row r="9217" spans="16:16" x14ac:dyDescent="0.25">
      <c r="P9217" s="4"/>
    </row>
    <row r="9218" spans="16:16" x14ac:dyDescent="0.25">
      <c r="P9218" s="4"/>
    </row>
    <row r="9219" spans="16:16" x14ac:dyDescent="0.25">
      <c r="P9219" s="4"/>
    </row>
    <row r="9220" spans="16:16" x14ac:dyDescent="0.25">
      <c r="P9220" s="4"/>
    </row>
    <row r="9221" spans="16:16" x14ac:dyDescent="0.25">
      <c r="P9221" s="4"/>
    </row>
    <row r="9222" spans="16:16" x14ac:dyDescent="0.25">
      <c r="P9222" s="4"/>
    </row>
    <row r="9223" spans="16:16" x14ac:dyDescent="0.25">
      <c r="P9223" s="4"/>
    </row>
    <row r="9224" spans="16:16" x14ac:dyDescent="0.25">
      <c r="P9224" s="4"/>
    </row>
    <row r="9225" spans="16:16" x14ac:dyDescent="0.25">
      <c r="P9225" s="4"/>
    </row>
    <row r="9226" spans="16:16" x14ac:dyDescent="0.25">
      <c r="P9226" s="4"/>
    </row>
    <row r="9227" spans="16:16" x14ac:dyDescent="0.25">
      <c r="P9227" s="4"/>
    </row>
    <row r="9228" spans="16:16" x14ac:dyDescent="0.25">
      <c r="P9228" s="4"/>
    </row>
    <row r="9229" spans="16:16" x14ac:dyDescent="0.25">
      <c r="P9229" s="4"/>
    </row>
    <row r="9230" spans="16:16" x14ac:dyDescent="0.25">
      <c r="P9230" s="4"/>
    </row>
    <row r="9231" spans="16:16" x14ac:dyDescent="0.25">
      <c r="P9231" s="4"/>
    </row>
    <row r="9232" spans="16:16" x14ac:dyDescent="0.25">
      <c r="P9232" s="4"/>
    </row>
    <row r="9233" spans="16:16" x14ac:dyDescent="0.25">
      <c r="P9233" s="4"/>
    </row>
    <row r="9234" spans="16:16" x14ac:dyDescent="0.25">
      <c r="P9234" s="4"/>
    </row>
    <row r="9235" spans="16:16" x14ac:dyDescent="0.25">
      <c r="P9235" s="4"/>
    </row>
    <row r="9236" spans="16:16" x14ac:dyDescent="0.25">
      <c r="P9236" s="4"/>
    </row>
    <row r="9237" spans="16:16" x14ac:dyDescent="0.25">
      <c r="P9237" s="4"/>
    </row>
    <row r="9238" spans="16:16" x14ac:dyDescent="0.25">
      <c r="P9238" s="4"/>
    </row>
    <row r="9239" spans="16:16" x14ac:dyDescent="0.25">
      <c r="P9239" s="4"/>
    </row>
    <row r="9240" spans="16:16" x14ac:dyDescent="0.25">
      <c r="P9240" s="4"/>
    </row>
    <row r="9241" spans="16:16" x14ac:dyDescent="0.25">
      <c r="P9241" s="4"/>
    </row>
    <row r="9242" spans="16:16" x14ac:dyDescent="0.25">
      <c r="P9242" s="4"/>
    </row>
    <row r="9243" spans="16:16" x14ac:dyDescent="0.25">
      <c r="P9243" s="4"/>
    </row>
    <row r="9244" spans="16:16" x14ac:dyDescent="0.25">
      <c r="P9244" s="4"/>
    </row>
    <row r="9245" spans="16:16" x14ac:dyDescent="0.25">
      <c r="P9245" s="4"/>
    </row>
    <row r="9246" spans="16:16" x14ac:dyDescent="0.25">
      <c r="P9246" s="4"/>
    </row>
    <row r="9247" spans="16:16" x14ac:dyDescent="0.25">
      <c r="P9247" s="4"/>
    </row>
    <row r="9248" spans="16:16" x14ac:dyDescent="0.25">
      <c r="P9248" s="4"/>
    </row>
    <row r="9249" spans="16:16" x14ac:dyDescent="0.25">
      <c r="P9249" s="4"/>
    </row>
    <row r="9250" spans="16:16" x14ac:dyDescent="0.25">
      <c r="P9250" s="4"/>
    </row>
    <row r="9251" spans="16:16" x14ac:dyDescent="0.25">
      <c r="P9251" s="4"/>
    </row>
    <row r="9252" spans="16:16" x14ac:dyDescent="0.25">
      <c r="P9252" s="4"/>
    </row>
    <row r="9253" spans="16:16" x14ac:dyDescent="0.25">
      <c r="P9253" s="4"/>
    </row>
    <row r="9254" spans="16:16" x14ac:dyDescent="0.25">
      <c r="P9254" s="4"/>
    </row>
    <row r="9255" spans="16:16" x14ac:dyDescent="0.25">
      <c r="P9255" s="4"/>
    </row>
    <row r="9256" spans="16:16" x14ac:dyDescent="0.25">
      <c r="P9256" s="4"/>
    </row>
    <row r="9257" spans="16:16" x14ac:dyDescent="0.25">
      <c r="P9257" s="4"/>
    </row>
    <row r="9258" spans="16:16" x14ac:dyDescent="0.25">
      <c r="P9258" s="4"/>
    </row>
    <row r="9259" spans="16:16" x14ac:dyDescent="0.25">
      <c r="P9259" s="4"/>
    </row>
    <row r="9260" spans="16:16" x14ac:dyDescent="0.25">
      <c r="P9260" s="4"/>
    </row>
    <row r="9261" spans="16:16" x14ac:dyDescent="0.25">
      <c r="P9261" s="4"/>
    </row>
    <row r="9262" spans="16:16" x14ac:dyDescent="0.25">
      <c r="P9262" s="4"/>
    </row>
    <row r="9263" spans="16:16" x14ac:dyDescent="0.25">
      <c r="P9263" s="4"/>
    </row>
    <row r="9264" spans="16:16" x14ac:dyDescent="0.25">
      <c r="P9264" s="4"/>
    </row>
    <row r="9265" spans="16:16" x14ac:dyDescent="0.25">
      <c r="P9265" s="4"/>
    </row>
    <row r="9266" spans="16:16" x14ac:dyDescent="0.25">
      <c r="P9266" s="4"/>
    </row>
    <row r="9267" spans="16:16" x14ac:dyDescent="0.25">
      <c r="P9267" s="4"/>
    </row>
    <row r="9268" spans="16:16" x14ac:dyDescent="0.25">
      <c r="P9268" s="4"/>
    </row>
    <row r="9269" spans="16:16" x14ac:dyDescent="0.25">
      <c r="P9269" s="4"/>
    </row>
    <row r="9270" spans="16:16" x14ac:dyDescent="0.25">
      <c r="P9270" s="4"/>
    </row>
    <row r="9271" spans="16:16" x14ac:dyDescent="0.25">
      <c r="P9271" s="4"/>
    </row>
    <row r="9272" spans="16:16" x14ac:dyDescent="0.25">
      <c r="P9272" s="4"/>
    </row>
    <row r="9273" spans="16:16" x14ac:dyDescent="0.25">
      <c r="P9273" s="4"/>
    </row>
    <row r="9274" spans="16:16" x14ac:dyDescent="0.25">
      <c r="P9274" s="4"/>
    </row>
    <row r="9275" spans="16:16" x14ac:dyDescent="0.25">
      <c r="P9275" s="4"/>
    </row>
    <row r="9276" spans="16:16" x14ac:dyDescent="0.25">
      <c r="P9276" s="4"/>
    </row>
    <row r="9277" spans="16:16" x14ac:dyDescent="0.25">
      <c r="P9277" s="4"/>
    </row>
    <row r="9278" spans="16:16" x14ac:dyDescent="0.25">
      <c r="P9278" s="4"/>
    </row>
    <row r="9279" spans="16:16" x14ac:dyDescent="0.25">
      <c r="P9279" s="4"/>
    </row>
    <row r="9280" spans="16:16" x14ac:dyDescent="0.25">
      <c r="P9280" s="4"/>
    </row>
    <row r="9281" spans="16:16" x14ac:dyDescent="0.25">
      <c r="P9281" s="4"/>
    </row>
    <row r="9282" spans="16:16" x14ac:dyDescent="0.25">
      <c r="P9282" s="4"/>
    </row>
    <row r="9283" spans="16:16" x14ac:dyDescent="0.25">
      <c r="P9283" s="4"/>
    </row>
    <row r="9284" spans="16:16" x14ac:dyDescent="0.25">
      <c r="P9284" s="4"/>
    </row>
    <row r="9285" spans="16:16" x14ac:dyDescent="0.25">
      <c r="P9285" s="4"/>
    </row>
    <row r="9286" spans="16:16" x14ac:dyDescent="0.25">
      <c r="P9286" s="4"/>
    </row>
    <row r="9287" spans="16:16" x14ac:dyDescent="0.25">
      <c r="P9287" s="4"/>
    </row>
    <row r="9288" spans="16:16" x14ac:dyDescent="0.25">
      <c r="P9288" s="4"/>
    </row>
    <row r="9289" spans="16:16" x14ac:dyDescent="0.25">
      <c r="P9289" s="4"/>
    </row>
    <row r="9290" spans="16:16" x14ac:dyDescent="0.25">
      <c r="P9290" s="4"/>
    </row>
    <row r="9291" spans="16:16" x14ac:dyDescent="0.25">
      <c r="P9291" s="4"/>
    </row>
    <row r="9292" spans="16:16" x14ac:dyDescent="0.25">
      <c r="P9292" s="4"/>
    </row>
    <row r="9293" spans="16:16" x14ac:dyDescent="0.25">
      <c r="P9293" s="4"/>
    </row>
    <row r="9294" spans="16:16" x14ac:dyDescent="0.25">
      <c r="P9294" s="4"/>
    </row>
    <row r="9295" spans="16:16" x14ac:dyDescent="0.25">
      <c r="P9295" s="4"/>
    </row>
    <row r="9296" spans="16:16" x14ac:dyDescent="0.25">
      <c r="P9296" s="4"/>
    </row>
    <row r="9297" spans="16:16" x14ac:dyDescent="0.25">
      <c r="P9297" s="4"/>
    </row>
    <row r="9298" spans="16:16" x14ac:dyDescent="0.25">
      <c r="P9298" s="4"/>
    </row>
    <row r="9299" spans="16:16" x14ac:dyDescent="0.25">
      <c r="P9299" s="4"/>
    </row>
    <row r="9300" spans="16:16" x14ac:dyDescent="0.25">
      <c r="P9300" s="4"/>
    </row>
    <row r="9301" spans="16:16" x14ac:dyDescent="0.25">
      <c r="P9301" s="4"/>
    </row>
    <row r="9302" spans="16:16" x14ac:dyDescent="0.25">
      <c r="P9302" s="4"/>
    </row>
    <row r="9303" spans="16:16" x14ac:dyDescent="0.25">
      <c r="P9303" s="4"/>
    </row>
    <row r="9304" spans="16:16" x14ac:dyDescent="0.25">
      <c r="P9304" s="4"/>
    </row>
    <row r="9305" spans="16:16" x14ac:dyDescent="0.25">
      <c r="P9305" s="4"/>
    </row>
    <row r="9306" spans="16:16" x14ac:dyDescent="0.25">
      <c r="P9306" s="4"/>
    </row>
    <row r="9307" spans="16:16" x14ac:dyDescent="0.25">
      <c r="P9307" s="4"/>
    </row>
    <row r="9308" spans="16:16" x14ac:dyDescent="0.25">
      <c r="P9308" s="4"/>
    </row>
    <row r="9309" spans="16:16" x14ac:dyDescent="0.25">
      <c r="P9309" s="4"/>
    </row>
    <row r="9310" spans="16:16" x14ac:dyDescent="0.25">
      <c r="P9310" s="4"/>
    </row>
    <row r="9311" spans="16:16" x14ac:dyDescent="0.25">
      <c r="P9311" s="4"/>
    </row>
    <row r="9312" spans="16:16" x14ac:dyDescent="0.25">
      <c r="P9312" s="4"/>
    </row>
    <row r="9313" spans="16:16" x14ac:dyDescent="0.25">
      <c r="P9313" s="4"/>
    </row>
    <row r="9314" spans="16:16" x14ac:dyDescent="0.25">
      <c r="P9314" s="4"/>
    </row>
    <row r="9315" spans="16:16" x14ac:dyDescent="0.25">
      <c r="P9315" s="4"/>
    </row>
    <row r="9316" spans="16:16" x14ac:dyDescent="0.25">
      <c r="P9316" s="4"/>
    </row>
    <row r="9317" spans="16:16" x14ac:dyDescent="0.25">
      <c r="P9317" s="4"/>
    </row>
    <row r="9318" spans="16:16" x14ac:dyDescent="0.25">
      <c r="P9318" s="4"/>
    </row>
    <row r="9319" spans="16:16" x14ac:dyDescent="0.25">
      <c r="P9319" s="4"/>
    </row>
    <row r="9320" spans="16:16" x14ac:dyDescent="0.25">
      <c r="P9320" s="4"/>
    </row>
    <row r="9321" spans="16:16" x14ac:dyDescent="0.25">
      <c r="P9321" s="4"/>
    </row>
    <row r="9322" spans="16:16" x14ac:dyDescent="0.25">
      <c r="P9322" s="4"/>
    </row>
    <row r="9323" spans="16:16" x14ac:dyDescent="0.25">
      <c r="P9323" s="4"/>
    </row>
    <row r="9324" spans="16:16" x14ac:dyDescent="0.25">
      <c r="P9324" s="4"/>
    </row>
    <row r="9325" spans="16:16" x14ac:dyDescent="0.25">
      <c r="P9325" s="4"/>
    </row>
    <row r="9326" spans="16:16" x14ac:dyDescent="0.25">
      <c r="P9326" s="4"/>
    </row>
    <row r="9327" spans="16:16" x14ac:dyDescent="0.25">
      <c r="P9327" s="4"/>
    </row>
    <row r="9328" spans="16:16" x14ac:dyDescent="0.25">
      <c r="P9328" s="4"/>
    </row>
    <row r="9329" spans="16:16" x14ac:dyDescent="0.25">
      <c r="P9329" s="4"/>
    </row>
    <row r="9330" spans="16:16" x14ac:dyDescent="0.25">
      <c r="P9330" s="4"/>
    </row>
    <row r="9331" spans="16:16" x14ac:dyDescent="0.25">
      <c r="P9331" s="4"/>
    </row>
    <row r="9332" spans="16:16" x14ac:dyDescent="0.25">
      <c r="P9332" s="4"/>
    </row>
    <row r="9333" spans="16:16" x14ac:dyDescent="0.25">
      <c r="P9333" s="4"/>
    </row>
    <row r="9334" spans="16:16" x14ac:dyDescent="0.25">
      <c r="P9334" s="4"/>
    </row>
    <row r="9335" spans="16:16" x14ac:dyDescent="0.25">
      <c r="P9335" s="4"/>
    </row>
    <row r="9336" spans="16:16" x14ac:dyDescent="0.25">
      <c r="P9336" s="4"/>
    </row>
    <row r="9337" spans="16:16" x14ac:dyDescent="0.25">
      <c r="P9337" s="4"/>
    </row>
    <row r="9338" spans="16:16" x14ac:dyDescent="0.25">
      <c r="P9338" s="4"/>
    </row>
    <row r="9339" spans="16:16" x14ac:dyDescent="0.25">
      <c r="P9339" s="4"/>
    </row>
    <row r="9340" spans="16:16" x14ac:dyDescent="0.25">
      <c r="P9340" s="4"/>
    </row>
    <row r="9341" spans="16:16" x14ac:dyDescent="0.25">
      <c r="P9341" s="4"/>
    </row>
    <row r="9342" spans="16:16" x14ac:dyDescent="0.25">
      <c r="P9342" s="4"/>
    </row>
    <row r="9343" spans="16:16" x14ac:dyDescent="0.25">
      <c r="P9343" s="4"/>
    </row>
    <row r="9344" spans="16:16" x14ac:dyDescent="0.25">
      <c r="P9344" s="4"/>
    </row>
    <row r="9345" spans="16:16" x14ac:dyDescent="0.25">
      <c r="P9345" s="4"/>
    </row>
    <row r="9346" spans="16:16" x14ac:dyDescent="0.25">
      <c r="P9346" s="4"/>
    </row>
    <row r="9347" spans="16:16" x14ac:dyDescent="0.25">
      <c r="P9347" s="4"/>
    </row>
    <row r="9348" spans="16:16" x14ac:dyDescent="0.25">
      <c r="P9348" s="4"/>
    </row>
    <row r="9349" spans="16:16" x14ac:dyDescent="0.25">
      <c r="P9349" s="4"/>
    </row>
    <row r="9350" spans="16:16" x14ac:dyDescent="0.25">
      <c r="P9350" s="4"/>
    </row>
    <row r="9351" spans="16:16" x14ac:dyDescent="0.25">
      <c r="P9351" s="4"/>
    </row>
    <row r="9352" spans="16:16" x14ac:dyDescent="0.25">
      <c r="P9352" s="4"/>
    </row>
    <row r="9353" spans="16:16" x14ac:dyDescent="0.25">
      <c r="P9353" s="4"/>
    </row>
    <row r="9354" spans="16:16" x14ac:dyDescent="0.25">
      <c r="P9354" s="4"/>
    </row>
    <row r="9355" spans="16:16" x14ac:dyDescent="0.25">
      <c r="P9355" s="4"/>
    </row>
    <row r="9356" spans="16:16" x14ac:dyDescent="0.25">
      <c r="P9356" s="4"/>
    </row>
    <row r="9357" spans="16:16" x14ac:dyDescent="0.25">
      <c r="P9357" s="4"/>
    </row>
    <row r="9358" spans="16:16" x14ac:dyDescent="0.25">
      <c r="P9358" s="4"/>
    </row>
    <row r="9359" spans="16:16" x14ac:dyDescent="0.25">
      <c r="P9359" s="4"/>
    </row>
    <row r="9360" spans="16:16" x14ac:dyDescent="0.25">
      <c r="P9360" s="4"/>
    </row>
    <row r="9361" spans="16:16" x14ac:dyDescent="0.25">
      <c r="P9361" s="4"/>
    </row>
    <row r="9362" spans="16:16" x14ac:dyDescent="0.25">
      <c r="P9362" s="4"/>
    </row>
    <row r="9363" spans="16:16" x14ac:dyDescent="0.25">
      <c r="P9363" s="4"/>
    </row>
    <row r="9364" spans="16:16" x14ac:dyDescent="0.25">
      <c r="P9364" s="4"/>
    </row>
    <row r="9365" spans="16:16" x14ac:dyDescent="0.25">
      <c r="P9365" s="4"/>
    </row>
    <row r="9366" spans="16:16" x14ac:dyDescent="0.25">
      <c r="P9366" s="4"/>
    </row>
    <row r="9367" spans="16:16" x14ac:dyDescent="0.25">
      <c r="P9367" s="4"/>
    </row>
    <row r="9368" spans="16:16" x14ac:dyDescent="0.25">
      <c r="P9368" s="4"/>
    </row>
    <row r="9369" spans="16:16" x14ac:dyDescent="0.25">
      <c r="P9369" s="4"/>
    </row>
    <row r="9370" spans="16:16" x14ac:dyDescent="0.25">
      <c r="P9370" s="4"/>
    </row>
    <row r="9371" spans="16:16" x14ac:dyDescent="0.25">
      <c r="P9371" s="4"/>
    </row>
    <row r="9372" spans="16:16" x14ac:dyDescent="0.25">
      <c r="P9372" s="4"/>
    </row>
    <row r="9373" spans="16:16" x14ac:dyDescent="0.25">
      <c r="P9373" s="4"/>
    </row>
    <row r="9374" spans="16:16" x14ac:dyDescent="0.25">
      <c r="P9374" s="4"/>
    </row>
    <row r="9375" spans="16:16" x14ac:dyDescent="0.25">
      <c r="P9375" s="4"/>
    </row>
    <row r="9376" spans="16:16" x14ac:dyDescent="0.25">
      <c r="P9376" s="4"/>
    </row>
    <row r="9377" spans="16:16" x14ac:dyDescent="0.25">
      <c r="P9377" s="4"/>
    </row>
    <row r="9378" spans="16:16" x14ac:dyDescent="0.25">
      <c r="P9378" s="4"/>
    </row>
    <row r="9379" spans="16:16" x14ac:dyDescent="0.25">
      <c r="P9379" s="4"/>
    </row>
    <row r="9380" spans="16:16" x14ac:dyDescent="0.25">
      <c r="P9380" s="4"/>
    </row>
    <row r="9381" spans="16:16" x14ac:dyDescent="0.25">
      <c r="P9381" s="4"/>
    </row>
    <row r="9382" spans="16:16" x14ac:dyDescent="0.25">
      <c r="P9382" s="4"/>
    </row>
    <row r="9383" spans="16:16" x14ac:dyDescent="0.25">
      <c r="P9383" s="4"/>
    </row>
    <row r="9384" spans="16:16" x14ac:dyDescent="0.25">
      <c r="P9384" s="4"/>
    </row>
    <row r="9385" spans="16:16" x14ac:dyDescent="0.25">
      <c r="P9385" s="4"/>
    </row>
    <row r="9386" spans="16:16" x14ac:dyDescent="0.25">
      <c r="P9386" s="4"/>
    </row>
    <row r="9387" spans="16:16" x14ac:dyDescent="0.25">
      <c r="P9387" s="4"/>
    </row>
    <row r="9388" spans="16:16" x14ac:dyDescent="0.25">
      <c r="P9388" s="4"/>
    </row>
    <row r="9389" spans="16:16" x14ac:dyDescent="0.25">
      <c r="P9389" s="4"/>
    </row>
    <row r="9390" spans="16:16" x14ac:dyDescent="0.25">
      <c r="P9390" s="4"/>
    </row>
    <row r="9391" spans="16:16" x14ac:dyDescent="0.25">
      <c r="P9391" s="4"/>
    </row>
    <row r="9392" spans="16:16" x14ac:dyDescent="0.25">
      <c r="P9392" s="4"/>
    </row>
    <row r="9393" spans="16:16" x14ac:dyDescent="0.25">
      <c r="P9393" s="4"/>
    </row>
    <row r="9394" spans="16:16" x14ac:dyDescent="0.25">
      <c r="P9394" s="4"/>
    </row>
    <row r="9395" spans="16:16" x14ac:dyDescent="0.25">
      <c r="P9395" s="4"/>
    </row>
    <row r="9396" spans="16:16" x14ac:dyDescent="0.25">
      <c r="P9396" s="4"/>
    </row>
    <row r="9397" spans="16:16" x14ac:dyDescent="0.25">
      <c r="P9397" s="4"/>
    </row>
    <row r="9398" spans="16:16" x14ac:dyDescent="0.25">
      <c r="P9398" s="4"/>
    </row>
    <row r="9399" spans="16:16" x14ac:dyDescent="0.25">
      <c r="P9399" s="4"/>
    </row>
    <row r="9400" spans="16:16" x14ac:dyDescent="0.25">
      <c r="P9400" s="4"/>
    </row>
    <row r="9401" spans="16:16" x14ac:dyDescent="0.25">
      <c r="P9401" s="4"/>
    </row>
    <row r="9402" spans="16:16" x14ac:dyDescent="0.25">
      <c r="P9402" s="4"/>
    </row>
    <row r="9403" spans="16:16" x14ac:dyDescent="0.25">
      <c r="P9403" s="4"/>
    </row>
    <row r="9404" spans="16:16" x14ac:dyDescent="0.25">
      <c r="P9404" s="4"/>
    </row>
    <row r="9405" spans="16:16" x14ac:dyDescent="0.25">
      <c r="P9405" s="4"/>
    </row>
    <row r="9406" spans="16:16" x14ac:dyDescent="0.25">
      <c r="P9406" s="4"/>
    </row>
    <row r="9407" spans="16:16" x14ac:dyDescent="0.25">
      <c r="P9407" s="4"/>
    </row>
    <row r="9408" spans="16:16" x14ac:dyDescent="0.25">
      <c r="P9408" s="4"/>
    </row>
    <row r="9409" spans="16:16" x14ac:dyDescent="0.25">
      <c r="P9409" s="4"/>
    </row>
    <row r="9410" spans="16:16" x14ac:dyDescent="0.25">
      <c r="P9410" s="4"/>
    </row>
    <row r="9411" spans="16:16" x14ac:dyDescent="0.25">
      <c r="P9411" s="4"/>
    </row>
    <row r="9412" spans="16:16" x14ac:dyDescent="0.25">
      <c r="P9412" s="4"/>
    </row>
    <row r="9413" spans="16:16" x14ac:dyDescent="0.25">
      <c r="P9413" s="4"/>
    </row>
    <row r="9414" spans="16:16" x14ac:dyDescent="0.25">
      <c r="P9414" s="4"/>
    </row>
    <row r="9415" spans="16:16" x14ac:dyDescent="0.25">
      <c r="P9415" s="4"/>
    </row>
    <row r="9416" spans="16:16" x14ac:dyDescent="0.25">
      <c r="P9416" s="4"/>
    </row>
    <row r="9417" spans="16:16" x14ac:dyDescent="0.25">
      <c r="P9417" s="4"/>
    </row>
    <row r="9418" spans="16:16" x14ac:dyDescent="0.25">
      <c r="P9418" s="4"/>
    </row>
    <row r="9419" spans="16:16" x14ac:dyDescent="0.25">
      <c r="P9419" s="4"/>
    </row>
    <row r="9420" spans="16:16" x14ac:dyDescent="0.25">
      <c r="P9420" s="4"/>
    </row>
    <row r="9421" spans="16:16" x14ac:dyDescent="0.25">
      <c r="P9421" s="4"/>
    </row>
    <row r="9422" spans="16:16" x14ac:dyDescent="0.25">
      <c r="P9422" s="4"/>
    </row>
    <row r="9423" spans="16:16" x14ac:dyDescent="0.25">
      <c r="P9423" s="4"/>
    </row>
    <row r="9424" spans="16:16" x14ac:dyDescent="0.25">
      <c r="P9424" s="4"/>
    </row>
    <row r="9425" spans="16:16" x14ac:dyDescent="0.25">
      <c r="P9425" s="4"/>
    </row>
    <row r="9426" spans="16:16" x14ac:dyDescent="0.25">
      <c r="P9426" s="4"/>
    </row>
    <row r="9427" spans="16:16" x14ac:dyDescent="0.25">
      <c r="P9427" s="4"/>
    </row>
    <row r="9428" spans="16:16" x14ac:dyDescent="0.25">
      <c r="P9428" s="4"/>
    </row>
    <row r="9429" spans="16:16" x14ac:dyDescent="0.25">
      <c r="P9429" s="4"/>
    </row>
    <row r="9430" spans="16:16" x14ac:dyDescent="0.25">
      <c r="P9430" s="4"/>
    </row>
    <row r="9431" spans="16:16" x14ac:dyDescent="0.25">
      <c r="P9431" s="4"/>
    </row>
    <row r="9432" spans="16:16" x14ac:dyDescent="0.25">
      <c r="P9432" s="4"/>
    </row>
    <row r="9433" spans="16:16" x14ac:dyDescent="0.25">
      <c r="P9433" s="4"/>
    </row>
    <row r="9434" spans="16:16" x14ac:dyDescent="0.25">
      <c r="P9434" s="4"/>
    </row>
    <row r="9435" spans="16:16" x14ac:dyDescent="0.25">
      <c r="P9435" s="4"/>
    </row>
    <row r="9436" spans="16:16" x14ac:dyDescent="0.25">
      <c r="P9436" s="4"/>
    </row>
    <row r="9437" spans="16:16" x14ac:dyDescent="0.25">
      <c r="P9437" s="4"/>
    </row>
    <row r="9438" spans="16:16" x14ac:dyDescent="0.25">
      <c r="P9438" s="4"/>
    </row>
    <row r="9439" spans="16:16" x14ac:dyDescent="0.25">
      <c r="P9439" s="4"/>
    </row>
    <row r="9440" spans="16:16" x14ac:dyDescent="0.25">
      <c r="P9440" s="4"/>
    </row>
    <row r="9441" spans="16:16" x14ac:dyDescent="0.25">
      <c r="P9441" s="4"/>
    </row>
    <row r="9442" spans="16:16" x14ac:dyDescent="0.25">
      <c r="P9442" s="4"/>
    </row>
    <row r="9443" spans="16:16" x14ac:dyDescent="0.25">
      <c r="P9443" s="4"/>
    </row>
    <row r="9444" spans="16:16" x14ac:dyDescent="0.25">
      <c r="P9444" s="4"/>
    </row>
    <row r="9445" spans="16:16" x14ac:dyDescent="0.25">
      <c r="P9445" s="4"/>
    </row>
    <row r="9446" spans="16:16" x14ac:dyDescent="0.25">
      <c r="P9446" s="4"/>
    </row>
    <row r="9447" spans="16:16" x14ac:dyDescent="0.25">
      <c r="P9447" s="4"/>
    </row>
    <row r="9448" spans="16:16" x14ac:dyDescent="0.25">
      <c r="P9448" s="4"/>
    </row>
    <row r="9449" spans="16:16" x14ac:dyDescent="0.25">
      <c r="P9449" s="4"/>
    </row>
    <row r="9450" spans="16:16" x14ac:dyDescent="0.25">
      <c r="P9450" s="4"/>
    </row>
    <row r="9451" spans="16:16" x14ac:dyDescent="0.25">
      <c r="P9451" s="4"/>
    </row>
    <row r="9452" spans="16:16" x14ac:dyDescent="0.25">
      <c r="P9452" s="4"/>
    </row>
    <row r="9453" spans="16:16" x14ac:dyDescent="0.25">
      <c r="P9453" s="4"/>
    </row>
    <row r="9454" spans="16:16" x14ac:dyDescent="0.25">
      <c r="P9454" s="4"/>
    </row>
    <row r="9455" spans="16:16" x14ac:dyDescent="0.25">
      <c r="P9455" s="4"/>
    </row>
    <row r="9456" spans="16:16" x14ac:dyDescent="0.25">
      <c r="P9456" s="4"/>
    </row>
    <row r="9457" spans="16:16" x14ac:dyDescent="0.25">
      <c r="P9457" s="4"/>
    </row>
    <row r="9458" spans="16:16" x14ac:dyDescent="0.25">
      <c r="P9458" s="4"/>
    </row>
    <row r="9459" spans="16:16" x14ac:dyDescent="0.25">
      <c r="P9459" s="4"/>
    </row>
    <row r="9460" spans="16:16" x14ac:dyDescent="0.25">
      <c r="P9460" s="4"/>
    </row>
    <row r="9461" spans="16:16" x14ac:dyDescent="0.25">
      <c r="P9461" s="4"/>
    </row>
    <row r="9462" spans="16:16" x14ac:dyDescent="0.25">
      <c r="P9462" s="4"/>
    </row>
    <row r="9463" spans="16:16" x14ac:dyDescent="0.25">
      <c r="P9463" s="4"/>
    </row>
    <row r="9464" spans="16:16" x14ac:dyDescent="0.25">
      <c r="P9464" s="4"/>
    </row>
    <row r="9465" spans="16:16" x14ac:dyDescent="0.25">
      <c r="P9465" s="4"/>
    </row>
    <row r="9466" spans="16:16" x14ac:dyDescent="0.25">
      <c r="P9466" s="4"/>
    </row>
    <row r="9467" spans="16:16" x14ac:dyDescent="0.25">
      <c r="P9467" s="4"/>
    </row>
    <row r="9468" spans="16:16" x14ac:dyDescent="0.25">
      <c r="P9468" s="4"/>
    </row>
    <row r="9469" spans="16:16" x14ac:dyDescent="0.25">
      <c r="P9469" s="4"/>
    </row>
    <row r="9470" spans="16:16" x14ac:dyDescent="0.25">
      <c r="P9470" s="4"/>
    </row>
    <row r="9471" spans="16:16" x14ac:dyDescent="0.25">
      <c r="P9471" s="4"/>
    </row>
    <row r="9472" spans="16:16" x14ac:dyDescent="0.25">
      <c r="P9472" s="4"/>
    </row>
    <row r="9473" spans="16:16" x14ac:dyDescent="0.25">
      <c r="P9473" s="4"/>
    </row>
    <row r="9474" spans="16:16" x14ac:dyDescent="0.25">
      <c r="P9474" s="4"/>
    </row>
    <row r="9475" spans="16:16" x14ac:dyDescent="0.25">
      <c r="P9475" s="4"/>
    </row>
    <row r="9476" spans="16:16" x14ac:dyDescent="0.25">
      <c r="P9476" s="4"/>
    </row>
    <row r="9477" spans="16:16" x14ac:dyDescent="0.25">
      <c r="P9477" s="4"/>
    </row>
    <row r="9478" spans="16:16" x14ac:dyDescent="0.25">
      <c r="P9478" s="4"/>
    </row>
    <row r="9479" spans="16:16" x14ac:dyDescent="0.25">
      <c r="P9479" s="4"/>
    </row>
    <row r="9480" spans="16:16" x14ac:dyDescent="0.25">
      <c r="P9480" s="4"/>
    </row>
    <row r="9481" spans="16:16" x14ac:dyDescent="0.25">
      <c r="P9481" s="4"/>
    </row>
    <row r="9482" spans="16:16" x14ac:dyDescent="0.25">
      <c r="P9482" s="4"/>
    </row>
    <row r="9483" spans="16:16" x14ac:dyDescent="0.25">
      <c r="P9483" s="4"/>
    </row>
    <row r="9484" spans="16:16" x14ac:dyDescent="0.25">
      <c r="P9484" s="4"/>
    </row>
    <row r="9485" spans="16:16" x14ac:dyDescent="0.25">
      <c r="P9485" s="4"/>
    </row>
    <row r="9486" spans="16:16" x14ac:dyDescent="0.25">
      <c r="P9486" s="4"/>
    </row>
    <row r="9487" spans="16:16" x14ac:dyDescent="0.25">
      <c r="P9487" s="4"/>
    </row>
    <row r="9488" spans="16:16" x14ac:dyDescent="0.25">
      <c r="P9488" s="4"/>
    </row>
    <row r="9489" spans="16:16" x14ac:dyDescent="0.25">
      <c r="P9489" s="4"/>
    </row>
    <row r="9490" spans="16:16" x14ac:dyDescent="0.25">
      <c r="P9490" s="4"/>
    </row>
    <row r="9491" spans="16:16" x14ac:dyDescent="0.25">
      <c r="P9491" s="4"/>
    </row>
    <row r="9492" spans="16:16" x14ac:dyDescent="0.25">
      <c r="P9492" s="4"/>
    </row>
    <row r="9493" spans="16:16" x14ac:dyDescent="0.25">
      <c r="P9493" s="4"/>
    </row>
    <row r="9494" spans="16:16" x14ac:dyDescent="0.25">
      <c r="P9494" s="4"/>
    </row>
    <row r="9495" spans="16:16" x14ac:dyDescent="0.25">
      <c r="P9495" s="4"/>
    </row>
    <row r="9496" spans="16:16" x14ac:dyDescent="0.25">
      <c r="P9496" s="4"/>
    </row>
    <row r="9497" spans="16:16" x14ac:dyDescent="0.25">
      <c r="P9497" s="4"/>
    </row>
    <row r="9498" spans="16:16" x14ac:dyDescent="0.25">
      <c r="P9498" s="4"/>
    </row>
    <row r="9499" spans="16:16" x14ac:dyDescent="0.25">
      <c r="P9499" s="4"/>
    </row>
    <row r="9500" spans="16:16" x14ac:dyDescent="0.25">
      <c r="P9500" s="4"/>
    </row>
    <row r="9501" spans="16:16" x14ac:dyDescent="0.25">
      <c r="P9501" s="4"/>
    </row>
    <row r="9502" spans="16:16" x14ac:dyDescent="0.25">
      <c r="P9502" s="4"/>
    </row>
    <row r="9503" spans="16:16" x14ac:dyDescent="0.25">
      <c r="P9503" s="4"/>
    </row>
    <row r="9504" spans="16:16" x14ac:dyDescent="0.25">
      <c r="P9504" s="4"/>
    </row>
    <row r="9505" spans="16:16" x14ac:dyDescent="0.25">
      <c r="P9505" s="4"/>
    </row>
    <row r="9506" spans="16:16" x14ac:dyDescent="0.25">
      <c r="P9506" s="4"/>
    </row>
    <row r="9507" spans="16:16" x14ac:dyDescent="0.25">
      <c r="P9507" s="4"/>
    </row>
    <row r="9508" spans="16:16" x14ac:dyDescent="0.25">
      <c r="P9508" s="4"/>
    </row>
    <row r="9509" spans="16:16" x14ac:dyDescent="0.25">
      <c r="P9509" s="4"/>
    </row>
    <row r="9510" spans="16:16" x14ac:dyDescent="0.25">
      <c r="P9510" s="4"/>
    </row>
    <row r="9511" spans="16:16" x14ac:dyDescent="0.25">
      <c r="P9511" s="4"/>
    </row>
    <row r="9512" spans="16:16" x14ac:dyDescent="0.25">
      <c r="P9512" s="4"/>
    </row>
    <row r="9513" spans="16:16" x14ac:dyDescent="0.25">
      <c r="P9513" s="4"/>
    </row>
    <row r="9514" spans="16:16" x14ac:dyDescent="0.25">
      <c r="P9514" s="4"/>
    </row>
    <row r="9515" spans="16:16" x14ac:dyDescent="0.25">
      <c r="P9515" s="4"/>
    </row>
    <row r="9516" spans="16:16" x14ac:dyDescent="0.25">
      <c r="P9516" s="4"/>
    </row>
    <row r="9517" spans="16:16" x14ac:dyDescent="0.25">
      <c r="P9517" s="4"/>
    </row>
    <row r="9518" spans="16:16" x14ac:dyDescent="0.25">
      <c r="P9518" s="4"/>
    </row>
    <row r="9519" spans="16:16" x14ac:dyDescent="0.25">
      <c r="P9519" s="4"/>
    </row>
    <row r="9520" spans="16:16" x14ac:dyDescent="0.25">
      <c r="P9520" s="4"/>
    </row>
    <row r="9521" spans="16:16" x14ac:dyDescent="0.25">
      <c r="P9521" s="4"/>
    </row>
    <row r="9522" spans="16:16" x14ac:dyDescent="0.25">
      <c r="P9522" s="4"/>
    </row>
    <row r="9523" spans="16:16" x14ac:dyDescent="0.25">
      <c r="P9523" s="4"/>
    </row>
    <row r="9524" spans="16:16" x14ac:dyDescent="0.25">
      <c r="P9524" s="4"/>
    </row>
    <row r="9525" spans="16:16" x14ac:dyDescent="0.25">
      <c r="P9525" s="4"/>
    </row>
    <row r="9526" spans="16:16" x14ac:dyDescent="0.25">
      <c r="P9526" s="4"/>
    </row>
    <row r="9527" spans="16:16" x14ac:dyDescent="0.25">
      <c r="P9527" s="4"/>
    </row>
    <row r="9528" spans="16:16" x14ac:dyDescent="0.25">
      <c r="P9528" s="4"/>
    </row>
    <row r="9529" spans="16:16" x14ac:dyDescent="0.25">
      <c r="P9529" s="4"/>
    </row>
    <row r="9530" spans="16:16" x14ac:dyDescent="0.25">
      <c r="P9530" s="4"/>
    </row>
    <row r="9531" spans="16:16" x14ac:dyDescent="0.25">
      <c r="P9531" s="4"/>
    </row>
    <row r="9532" spans="16:16" x14ac:dyDescent="0.25">
      <c r="P9532" s="4"/>
    </row>
    <row r="9533" spans="16:16" x14ac:dyDescent="0.25">
      <c r="P9533" s="4"/>
    </row>
    <row r="9534" spans="16:16" x14ac:dyDescent="0.25">
      <c r="P9534" s="4"/>
    </row>
    <row r="9535" spans="16:16" x14ac:dyDescent="0.25">
      <c r="P9535" s="4"/>
    </row>
    <row r="9536" spans="16:16" x14ac:dyDescent="0.25">
      <c r="P9536" s="4"/>
    </row>
    <row r="9537" spans="16:16" x14ac:dyDescent="0.25">
      <c r="P9537" s="4"/>
    </row>
    <row r="9538" spans="16:16" x14ac:dyDescent="0.25">
      <c r="P9538" s="4"/>
    </row>
    <row r="9539" spans="16:16" x14ac:dyDescent="0.25">
      <c r="P9539" s="4"/>
    </row>
    <row r="9540" spans="16:16" x14ac:dyDescent="0.25">
      <c r="P9540" s="4"/>
    </row>
    <row r="9541" spans="16:16" x14ac:dyDescent="0.25">
      <c r="P9541" s="4"/>
    </row>
    <row r="9542" spans="16:16" x14ac:dyDescent="0.25">
      <c r="P9542" s="4"/>
    </row>
    <row r="9543" spans="16:16" x14ac:dyDescent="0.25">
      <c r="P9543" s="4"/>
    </row>
    <row r="9544" spans="16:16" x14ac:dyDescent="0.25">
      <c r="P9544" s="4"/>
    </row>
    <row r="9545" spans="16:16" x14ac:dyDescent="0.25">
      <c r="P9545" s="4"/>
    </row>
    <row r="9546" spans="16:16" x14ac:dyDescent="0.25">
      <c r="P9546" s="4"/>
    </row>
    <row r="9547" spans="16:16" x14ac:dyDescent="0.25">
      <c r="P9547" s="4"/>
    </row>
    <row r="9548" spans="16:16" x14ac:dyDescent="0.25">
      <c r="P9548" s="4"/>
    </row>
    <row r="9549" spans="16:16" x14ac:dyDescent="0.25">
      <c r="P9549" s="4"/>
    </row>
    <row r="9550" spans="16:16" x14ac:dyDescent="0.25">
      <c r="P9550" s="4"/>
    </row>
    <row r="9551" spans="16:16" x14ac:dyDescent="0.25">
      <c r="P9551" s="4"/>
    </row>
    <row r="9552" spans="16:16" x14ac:dyDescent="0.25">
      <c r="P9552" s="4"/>
    </row>
    <row r="9553" spans="16:16" x14ac:dyDescent="0.25">
      <c r="P9553" s="4"/>
    </row>
    <row r="9554" spans="16:16" x14ac:dyDescent="0.25">
      <c r="P9554" s="4"/>
    </row>
    <row r="9555" spans="16:16" x14ac:dyDescent="0.25">
      <c r="P9555" s="4"/>
    </row>
    <row r="9556" spans="16:16" x14ac:dyDescent="0.25">
      <c r="P9556" s="4"/>
    </row>
    <row r="9557" spans="16:16" x14ac:dyDescent="0.25">
      <c r="P9557" s="4"/>
    </row>
    <row r="9558" spans="16:16" x14ac:dyDescent="0.25">
      <c r="P9558" s="4"/>
    </row>
    <row r="9559" spans="16:16" x14ac:dyDescent="0.25">
      <c r="P9559" s="4"/>
    </row>
    <row r="9560" spans="16:16" x14ac:dyDescent="0.25">
      <c r="P9560" s="4"/>
    </row>
    <row r="9561" spans="16:16" x14ac:dyDescent="0.25">
      <c r="P9561" s="4"/>
    </row>
    <row r="9562" spans="16:16" x14ac:dyDescent="0.25">
      <c r="P9562" s="4"/>
    </row>
    <row r="9563" spans="16:16" x14ac:dyDescent="0.25">
      <c r="P9563" s="4"/>
    </row>
    <row r="9564" spans="16:16" x14ac:dyDescent="0.25">
      <c r="P9564" s="4"/>
    </row>
    <row r="9565" spans="16:16" x14ac:dyDescent="0.25">
      <c r="P9565" s="4"/>
    </row>
    <row r="9566" spans="16:16" x14ac:dyDescent="0.25">
      <c r="P9566" s="4"/>
    </row>
    <row r="9567" spans="16:16" x14ac:dyDescent="0.25">
      <c r="P9567" s="4"/>
    </row>
    <row r="9568" spans="16:16" x14ac:dyDescent="0.25">
      <c r="P9568" s="4"/>
    </row>
    <row r="9569" spans="16:16" x14ac:dyDescent="0.25">
      <c r="P9569" s="4"/>
    </row>
    <row r="9570" spans="16:16" x14ac:dyDescent="0.25">
      <c r="P9570" s="4"/>
    </row>
    <row r="9571" spans="16:16" x14ac:dyDescent="0.25">
      <c r="P9571" s="4"/>
    </row>
    <row r="9572" spans="16:16" x14ac:dyDescent="0.25">
      <c r="P9572" s="4"/>
    </row>
    <row r="9573" spans="16:16" x14ac:dyDescent="0.25">
      <c r="P9573" s="4"/>
    </row>
    <row r="9574" spans="16:16" x14ac:dyDescent="0.25">
      <c r="P9574" s="4"/>
    </row>
    <row r="9575" spans="16:16" x14ac:dyDescent="0.25">
      <c r="P9575" s="4"/>
    </row>
    <row r="9576" spans="16:16" x14ac:dyDescent="0.25">
      <c r="P9576" s="4"/>
    </row>
    <row r="9577" spans="16:16" x14ac:dyDescent="0.25">
      <c r="P9577" s="4"/>
    </row>
    <row r="9578" spans="16:16" x14ac:dyDescent="0.25">
      <c r="P9578" s="4"/>
    </row>
    <row r="9579" spans="16:16" x14ac:dyDescent="0.25">
      <c r="P9579" s="4"/>
    </row>
    <row r="9580" spans="16:16" x14ac:dyDescent="0.25">
      <c r="P9580" s="4"/>
    </row>
    <row r="9581" spans="16:16" x14ac:dyDescent="0.25">
      <c r="P9581" s="4"/>
    </row>
    <row r="9582" spans="16:16" x14ac:dyDescent="0.25">
      <c r="P9582" s="4"/>
    </row>
    <row r="9583" spans="16:16" x14ac:dyDescent="0.25">
      <c r="P9583" s="4"/>
    </row>
    <row r="9584" spans="16:16" x14ac:dyDescent="0.25">
      <c r="P9584" s="4"/>
    </row>
    <row r="9585" spans="16:16" x14ac:dyDescent="0.25">
      <c r="P9585" s="4"/>
    </row>
    <row r="9586" spans="16:16" x14ac:dyDescent="0.25">
      <c r="P9586" s="4"/>
    </row>
    <row r="9587" spans="16:16" x14ac:dyDescent="0.25">
      <c r="P9587" s="4"/>
    </row>
    <row r="9588" spans="16:16" x14ac:dyDescent="0.25">
      <c r="P9588" s="4"/>
    </row>
    <row r="9589" spans="16:16" x14ac:dyDescent="0.25">
      <c r="P9589" s="4"/>
    </row>
    <row r="9590" spans="16:16" x14ac:dyDescent="0.25">
      <c r="P9590" s="4"/>
    </row>
    <row r="9591" spans="16:16" x14ac:dyDescent="0.25">
      <c r="P9591" s="4"/>
    </row>
    <row r="9592" spans="16:16" x14ac:dyDescent="0.25">
      <c r="P9592" s="4"/>
    </row>
    <row r="9593" spans="16:16" x14ac:dyDescent="0.25">
      <c r="P9593" s="4"/>
    </row>
    <row r="9594" spans="16:16" x14ac:dyDescent="0.25">
      <c r="P9594" s="4"/>
    </row>
    <row r="9595" spans="16:16" x14ac:dyDescent="0.25">
      <c r="P9595" s="4"/>
    </row>
    <row r="9596" spans="16:16" x14ac:dyDescent="0.25">
      <c r="P9596" s="4"/>
    </row>
    <row r="9597" spans="16:16" x14ac:dyDescent="0.25">
      <c r="P9597" s="4"/>
    </row>
    <row r="9598" spans="16:16" x14ac:dyDescent="0.25">
      <c r="P9598" s="4"/>
    </row>
    <row r="9599" spans="16:16" x14ac:dyDescent="0.25">
      <c r="P9599" s="4"/>
    </row>
    <row r="9600" spans="16:16" x14ac:dyDescent="0.25">
      <c r="P9600" s="4"/>
    </row>
    <row r="9601" spans="16:16" x14ac:dyDescent="0.25">
      <c r="P9601" s="4"/>
    </row>
    <row r="9602" spans="16:16" x14ac:dyDescent="0.25">
      <c r="P9602" s="4"/>
    </row>
    <row r="9603" spans="16:16" x14ac:dyDescent="0.25">
      <c r="P9603" s="4"/>
    </row>
    <row r="9604" spans="16:16" x14ac:dyDescent="0.25">
      <c r="P9604" s="4"/>
    </row>
    <row r="9605" spans="16:16" x14ac:dyDescent="0.25">
      <c r="P9605" s="4"/>
    </row>
    <row r="9606" spans="16:16" x14ac:dyDescent="0.25">
      <c r="P9606" s="4"/>
    </row>
    <row r="9607" spans="16:16" x14ac:dyDescent="0.25">
      <c r="P9607" s="4"/>
    </row>
    <row r="9608" spans="16:16" x14ac:dyDescent="0.25">
      <c r="P9608" s="4"/>
    </row>
    <row r="9609" spans="16:16" x14ac:dyDescent="0.25">
      <c r="P9609" s="4"/>
    </row>
    <row r="9610" spans="16:16" x14ac:dyDescent="0.25">
      <c r="P9610" s="4"/>
    </row>
    <row r="9611" spans="16:16" x14ac:dyDescent="0.25">
      <c r="P9611" s="4"/>
    </row>
    <row r="9612" spans="16:16" x14ac:dyDescent="0.25">
      <c r="P9612" s="4"/>
    </row>
    <row r="9613" spans="16:16" x14ac:dyDescent="0.25">
      <c r="P9613" s="4"/>
    </row>
    <row r="9614" spans="16:16" x14ac:dyDescent="0.25">
      <c r="P9614" s="4"/>
    </row>
    <row r="9615" spans="16:16" x14ac:dyDescent="0.25">
      <c r="P9615" s="4"/>
    </row>
    <row r="9616" spans="16:16" x14ac:dyDescent="0.25">
      <c r="P9616" s="4"/>
    </row>
    <row r="9617" spans="16:16" x14ac:dyDescent="0.25">
      <c r="P9617" s="4"/>
    </row>
    <row r="9618" spans="16:16" x14ac:dyDescent="0.25">
      <c r="P9618" s="4"/>
    </row>
    <row r="9619" spans="16:16" x14ac:dyDescent="0.25">
      <c r="P9619" s="4"/>
    </row>
    <row r="9620" spans="16:16" x14ac:dyDescent="0.25">
      <c r="P9620" s="4"/>
    </row>
    <row r="9621" spans="16:16" x14ac:dyDescent="0.25">
      <c r="P9621" s="4"/>
    </row>
    <row r="9622" spans="16:16" x14ac:dyDescent="0.25">
      <c r="P9622" s="4"/>
    </row>
    <row r="9623" spans="16:16" x14ac:dyDescent="0.25">
      <c r="P9623" s="4"/>
    </row>
    <row r="9624" spans="16:16" x14ac:dyDescent="0.25">
      <c r="P9624" s="4"/>
    </row>
    <row r="9625" spans="16:16" x14ac:dyDescent="0.25">
      <c r="P9625" s="4"/>
    </row>
    <row r="9626" spans="16:16" x14ac:dyDescent="0.25">
      <c r="P9626" s="4"/>
    </row>
    <row r="9627" spans="16:16" x14ac:dyDescent="0.25">
      <c r="P9627" s="4"/>
    </row>
    <row r="9628" spans="16:16" x14ac:dyDescent="0.25">
      <c r="P9628" s="4"/>
    </row>
    <row r="9629" spans="16:16" x14ac:dyDescent="0.25">
      <c r="P9629" s="4"/>
    </row>
    <row r="9630" spans="16:16" x14ac:dyDescent="0.25">
      <c r="P9630" s="4"/>
    </row>
    <row r="9631" spans="16:16" x14ac:dyDescent="0.25">
      <c r="P9631" s="4"/>
    </row>
    <row r="9632" spans="16:16" x14ac:dyDescent="0.25">
      <c r="P9632" s="4"/>
    </row>
    <row r="9633" spans="16:16" x14ac:dyDescent="0.25">
      <c r="P9633" s="4"/>
    </row>
    <row r="9634" spans="16:16" x14ac:dyDescent="0.25">
      <c r="P9634" s="4"/>
    </row>
    <row r="9635" spans="16:16" x14ac:dyDescent="0.25">
      <c r="P9635" s="4"/>
    </row>
    <row r="9636" spans="16:16" x14ac:dyDescent="0.25">
      <c r="P9636" s="4"/>
    </row>
    <row r="9637" spans="16:16" x14ac:dyDescent="0.25">
      <c r="P9637" s="4"/>
    </row>
    <row r="9638" spans="16:16" x14ac:dyDescent="0.25">
      <c r="P9638" s="4"/>
    </row>
    <row r="9639" spans="16:16" x14ac:dyDescent="0.25">
      <c r="P9639" s="4"/>
    </row>
    <row r="9640" spans="16:16" x14ac:dyDescent="0.25">
      <c r="P9640" s="4"/>
    </row>
    <row r="9641" spans="16:16" x14ac:dyDescent="0.25">
      <c r="P9641" s="4"/>
    </row>
    <row r="9642" spans="16:16" x14ac:dyDescent="0.25">
      <c r="P9642" s="4"/>
    </row>
    <row r="9643" spans="16:16" x14ac:dyDescent="0.25">
      <c r="P9643" s="4"/>
    </row>
    <row r="9644" spans="16:16" x14ac:dyDescent="0.25">
      <c r="P9644" s="4"/>
    </row>
    <row r="9645" spans="16:16" x14ac:dyDescent="0.25">
      <c r="P9645" s="4"/>
    </row>
    <row r="9646" spans="16:16" x14ac:dyDescent="0.25">
      <c r="P9646" s="4"/>
    </row>
    <row r="9647" spans="16:16" x14ac:dyDescent="0.25">
      <c r="P9647" s="4"/>
    </row>
    <row r="9648" spans="16:16" x14ac:dyDescent="0.25">
      <c r="P9648" s="4"/>
    </row>
    <row r="9649" spans="16:16" x14ac:dyDescent="0.25">
      <c r="P9649" s="4"/>
    </row>
    <row r="9650" spans="16:16" x14ac:dyDescent="0.25">
      <c r="P9650" s="4"/>
    </row>
    <row r="9651" spans="16:16" x14ac:dyDescent="0.25">
      <c r="P9651" s="4"/>
    </row>
    <row r="9652" spans="16:16" x14ac:dyDescent="0.25">
      <c r="P9652" s="4"/>
    </row>
    <row r="9653" spans="16:16" x14ac:dyDescent="0.25">
      <c r="P9653" s="4"/>
    </row>
    <row r="9654" spans="16:16" x14ac:dyDescent="0.25">
      <c r="P9654" s="4"/>
    </row>
    <row r="9655" spans="16:16" x14ac:dyDescent="0.25">
      <c r="P9655" s="4"/>
    </row>
    <row r="9656" spans="16:16" x14ac:dyDescent="0.25">
      <c r="P9656" s="4"/>
    </row>
    <row r="9657" spans="16:16" x14ac:dyDescent="0.25">
      <c r="P9657" s="4"/>
    </row>
    <row r="9658" spans="16:16" x14ac:dyDescent="0.25">
      <c r="P9658" s="4"/>
    </row>
    <row r="9659" spans="16:16" x14ac:dyDescent="0.25">
      <c r="P9659" s="4"/>
    </row>
    <row r="9660" spans="16:16" x14ac:dyDescent="0.25">
      <c r="P9660" s="4"/>
    </row>
    <row r="9661" spans="16:16" x14ac:dyDescent="0.25">
      <c r="P9661" s="4"/>
    </row>
    <row r="9662" spans="16:16" x14ac:dyDescent="0.25">
      <c r="P9662" s="4"/>
    </row>
    <row r="9663" spans="16:16" x14ac:dyDescent="0.25">
      <c r="P9663" s="4"/>
    </row>
    <row r="9664" spans="16:16" x14ac:dyDescent="0.25">
      <c r="P9664" s="4"/>
    </row>
    <row r="9665" spans="16:16" x14ac:dyDescent="0.25">
      <c r="P9665" s="4"/>
    </row>
    <row r="9666" spans="16:16" x14ac:dyDescent="0.25">
      <c r="P9666" s="4"/>
    </row>
    <row r="9667" spans="16:16" x14ac:dyDescent="0.25">
      <c r="P9667" s="4"/>
    </row>
    <row r="9668" spans="16:16" x14ac:dyDescent="0.25">
      <c r="P9668" s="4"/>
    </row>
    <row r="9669" spans="16:16" x14ac:dyDescent="0.25">
      <c r="P9669" s="4"/>
    </row>
    <row r="9670" spans="16:16" x14ac:dyDescent="0.25">
      <c r="P9670" s="4"/>
    </row>
    <row r="9671" spans="16:16" x14ac:dyDescent="0.25">
      <c r="P9671" s="4"/>
    </row>
    <row r="9672" spans="16:16" x14ac:dyDescent="0.25">
      <c r="P9672" s="4"/>
    </row>
    <row r="9673" spans="16:16" x14ac:dyDescent="0.25">
      <c r="P9673" s="4"/>
    </row>
    <row r="9674" spans="16:16" x14ac:dyDescent="0.25">
      <c r="P9674" s="4"/>
    </row>
    <row r="9675" spans="16:16" x14ac:dyDescent="0.25">
      <c r="P9675" s="4"/>
    </row>
    <row r="9676" spans="16:16" x14ac:dyDescent="0.25">
      <c r="P9676" s="4"/>
    </row>
    <row r="9677" spans="16:16" x14ac:dyDescent="0.25">
      <c r="P9677" s="4"/>
    </row>
    <row r="9678" spans="16:16" x14ac:dyDescent="0.25">
      <c r="P9678" s="4"/>
    </row>
    <row r="9679" spans="16:16" x14ac:dyDescent="0.25">
      <c r="P9679" s="4"/>
    </row>
    <row r="9680" spans="16:16" x14ac:dyDescent="0.25">
      <c r="P9680" s="4"/>
    </row>
    <row r="9681" spans="16:16" x14ac:dyDescent="0.25">
      <c r="P9681" s="4"/>
    </row>
    <row r="9682" spans="16:16" x14ac:dyDescent="0.25">
      <c r="P9682" s="4"/>
    </row>
    <row r="9683" spans="16:16" x14ac:dyDescent="0.25">
      <c r="P9683" s="4"/>
    </row>
    <row r="9684" spans="16:16" x14ac:dyDescent="0.25">
      <c r="P9684" s="4"/>
    </row>
    <row r="9685" spans="16:16" x14ac:dyDescent="0.25">
      <c r="P9685" s="4"/>
    </row>
    <row r="9686" spans="16:16" x14ac:dyDescent="0.25">
      <c r="P9686" s="4"/>
    </row>
    <row r="9687" spans="16:16" x14ac:dyDescent="0.25">
      <c r="P9687" s="4"/>
    </row>
    <row r="9688" spans="16:16" x14ac:dyDescent="0.25">
      <c r="P9688" s="4"/>
    </row>
    <row r="9689" spans="16:16" x14ac:dyDescent="0.25">
      <c r="P9689" s="4"/>
    </row>
    <row r="9690" spans="16:16" x14ac:dyDescent="0.25">
      <c r="P9690" s="4"/>
    </row>
    <row r="9691" spans="16:16" x14ac:dyDescent="0.25">
      <c r="P9691" s="4"/>
    </row>
    <row r="9692" spans="16:16" x14ac:dyDescent="0.25">
      <c r="P9692" s="4"/>
    </row>
    <row r="9693" spans="16:16" x14ac:dyDescent="0.25">
      <c r="P9693" s="4"/>
    </row>
    <row r="9694" spans="16:16" x14ac:dyDescent="0.25">
      <c r="P9694" s="4"/>
    </row>
    <row r="9695" spans="16:16" x14ac:dyDescent="0.25">
      <c r="P9695" s="4"/>
    </row>
    <row r="9696" spans="16:16" x14ac:dyDescent="0.25">
      <c r="P9696" s="4"/>
    </row>
    <row r="9697" spans="16:16" x14ac:dyDescent="0.25">
      <c r="P9697" s="4"/>
    </row>
    <row r="9698" spans="16:16" x14ac:dyDescent="0.25">
      <c r="P9698" s="4"/>
    </row>
    <row r="9699" spans="16:16" x14ac:dyDescent="0.25">
      <c r="P9699" s="4"/>
    </row>
    <row r="9700" spans="16:16" x14ac:dyDescent="0.25">
      <c r="P9700" s="4"/>
    </row>
    <row r="9701" spans="16:16" x14ac:dyDescent="0.25">
      <c r="P9701" s="4"/>
    </row>
    <row r="9702" spans="16:16" x14ac:dyDescent="0.25">
      <c r="P9702" s="4"/>
    </row>
    <row r="9703" spans="16:16" x14ac:dyDescent="0.25">
      <c r="P9703" s="4"/>
    </row>
    <row r="9704" spans="16:16" x14ac:dyDescent="0.25">
      <c r="P9704" s="4"/>
    </row>
    <row r="9705" spans="16:16" x14ac:dyDescent="0.25">
      <c r="P9705" s="4"/>
    </row>
    <row r="9706" spans="16:16" x14ac:dyDescent="0.25">
      <c r="P9706" s="4"/>
    </row>
    <row r="9707" spans="16:16" x14ac:dyDescent="0.25">
      <c r="P9707" s="4"/>
    </row>
    <row r="9708" spans="16:16" x14ac:dyDescent="0.25">
      <c r="P9708" s="4"/>
    </row>
    <row r="9709" spans="16:16" x14ac:dyDescent="0.25">
      <c r="P9709" s="4"/>
    </row>
    <row r="9710" spans="16:16" x14ac:dyDescent="0.25">
      <c r="P9710" s="4"/>
    </row>
    <row r="9711" spans="16:16" x14ac:dyDescent="0.25">
      <c r="P9711" s="4"/>
    </row>
    <row r="9712" spans="16:16" x14ac:dyDescent="0.25">
      <c r="P9712" s="4"/>
    </row>
    <row r="9713" spans="16:16" x14ac:dyDescent="0.25">
      <c r="P9713" s="4"/>
    </row>
    <row r="9714" spans="16:16" x14ac:dyDescent="0.25">
      <c r="P9714" s="4"/>
    </row>
    <row r="9715" spans="16:16" x14ac:dyDescent="0.25">
      <c r="P9715" s="4"/>
    </row>
    <row r="9716" spans="16:16" x14ac:dyDescent="0.25">
      <c r="P9716" s="4"/>
    </row>
    <row r="9717" spans="16:16" x14ac:dyDescent="0.25">
      <c r="P9717" s="4"/>
    </row>
    <row r="9718" spans="16:16" x14ac:dyDescent="0.25">
      <c r="P9718" s="4"/>
    </row>
    <row r="9719" spans="16:16" x14ac:dyDescent="0.25">
      <c r="P9719" s="4"/>
    </row>
    <row r="9720" spans="16:16" x14ac:dyDescent="0.25">
      <c r="P9720" s="4"/>
    </row>
    <row r="9721" spans="16:16" x14ac:dyDescent="0.25">
      <c r="P9721" s="4"/>
    </row>
    <row r="9722" spans="16:16" x14ac:dyDescent="0.25">
      <c r="P9722" s="4"/>
    </row>
    <row r="9723" spans="16:16" x14ac:dyDescent="0.25">
      <c r="P9723" s="4"/>
    </row>
    <row r="9724" spans="16:16" x14ac:dyDescent="0.25">
      <c r="P9724" s="4"/>
    </row>
    <row r="9725" spans="16:16" x14ac:dyDescent="0.25">
      <c r="P9725" s="4"/>
    </row>
    <row r="9726" spans="16:16" x14ac:dyDescent="0.25">
      <c r="P9726" s="4"/>
    </row>
    <row r="9727" spans="16:16" x14ac:dyDescent="0.25">
      <c r="P9727" s="4"/>
    </row>
    <row r="9728" spans="16:16" x14ac:dyDescent="0.25">
      <c r="P9728" s="4"/>
    </row>
    <row r="9729" spans="16:16" x14ac:dyDescent="0.25">
      <c r="P9729" s="4"/>
    </row>
    <row r="9730" spans="16:16" x14ac:dyDescent="0.25">
      <c r="P9730" s="4"/>
    </row>
    <row r="9731" spans="16:16" x14ac:dyDescent="0.25">
      <c r="P9731" s="4"/>
    </row>
    <row r="9732" spans="16:16" x14ac:dyDescent="0.25">
      <c r="P9732" s="4"/>
    </row>
    <row r="9733" spans="16:16" x14ac:dyDescent="0.25">
      <c r="P9733" s="4"/>
    </row>
    <row r="9734" spans="16:16" x14ac:dyDescent="0.25">
      <c r="P9734" s="4"/>
    </row>
    <row r="9735" spans="16:16" x14ac:dyDescent="0.25">
      <c r="P9735" s="4"/>
    </row>
    <row r="9736" spans="16:16" x14ac:dyDescent="0.25">
      <c r="P9736" s="4"/>
    </row>
    <row r="9737" spans="16:16" x14ac:dyDescent="0.25">
      <c r="P9737" s="4"/>
    </row>
    <row r="9738" spans="16:16" x14ac:dyDescent="0.25">
      <c r="P9738" s="4"/>
    </row>
    <row r="9739" spans="16:16" x14ac:dyDescent="0.25">
      <c r="P9739" s="4"/>
    </row>
    <row r="9740" spans="16:16" x14ac:dyDescent="0.25">
      <c r="P9740" s="4"/>
    </row>
    <row r="9741" spans="16:16" x14ac:dyDescent="0.25">
      <c r="P9741" s="4"/>
    </row>
    <row r="9742" spans="16:16" x14ac:dyDescent="0.25">
      <c r="P9742" s="4"/>
    </row>
    <row r="9743" spans="16:16" x14ac:dyDescent="0.25">
      <c r="P9743" s="4"/>
    </row>
    <row r="9744" spans="16:16" x14ac:dyDescent="0.25">
      <c r="P9744" s="4"/>
    </row>
    <row r="9745" spans="16:16" x14ac:dyDescent="0.25">
      <c r="P9745" s="4"/>
    </row>
    <row r="9746" spans="16:16" x14ac:dyDescent="0.25">
      <c r="P9746" s="4"/>
    </row>
    <row r="9747" spans="16:16" x14ac:dyDescent="0.25">
      <c r="P9747" s="4"/>
    </row>
    <row r="9748" spans="16:16" x14ac:dyDescent="0.25">
      <c r="P9748" s="4"/>
    </row>
    <row r="9749" spans="16:16" x14ac:dyDescent="0.25">
      <c r="P9749" s="4"/>
    </row>
    <row r="9750" spans="16:16" x14ac:dyDescent="0.25">
      <c r="P9750" s="4"/>
    </row>
    <row r="9751" spans="16:16" x14ac:dyDescent="0.25">
      <c r="P9751" s="4"/>
    </row>
    <row r="9752" spans="16:16" x14ac:dyDescent="0.25">
      <c r="P9752" s="4"/>
    </row>
    <row r="9753" spans="16:16" x14ac:dyDescent="0.25">
      <c r="P9753" s="4"/>
    </row>
    <row r="9754" spans="16:16" x14ac:dyDescent="0.25">
      <c r="P9754" s="4"/>
    </row>
    <row r="9755" spans="16:16" x14ac:dyDescent="0.25">
      <c r="P9755" s="4"/>
    </row>
    <row r="9756" spans="16:16" x14ac:dyDescent="0.25">
      <c r="P9756" s="4"/>
    </row>
    <row r="9757" spans="16:16" x14ac:dyDescent="0.25">
      <c r="P9757" s="4"/>
    </row>
    <row r="9758" spans="16:16" x14ac:dyDescent="0.25">
      <c r="P9758" s="4"/>
    </row>
    <row r="9759" spans="16:16" x14ac:dyDescent="0.25">
      <c r="P9759" s="4"/>
    </row>
    <row r="9760" spans="16:16" x14ac:dyDescent="0.25">
      <c r="P9760" s="4"/>
    </row>
    <row r="9761" spans="16:16" x14ac:dyDescent="0.25">
      <c r="P9761" s="4"/>
    </row>
    <row r="9762" spans="16:16" x14ac:dyDescent="0.25">
      <c r="P9762" s="4"/>
    </row>
    <row r="9763" spans="16:16" x14ac:dyDescent="0.25">
      <c r="P9763" s="4"/>
    </row>
    <row r="9764" spans="16:16" x14ac:dyDescent="0.25">
      <c r="P9764" s="4"/>
    </row>
    <row r="9765" spans="16:16" x14ac:dyDescent="0.25">
      <c r="P9765" s="4"/>
    </row>
    <row r="9766" spans="16:16" x14ac:dyDescent="0.25">
      <c r="P9766" s="4"/>
    </row>
    <row r="9767" spans="16:16" x14ac:dyDescent="0.25">
      <c r="P9767" s="4"/>
    </row>
    <row r="9768" spans="16:16" x14ac:dyDescent="0.25">
      <c r="P9768" s="4"/>
    </row>
    <row r="9769" spans="16:16" x14ac:dyDescent="0.25">
      <c r="P9769" s="4"/>
    </row>
    <row r="9770" spans="16:16" x14ac:dyDescent="0.25">
      <c r="P9770" s="4"/>
    </row>
    <row r="9771" spans="16:16" x14ac:dyDescent="0.25">
      <c r="P9771" s="4"/>
    </row>
    <row r="9772" spans="16:16" x14ac:dyDescent="0.25">
      <c r="P9772" s="4"/>
    </row>
    <row r="9773" spans="16:16" x14ac:dyDescent="0.25">
      <c r="P9773" s="4"/>
    </row>
    <row r="9774" spans="16:16" x14ac:dyDescent="0.25">
      <c r="P9774" s="4"/>
    </row>
    <row r="9775" spans="16:16" x14ac:dyDescent="0.25">
      <c r="P9775" s="4"/>
    </row>
    <row r="9776" spans="16:16" x14ac:dyDescent="0.25">
      <c r="P9776" s="4"/>
    </row>
    <row r="9777" spans="16:16" x14ac:dyDescent="0.25">
      <c r="P9777" s="4"/>
    </row>
    <row r="9778" spans="16:16" x14ac:dyDescent="0.25">
      <c r="P9778" s="4"/>
    </row>
    <row r="9779" spans="16:16" x14ac:dyDescent="0.25">
      <c r="P9779" s="4"/>
    </row>
    <row r="9780" spans="16:16" x14ac:dyDescent="0.25">
      <c r="P9780" s="4"/>
    </row>
    <row r="9781" spans="16:16" x14ac:dyDescent="0.25">
      <c r="P9781" s="4"/>
    </row>
    <row r="9782" spans="16:16" x14ac:dyDescent="0.25">
      <c r="P9782" s="4"/>
    </row>
    <row r="9783" spans="16:16" x14ac:dyDescent="0.25">
      <c r="P9783" s="4"/>
    </row>
    <row r="9784" spans="16:16" x14ac:dyDescent="0.25">
      <c r="P9784" s="4"/>
    </row>
    <row r="9785" spans="16:16" x14ac:dyDescent="0.25">
      <c r="P9785" s="4"/>
    </row>
    <row r="9786" spans="16:16" x14ac:dyDescent="0.25">
      <c r="P9786" s="4"/>
    </row>
    <row r="9787" spans="16:16" x14ac:dyDescent="0.25">
      <c r="P9787" s="4"/>
    </row>
    <row r="9788" spans="16:16" x14ac:dyDescent="0.25">
      <c r="P9788" s="4"/>
    </row>
    <row r="9789" spans="16:16" x14ac:dyDescent="0.25">
      <c r="P9789" s="4"/>
    </row>
    <row r="9790" spans="16:16" x14ac:dyDescent="0.25">
      <c r="P9790" s="4"/>
    </row>
    <row r="9791" spans="16:16" x14ac:dyDescent="0.25">
      <c r="P9791" s="4"/>
    </row>
    <row r="9792" spans="16:16" x14ac:dyDescent="0.25">
      <c r="P9792" s="4"/>
    </row>
    <row r="9793" spans="16:16" x14ac:dyDescent="0.25">
      <c r="P9793" s="4"/>
    </row>
    <row r="9794" spans="16:16" x14ac:dyDescent="0.25">
      <c r="P9794" s="4"/>
    </row>
    <row r="9795" spans="16:16" x14ac:dyDescent="0.25">
      <c r="P9795" s="4"/>
    </row>
    <row r="9796" spans="16:16" x14ac:dyDescent="0.25">
      <c r="P9796" s="4"/>
    </row>
    <row r="9797" spans="16:16" x14ac:dyDescent="0.25">
      <c r="P9797" s="4"/>
    </row>
    <row r="9798" spans="16:16" x14ac:dyDescent="0.25">
      <c r="P9798" s="4"/>
    </row>
    <row r="9799" spans="16:16" x14ac:dyDescent="0.25">
      <c r="P9799" s="4"/>
    </row>
    <row r="9800" spans="16:16" x14ac:dyDescent="0.25">
      <c r="P9800" s="4"/>
    </row>
    <row r="9801" spans="16:16" x14ac:dyDescent="0.25">
      <c r="P9801" s="4"/>
    </row>
    <row r="9802" spans="16:16" x14ac:dyDescent="0.25">
      <c r="P9802" s="4"/>
    </row>
    <row r="9803" spans="16:16" x14ac:dyDescent="0.25">
      <c r="P9803" s="4"/>
    </row>
    <row r="9804" spans="16:16" x14ac:dyDescent="0.25">
      <c r="P9804" s="4"/>
    </row>
    <row r="9805" spans="16:16" x14ac:dyDescent="0.25">
      <c r="P9805" s="4"/>
    </row>
    <row r="9806" spans="16:16" x14ac:dyDescent="0.25">
      <c r="P9806" s="4"/>
    </row>
    <row r="9807" spans="16:16" x14ac:dyDescent="0.25">
      <c r="P9807" s="4"/>
    </row>
    <row r="9808" spans="16:16" x14ac:dyDescent="0.25">
      <c r="P9808" s="4"/>
    </row>
    <row r="9809" spans="16:16" x14ac:dyDescent="0.25">
      <c r="P9809" s="4"/>
    </row>
    <row r="9810" spans="16:16" x14ac:dyDescent="0.25">
      <c r="P9810" s="4"/>
    </row>
    <row r="9811" spans="16:16" x14ac:dyDescent="0.25">
      <c r="P9811" s="4"/>
    </row>
    <row r="9812" spans="16:16" x14ac:dyDescent="0.25">
      <c r="P9812" s="4"/>
    </row>
    <row r="9813" spans="16:16" x14ac:dyDescent="0.25">
      <c r="P9813" s="4"/>
    </row>
    <row r="9814" spans="16:16" x14ac:dyDescent="0.25">
      <c r="P9814" s="4"/>
    </row>
    <row r="9815" spans="16:16" x14ac:dyDescent="0.25">
      <c r="P9815" s="4"/>
    </row>
    <row r="9816" spans="16:16" x14ac:dyDescent="0.25">
      <c r="P9816" s="4"/>
    </row>
    <row r="9817" spans="16:16" x14ac:dyDescent="0.25">
      <c r="P9817" s="4"/>
    </row>
    <row r="9818" spans="16:16" x14ac:dyDescent="0.25">
      <c r="P9818" s="4"/>
    </row>
    <row r="9819" spans="16:16" x14ac:dyDescent="0.25">
      <c r="P9819" s="4"/>
    </row>
    <row r="9820" spans="16:16" x14ac:dyDescent="0.25">
      <c r="P9820" s="4"/>
    </row>
    <row r="9821" spans="16:16" x14ac:dyDescent="0.25">
      <c r="P9821" s="4"/>
    </row>
    <row r="9822" spans="16:16" x14ac:dyDescent="0.25">
      <c r="P9822" s="4"/>
    </row>
    <row r="9823" spans="16:16" x14ac:dyDescent="0.25">
      <c r="P9823" s="4"/>
    </row>
    <row r="9824" spans="16:16" x14ac:dyDescent="0.25">
      <c r="P9824" s="4"/>
    </row>
    <row r="9825" spans="16:16" x14ac:dyDescent="0.25">
      <c r="P9825" s="4"/>
    </row>
    <row r="9826" spans="16:16" x14ac:dyDescent="0.25">
      <c r="P9826" s="4"/>
    </row>
    <row r="9827" spans="16:16" x14ac:dyDescent="0.25">
      <c r="P9827" s="4"/>
    </row>
    <row r="9828" spans="16:16" x14ac:dyDescent="0.25">
      <c r="P9828" s="4"/>
    </row>
    <row r="9829" spans="16:16" x14ac:dyDescent="0.25">
      <c r="P9829" s="4"/>
    </row>
    <row r="9830" spans="16:16" x14ac:dyDescent="0.25">
      <c r="P9830" s="4"/>
    </row>
    <row r="9831" spans="16:16" x14ac:dyDescent="0.25">
      <c r="P9831" s="4"/>
    </row>
    <row r="9832" spans="16:16" x14ac:dyDescent="0.25">
      <c r="P9832" s="4"/>
    </row>
    <row r="9833" spans="16:16" x14ac:dyDescent="0.25">
      <c r="P9833" s="4"/>
    </row>
    <row r="9834" spans="16:16" x14ac:dyDescent="0.25">
      <c r="P9834" s="4"/>
    </row>
    <row r="9835" spans="16:16" x14ac:dyDescent="0.25">
      <c r="P9835" s="4"/>
    </row>
    <row r="9836" spans="16:16" x14ac:dyDescent="0.25">
      <c r="P9836" s="4"/>
    </row>
    <row r="9837" spans="16:16" x14ac:dyDescent="0.25">
      <c r="P9837" s="4"/>
    </row>
    <row r="9838" spans="16:16" x14ac:dyDescent="0.25">
      <c r="P9838" s="4"/>
    </row>
    <row r="9839" spans="16:16" x14ac:dyDescent="0.25">
      <c r="P9839" s="4"/>
    </row>
    <row r="9840" spans="16:16" x14ac:dyDescent="0.25">
      <c r="P9840" s="4"/>
    </row>
    <row r="9841" spans="16:16" x14ac:dyDescent="0.25">
      <c r="P9841" s="4"/>
    </row>
    <row r="9842" spans="16:16" x14ac:dyDescent="0.25">
      <c r="P9842" s="4"/>
    </row>
    <row r="9843" spans="16:16" x14ac:dyDescent="0.25">
      <c r="P9843" s="4"/>
    </row>
    <row r="9844" spans="16:16" x14ac:dyDescent="0.25">
      <c r="P9844" s="4"/>
    </row>
    <row r="9845" spans="16:16" x14ac:dyDescent="0.25">
      <c r="P9845" s="4"/>
    </row>
    <row r="9846" spans="16:16" x14ac:dyDescent="0.25">
      <c r="P9846" s="4"/>
    </row>
    <row r="9847" spans="16:16" x14ac:dyDescent="0.25">
      <c r="P9847" s="4"/>
    </row>
    <row r="9848" spans="16:16" x14ac:dyDescent="0.25">
      <c r="P9848" s="4"/>
    </row>
    <row r="9849" spans="16:16" x14ac:dyDescent="0.25">
      <c r="P9849" s="4"/>
    </row>
    <row r="9850" spans="16:16" x14ac:dyDescent="0.25">
      <c r="P9850" s="4"/>
    </row>
    <row r="9851" spans="16:16" x14ac:dyDescent="0.25">
      <c r="P9851" s="4"/>
    </row>
    <row r="9852" spans="16:16" x14ac:dyDescent="0.25">
      <c r="P9852" s="4"/>
    </row>
    <row r="9853" spans="16:16" x14ac:dyDescent="0.25">
      <c r="P9853" s="4"/>
    </row>
    <row r="9854" spans="16:16" x14ac:dyDescent="0.25">
      <c r="P9854" s="4"/>
    </row>
    <row r="9855" spans="16:16" x14ac:dyDescent="0.25">
      <c r="P9855" s="4"/>
    </row>
    <row r="9856" spans="16:16" x14ac:dyDescent="0.25">
      <c r="P9856" s="4"/>
    </row>
    <row r="9857" spans="16:16" x14ac:dyDescent="0.25">
      <c r="P9857" s="4"/>
    </row>
    <row r="9858" spans="16:16" x14ac:dyDescent="0.25">
      <c r="P9858" s="4"/>
    </row>
    <row r="9859" spans="16:16" x14ac:dyDescent="0.25">
      <c r="P9859" s="4"/>
    </row>
    <row r="9860" spans="16:16" x14ac:dyDescent="0.25">
      <c r="P9860" s="4"/>
    </row>
    <row r="9861" spans="16:16" x14ac:dyDescent="0.25">
      <c r="P9861" s="4"/>
    </row>
    <row r="9862" spans="16:16" x14ac:dyDescent="0.25">
      <c r="P9862" s="4"/>
    </row>
    <row r="9863" spans="16:16" x14ac:dyDescent="0.25">
      <c r="P9863" s="4"/>
    </row>
    <row r="9864" spans="16:16" x14ac:dyDescent="0.25">
      <c r="P9864" s="4"/>
    </row>
    <row r="9865" spans="16:16" x14ac:dyDescent="0.25">
      <c r="P9865" s="4"/>
    </row>
    <row r="9866" spans="16:16" x14ac:dyDescent="0.25">
      <c r="P9866" s="4"/>
    </row>
    <row r="9867" spans="16:16" x14ac:dyDescent="0.25">
      <c r="P9867" s="4"/>
    </row>
    <row r="9868" spans="16:16" x14ac:dyDescent="0.25">
      <c r="P9868" s="4"/>
    </row>
    <row r="9869" spans="16:16" x14ac:dyDescent="0.25">
      <c r="P9869" s="4"/>
    </row>
    <row r="9870" spans="16:16" x14ac:dyDescent="0.25">
      <c r="P9870" s="4"/>
    </row>
    <row r="9871" spans="16:16" x14ac:dyDescent="0.25">
      <c r="P9871" s="4"/>
    </row>
    <row r="9872" spans="16:16" x14ac:dyDescent="0.25">
      <c r="P9872" s="4"/>
    </row>
    <row r="9873" spans="16:16" x14ac:dyDescent="0.25">
      <c r="P9873" s="4"/>
    </row>
    <row r="9874" spans="16:16" x14ac:dyDescent="0.25">
      <c r="P9874" s="4"/>
    </row>
    <row r="9875" spans="16:16" x14ac:dyDescent="0.25">
      <c r="P9875" s="4"/>
    </row>
    <row r="9876" spans="16:16" x14ac:dyDescent="0.25">
      <c r="P9876" s="4"/>
    </row>
    <row r="9877" spans="16:16" x14ac:dyDescent="0.25">
      <c r="P9877" s="4"/>
    </row>
    <row r="9878" spans="16:16" x14ac:dyDescent="0.25">
      <c r="P9878" s="4"/>
    </row>
    <row r="9879" spans="16:16" x14ac:dyDescent="0.25">
      <c r="P9879" s="4"/>
    </row>
    <row r="9880" spans="16:16" x14ac:dyDescent="0.25">
      <c r="P9880" s="4"/>
    </row>
    <row r="9881" spans="16:16" x14ac:dyDescent="0.25">
      <c r="P9881" s="4"/>
    </row>
    <row r="9882" spans="16:16" x14ac:dyDescent="0.25">
      <c r="P9882" s="4"/>
    </row>
    <row r="9883" spans="16:16" x14ac:dyDescent="0.25">
      <c r="P9883" s="4"/>
    </row>
    <row r="9884" spans="16:16" x14ac:dyDescent="0.25">
      <c r="P9884" s="4"/>
    </row>
    <row r="9885" spans="16:16" x14ac:dyDescent="0.25">
      <c r="P9885" s="4"/>
    </row>
    <row r="9886" spans="16:16" x14ac:dyDescent="0.25">
      <c r="P9886" s="4"/>
    </row>
    <row r="9887" spans="16:16" x14ac:dyDescent="0.25">
      <c r="P9887" s="4"/>
    </row>
    <row r="9888" spans="16:16" x14ac:dyDescent="0.25">
      <c r="P9888" s="4"/>
    </row>
    <row r="9889" spans="16:16" x14ac:dyDescent="0.25">
      <c r="P9889" s="4"/>
    </row>
    <row r="9890" spans="16:16" x14ac:dyDescent="0.25">
      <c r="P9890" s="4"/>
    </row>
    <row r="9891" spans="16:16" x14ac:dyDescent="0.25">
      <c r="P9891" s="4"/>
    </row>
    <row r="9892" spans="16:16" x14ac:dyDescent="0.25">
      <c r="P9892" s="4"/>
    </row>
    <row r="9893" spans="16:16" x14ac:dyDescent="0.25">
      <c r="P9893" s="4"/>
    </row>
    <row r="9894" spans="16:16" x14ac:dyDescent="0.25">
      <c r="P9894" s="4"/>
    </row>
    <row r="9895" spans="16:16" x14ac:dyDescent="0.25">
      <c r="P9895" s="4"/>
    </row>
    <row r="9896" spans="16:16" x14ac:dyDescent="0.25">
      <c r="P9896" s="4"/>
    </row>
    <row r="9897" spans="16:16" x14ac:dyDescent="0.25">
      <c r="P9897" s="4"/>
    </row>
    <row r="9898" spans="16:16" x14ac:dyDescent="0.25">
      <c r="P9898" s="4"/>
    </row>
    <row r="9899" spans="16:16" x14ac:dyDescent="0.25">
      <c r="P9899" s="4"/>
    </row>
    <row r="9900" spans="16:16" x14ac:dyDescent="0.25">
      <c r="P9900" s="4"/>
    </row>
    <row r="9901" spans="16:16" x14ac:dyDescent="0.25">
      <c r="P9901" s="4"/>
    </row>
    <row r="9902" spans="16:16" x14ac:dyDescent="0.25">
      <c r="P9902" s="4"/>
    </row>
    <row r="9903" spans="16:16" x14ac:dyDescent="0.25">
      <c r="P9903" s="4"/>
    </row>
    <row r="9904" spans="16:16" x14ac:dyDescent="0.25">
      <c r="P9904" s="4"/>
    </row>
    <row r="9905" spans="16:16" x14ac:dyDescent="0.25">
      <c r="P9905" s="4"/>
    </row>
    <row r="9906" spans="16:16" x14ac:dyDescent="0.25">
      <c r="P9906" s="4"/>
    </row>
    <row r="9907" spans="16:16" x14ac:dyDescent="0.25">
      <c r="P9907" s="4"/>
    </row>
    <row r="9908" spans="16:16" x14ac:dyDescent="0.25">
      <c r="P9908" s="4"/>
    </row>
    <row r="9909" spans="16:16" x14ac:dyDescent="0.25">
      <c r="P9909" s="4"/>
    </row>
    <row r="9910" spans="16:16" x14ac:dyDescent="0.25">
      <c r="P9910" s="4"/>
    </row>
    <row r="9911" spans="16:16" x14ac:dyDescent="0.25">
      <c r="P9911" s="4"/>
    </row>
    <row r="9912" spans="16:16" x14ac:dyDescent="0.25">
      <c r="P9912" s="4"/>
    </row>
    <row r="9913" spans="16:16" x14ac:dyDescent="0.25">
      <c r="P9913" s="4"/>
    </row>
    <row r="9914" spans="16:16" x14ac:dyDescent="0.25">
      <c r="P9914" s="4"/>
    </row>
    <row r="9915" spans="16:16" x14ac:dyDescent="0.25">
      <c r="P9915" s="4"/>
    </row>
    <row r="9916" spans="16:16" x14ac:dyDescent="0.25">
      <c r="P9916" s="4"/>
    </row>
    <row r="9917" spans="16:16" x14ac:dyDescent="0.25">
      <c r="P9917" s="4"/>
    </row>
    <row r="9918" spans="16:16" x14ac:dyDescent="0.25">
      <c r="P9918" s="4"/>
    </row>
    <row r="9919" spans="16:16" x14ac:dyDescent="0.25">
      <c r="P9919" s="4"/>
    </row>
    <row r="9920" spans="16:16" x14ac:dyDescent="0.25">
      <c r="P9920" s="4"/>
    </row>
    <row r="9921" spans="16:16" x14ac:dyDescent="0.25">
      <c r="P9921" s="4"/>
    </row>
    <row r="9922" spans="16:16" x14ac:dyDescent="0.25">
      <c r="P9922" s="4"/>
    </row>
    <row r="9923" spans="16:16" x14ac:dyDescent="0.25">
      <c r="P9923" s="4"/>
    </row>
    <row r="9924" spans="16:16" x14ac:dyDescent="0.25">
      <c r="P9924" s="4"/>
    </row>
    <row r="9925" spans="16:16" x14ac:dyDescent="0.25">
      <c r="P9925" s="4"/>
    </row>
    <row r="9926" spans="16:16" x14ac:dyDescent="0.25">
      <c r="P9926" s="4"/>
    </row>
    <row r="9927" spans="16:16" x14ac:dyDescent="0.25">
      <c r="P9927" s="4"/>
    </row>
    <row r="9928" spans="16:16" x14ac:dyDescent="0.25">
      <c r="P9928" s="4"/>
    </row>
    <row r="9929" spans="16:16" x14ac:dyDescent="0.25">
      <c r="P9929" s="4"/>
    </row>
    <row r="9930" spans="16:16" x14ac:dyDescent="0.25">
      <c r="P9930" s="4"/>
    </row>
    <row r="9931" spans="16:16" x14ac:dyDescent="0.25">
      <c r="P9931" s="4"/>
    </row>
    <row r="9932" spans="16:16" x14ac:dyDescent="0.25">
      <c r="P9932" s="4"/>
    </row>
    <row r="9933" spans="16:16" x14ac:dyDescent="0.25">
      <c r="P9933" s="4"/>
    </row>
    <row r="9934" spans="16:16" x14ac:dyDescent="0.25">
      <c r="P9934" s="4"/>
    </row>
    <row r="9935" spans="16:16" x14ac:dyDescent="0.25">
      <c r="P9935" s="4"/>
    </row>
    <row r="9936" spans="16:16" x14ac:dyDescent="0.25">
      <c r="P9936" s="4"/>
    </row>
    <row r="9937" spans="16:16" x14ac:dyDescent="0.25">
      <c r="P9937" s="4"/>
    </row>
    <row r="9938" spans="16:16" x14ac:dyDescent="0.25">
      <c r="P9938" s="4"/>
    </row>
    <row r="9939" spans="16:16" x14ac:dyDescent="0.25">
      <c r="P9939" s="4"/>
    </row>
    <row r="9940" spans="16:16" x14ac:dyDescent="0.25">
      <c r="P9940" s="4"/>
    </row>
    <row r="9941" spans="16:16" x14ac:dyDescent="0.25">
      <c r="P9941" s="4"/>
    </row>
    <row r="9942" spans="16:16" x14ac:dyDescent="0.25">
      <c r="P9942" s="4"/>
    </row>
    <row r="9943" spans="16:16" x14ac:dyDescent="0.25">
      <c r="P9943" s="4"/>
    </row>
    <row r="9944" spans="16:16" x14ac:dyDescent="0.25">
      <c r="P9944" s="4"/>
    </row>
    <row r="9945" spans="16:16" x14ac:dyDescent="0.25">
      <c r="P9945" s="4"/>
    </row>
    <row r="9946" spans="16:16" x14ac:dyDescent="0.25">
      <c r="P9946" s="4"/>
    </row>
    <row r="9947" spans="16:16" x14ac:dyDescent="0.25">
      <c r="P9947" s="4"/>
    </row>
    <row r="9948" spans="16:16" x14ac:dyDescent="0.25">
      <c r="P9948" s="4"/>
    </row>
    <row r="9949" spans="16:16" x14ac:dyDescent="0.25">
      <c r="P9949" s="4"/>
    </row>
    <row r="9950" spans="16:16" x14ac:dyDescent="0.25">
      <c r="P9950" s="4"/>
    </row>
    <row r="9951" spans="16:16" x14ac:dyDescent="0.25">
      <c r="P9951" s="4"/>
    </row>
    <row r="9952" spans="16:16" x14ac:dyDescent="0.25">
      <c r="P9952" s="4"/>
    </row>
    <row r="9953" spans="16:16" x14ac:dyDescent="0.25">
      <c r="P9953" s="4"/>
    </row>
    <row r="9954" spans="16:16" x14ac:dyDescent="0.25">
      <c r="P9954" s="4"/>
    </row>
    <row r="9955" spans="16:16" x14ac:dyDescent="0.25">
      <c r="P9955" s="4"/>
    </row>
    <row r="9956" spans="16:16" x14ac:dyDescent="0.25">
      <c r="P9956" s="4"/>
    </row>
    <row r="9957" spans="16:16" x14ac:dyDescent="0.25">
      <c r="P9957" s="4"/>
    </row>
    <row r="9958" spans="16:16" x14ac:dyDescent="0.25">
      <c r="P9958" s="4"/>
    </row>
    <row r="9959" spans="16:16" x14ac:dyDescent="0.25">
      <c r="P9959" s="4"/>
    </row>
    <row r="9960" spans="16:16" x14ac:dyDescent="0.25">
      <c r="P9960" s="4"/>
    </row>
    <row r="9961" spans="16:16" x14ac:dyDescent="0.25">
      <c r="P9961" s="4"/>
    </row>
    <row r="9962" spans="16:16" x14ac:dyDescent="0.25">
      <c r="P9962" s="4"/>
    </row>
    <row r="9963" spans="16:16" x14ac:dyDescent="0.25">
      <c r="P9963" s="4"/>
    </row>
    <row r="9964" spans="16:16" x14ac:dyDescent="0.25">
      <c r="P9964" s="4"/>
    </row>
    <row r="9965" spans="16:16" x14ac:dyDescent="0.25">
      <c r="P9965" s="4"/>
    </row>
    <row r="9966" spans="16:16" x14ac:dyDescent="0.25">
      <c r="P9966" s="4"/>
    </row>
    <row r="9967" spans="16:16" x14ac:dyDescent="0.25">
      <c r="P9967" s="4"/>
    </row>
    <row r="9968" spans="16:16" x14ac:dyDescent="0.25">
      <c r="P9968" s="4"/>
    </row>
    <row r="9969" spans="16:16" x14ac:dyDescent="0.25">
      <c r="P9969" s="4"/>
    </row>
    <row r="9970" spans="16:16" x14ac:dyDescent="0.25">
      <c r="P9970" s="4"/>
    </row>
    <row r="9971" spans="16:16" x14ac:dyDescent="0.25">
      <c r="P9971" s="4"/>
    </row>
    <row r="9972" spans="16:16" x14ac:dyDescent="0.25">
      <c r="P9972" s="4"/>
    </row>
    <row r="9973" spans="16:16" x14ac:dyDescent="0.25">
      <c r="P9973" s="4"/>
    </row>
    <row r="9974" spans="16:16" x14ac:dyDescent="0.25">
      <c r="P9974" s="4"/>
    </row>
    <row r="9975" spans="16:16" x14ac:dyDescent="0.25">
      <c r="P9975" s="4"/>
    </row>
    <row r="9976" spans="16:16" x14ac:dyDescent="0.25">
      <c r="P9976" s="4"/>
    </row>
    <row r="9977" spans="16:16" x14ac:dyDescent="0.25">
      <c r="P9977" s="4"/>
    </row>
    <row r="9978" spans="16:16" x14ac:dyDescent="0.25">
      <c r="P9978" s="4"/>
    </row>
    <row r="9979" spans="16:16" x14ac:dyDescent="0.25">
      <c r="P9979" s="4"/>
    </row>
    <row r="9980" spans="16:16" x14ac:dyDescent="0.25">
      <c r="P9980" s="4"/>
    </row>
    <row r="9981" spans="16:16" x14ac:dyDescent="0.25">
      <c r="P9981" s="4"/>
    </row>
    <row r="9982" spans="16:16" x14ac:dyDescent="0.25">
      <c r="P9982" s="4"/>
    </row>
    <row r="9983" spans="16:16" x14ac:dyDescent="0.25">
      <c r="P9983" s="4"/>
    </row>
    <row r="9984" spans="16:16" x14ac:dyDescent="0.25">
      <c r="P9984" s="4"/>
    </row>
    <row r="9985" spans="16:16" x14ac:dyDescent="0.25">
      <c r="P9985" s="4"/>
    </row>
    <row r="9986" spans="16:16" x14ac:dyDescent="0.25">
      <c r="P9986" s="4"/>
    </row>
    <row r="9987" spans="16:16" x14ac:dyDescent="0.25">
      <c r="P9987" s="4"/>
    </row>
    <row r="9988" spans="16:16" x14ac:dyDescent="0.25">
      <c r="P9988" s="4"/>
    </row>
    <row r="9989" spans="16:16" x14ac:dyDescent="0.25">
      <c r="P9989" s="4"/>
    </row>
    <row r="9990" spans="16:16" x14ac:dyDescent="0.25">
      <c r="P9990" s="4"/>
    </row>
    <row r="9991" spans="16:16" x14ac:dyDescent="0.25">
      <c r="P9991" s="4"/>
    </row>
    <row r="9992" spans="16:16" x14ac:dyDescent="0.25">
      <c r="P9992" s="4"/>
    </row>
    <row r="9993" spans="16:16" x14ac:dyDescent="0.25">
      <c r="P9993" s="4"/>
    </row>
    <row r="9994" spans="16:16" x14ac:dyDescent="0.25">
      <c r="P9994" s="4"/>
    </row>
    <row r="9995" spans="16:16" x14ac:dyDescent="0.25">
      <c r="P9995" s="4"/>
    </row>
    <row r="9996" spans="16:16" x14ac:dyDescent="0.25">
      <c r="P9996" s="4"/>
    </row>
    <row r="9997" spans="16:16" x14ac:dyDescent="0.25">
      <c r="P9997" s="4"/>
    </row>
    <row r="9998" spans="16:16" x14ac:dyDescent="0.25">
      <c r="P9998" s="4"/>
    </row>
    <row r="9999" spans="16:16" x14ac:dyDescent="0.25">
      <c r="P9999" s="4"/>
    </row>
    <row r="10000" spans="16:16" x14ac:dyDescent="0.25">
      <c r="P10000" s="4"/>
    </row>
    <row r="10001" spans="16:16" x14ac:dyDescent="0.25">
      <c r="P10001" s="4"/>
    </row>
    <row r="10002" spans="16:16" x14ac:dyDescent="0.25">
      <c r="P10002" s="4"/>
    </row>
    <row r="10003" spans="16:16" x14ac:dyDescent="0.25">
      <c r="P10003" s="4"/>
    </row>
    <row r="10004" spans="16:16" x14ac:dyDescent="0.25">
      <c r="P10004" s="4"/>
    </row>
    <row r="10005" spans="16:16" x14ac:dyDescent="0.25">
      <c r="P10005" s="4"/>
    </row>
    <row r="10006" spans="16:16" x14ac:dyDescent="0.25">
      <c r="P10006" s="4"/>
    </row>
    <row r="10007" spans="16:16" x14ac:dyDescent="0.25">
      <c r="P10007" s="4"/>
    </row>
    <row r="10008" spans="16:16" x14ac:dyDescent="0.25">
      <c r="P10008" s="4"/>
    </row>
    <row r="10009" spans="16:16" x14ac:dyDescent="0.25">
      <c r="P10009" s="4"/>
    </row>
    <row r="10010" spans="16:16" x14ac:dyDescent="0.25">
      <c r="P10010" s="4"/>
    </row>
    <row r="10011" spans="16:16" x14ac:dyDescent="0.25">
      <c r="P10011" s="4"/>
    </row>
    <row r="10012" spans="16:16" x14ac:dyDescent="0.25">
      <c r="P10012" s="4"/>
    </row>
    <row r="10013" spans="16:16" x14ac:dyDescent="0.25">
      <c r="P10013" s="4"/>
    </row>
    <row r="10014" spans="16:16" x14ac:dyDescent="0.25">
      <c r="P10014" s="4"/>
    </row>
    <row r="10015" spans="16:16" x14ac:dyDescent="0.25">
      <c r="P10015" s="4"/>
    </row>
    <row r="10016" spans="16:16" x14ac:dyDescent="0.25">
      <c r="P10016" s="4"/>
    </row>
    <row r="10017" spans="16:16" x14ac:dyDescent="0.25">
      <c r="P10017" s="4"/>
    </row>
    <row r="10018" spans="16:16" x14ac:dyDescent="0.25">
      <c r="P10018" s="4"/>
    </row>
    <row r="10019" spans="16:16" x14ac:dyDescent="0.25">
      <c r="P10019" s="4"/>
    </row>
    <row r="10020" spans="16:16" x14ac:dyDescent="0.25">
      <c r="P10020" s="4"/>
    </row>
    <row r="10021" spans="16:16" x14ac:dyDescent="0.25">
      <c r="P10021" s="4"/>
    </row>
    <row r="10022" spans="16:16" x14ac:dyDescent="0.25">
      <c r="P10022" s="4"/>
    </row>
    <row r="10023" spans="16:16" x14ac:dyDescent="0.25">
      <c r="P10023" s="4"/>
    </row>
    <row r="10024" spans="16:16" x14ac:dyDescent="0.25">
      <c r="P10024" s="4"/>
    </row>
    <row r="10025" spans="16:16" x14ac:dyDescent="0.25">
      <c r="P10025" s="4"/>
    </row>
    <row r="10026" spans="16:16" x14ac:dyDescent="0.25">
      <c r="P10026" s="4"/>
    </row>
    <row r="10027" spans="16:16" x14ac:dyDescent="0.25">
      <c r="P10027" s="4"/>
    </row>
    <row r="10028" spans="16:16" x14ac:dyDescent="0.25">
      <c r="P10028" s="4"/>
    </row>
    <row r="10029" spans="16:16" x14ac:dyDescent="0.25">
      <c r="P10029" s="4"/>
    </row>
    <row r="10030" spans="16:16" x14ac:dyDescent="0.25">
      <c r="P10030" s="4"/>
    </row>
    <row r="10031" spans="16:16" x14ac:dyDescent="0.25">
      <c r="P10031" s="4"/>
    </row>
    <row r="10032" spans="16:16" x14ac:dyDescent="0.25">
      <c r="P10032" s="4"/>
    </row>
    <row r="10033" spans="16:16" x14ac:dyDescent="0.25">
      <c r="P10033" s="4"/>
    </row>
    <row r="10034" spans="16:16" x14ac:dyDescent="0.25">
      <c r="P10034" s="4"/>
    </row>
    <row r="10035" spans="16:16" x14ac:dyDescent="0.25">
      <c r="P10035" s="4"/>
    </row>
    <row r="10036" spans="16:16" x14ac:dyDescent="0.25">
      <c r="P10036" s="4"/>
    </row>
    <row r="10037" spans="16:16" x14ac:dyDescent="0.25">
      <c r="P10037" s="4"/>
    </row>
    <row r="10038" spans="16:16" x14ac:dyDescent="0.25">
      <c r="P10038" s="4"/>
    </row>
    <row r="10039" spans="16:16" x14ac:dyDescent="0.25">
      <c r="P10039" s="4"/>
    </row>
    <row r="10040" spans="16:16" x14ac:dyDescent="0.25">
      <c r="P10040" s="4"/>
    </row>
    <row r="10041" spans="16:16" x14ac:dyDescent="0.25">
      <c r="P10041" s="4"/>
    </row>
    <row r="10042" spans="16:16" x14ac:dyDescent="0.25">
      <c r="P10042" s="4"/>
    </row>
    <row r="10043" spans="16:16" x14ac:dyDescent="0.25">
      <c r="P10043" s="4"/>
    </row>
    <row r="10044" spans="16:16" x14ac:dyDescent="0.25">
      <c r="P10044" s="4"/>
    </row>
    <row r="10045" spans="16:16" x14ac:dyDescent="0.25">
      <c r="P10045" s="4"/>
    </row>
    <row r="10046" spans="16:16" x14ac:dyDescent="0.25">
      <c r="P10046" s="4"/>
    </row>
    <row r="10047" spans="16:16" x14ac:dyDescent="0.25">
      <c r="P10047" s="4"/>
    </row>
    <row r="10048" spans="16:16" x14ac:dyDescent="0.25">
      <c r="P10048" s="4"/>
    </row>
    <row r="10049" spans="16:16" x14ac:dyDescent="0.25">
      <c r="P10049" s="4"/>
    </row>
    <row r="10050" spans="16:16" x14ac:dyDescent="0.25">
      <c r="P10050" s="4"/>
    </row>
    <row r="10051" spans="16:16" x14ac:dyDescent="0.25">
      <c r="P10051" s="4"/>
    </row>
    <row r="10052" spans="16:16" x14ac:dyDescent="0.25">
      <c r="P10052" s="4"/>
    </row>
    <row r="10053" spans="16:16" x14ac:dyDescent="0.25">
      <c r="P10053" s="4"/>
    </row>
    <row r="10054" spans="16:16" x14ac:dyDescent="0.25">
      <c r="P10054" s="4"/>
    </row>
    <row r="10055" spans="16:16" x14ac:dyDescent="0.25">
      <c r="P10055" s="4"/>
    </row>
    <row r="10056" spans="16:16" x14ac:dyDescent="0.25">
      <c r="P10056" s="4"/>
    </row>
    <row r="10057" spans="16:16" x14ac:dyDescent="0.25">
      <c r="P10057" s="4"/>
    </row>
    <row r="10058" spans="16:16" x14ac:dyDescent="0.25">
      <c r="P10058" s="4"/>
    </row>
    <row r="10059" spans="16:16" x14ac:dyDescent="0.25">
      <c r="P10059" s="4"/>
    </row>
    <row r="10060" spans="16:16" x14ac:dyDescent="0.25">
      <c r="P10060" s="4"/>
    </row>
    <row r="10061" spans="16:16" x14ac:dyDescent="0.25">
      <c r="P10061" s="4"/>
    </row>
    <row r="10062" spans="16:16" x14ac:dyDescent="0.25">
      <c r="P10062" s="4"/>
    </row>
    <row r="10063" spans="16:16" x14ac:dyDescent="0.25">
      <c r="P10063" s="4"/>
    </row>
    <row r="10064" spans="16:16" x14ac:dyDescent="0.25">
      <c r="P10064" s="4"/>
    </row>
    <row r="10065" spans="16:16" x14ac:dyDescent="0.25">
      <c r="P10065" s="4"/>
    </row>
    <row r="10066" spans="16:16" x14ac:dyDescent="0.25">
      <c r="P10066" s="4"/>
    </row>
    <row r="10067" spans="16:16" x14ac:dyDescent="0.25">
      <c r="P10067" s="4"/>
    </row>
    <row r="10068" spans="16:16" x14ac:dyDescent="0.25">
      <c r="P10068" s="4"/>
    </row>
    <row r="10069" spans="16:16" x14ac:dyDescent="0.25">
      <c r="P10069" s="4"/>
    </row>
    <row r="10070" spans="16:16" x14ac:dyDescent="0.25">
      <c r="P10070" s="4"/>
    </row>
    <row r="10071" spans="16:16" x14ac:dyDescent="0.25">
      <c r="P10071" s="4"/>
    </row>
    <row r="10072" spans="16:16" x14ac:dyDescent="0.25">
      <c r="P10072" s="4"/>
    </row>
    <row r="10073" spans="16:16" x14ac:dyDescent="0.25">
      <c r="P10073" s="4"/>
    </row>
    <row r="10074" spans="16:16" x14ac:dyDescent="0.25">
      <c r="P10074" s="4"/>
    </row>
    <row r="10075" spans="16:16" x14ac:dyDescent="0.25">
      <c r="P10075" s="4"/>
    </row>
    <row r="10076" spans="16:16" x14ac:dyDescent="0.25">
      <c r="P10076" s="4"/>
    </row>
    <row r="10077" spans="16:16" x14ac:dyDescent="0.25">
      <c r="P10077" s="4"/>
    </row>
    <row r="10078" spans="16:16" x14ac:dyDescent="0.25">
      <c r="P10078" s="4"/>
    </row>
    <row r="10079" spans="16:16" x14ac:dyDescent="0.25">
      <c r="P10079" s="4"/>
    </row>
    <row r="10080" spans="16:16" x14ac:dyDescent="0.25">
      <c r="P10080" s="4"/>
    </row>
    <row r="10081" spans="16:16" x14ac:dyDescent="0.25">
      <c r="P10081" s="4"/>
    </row>
    <row r="10082" spans="16:16" x14ac:dyDescent="0.25">
      <c r="P10082" s="4"/>
    </row>
    <row r="10083" spans="16:16" x14ac:dyDescent="0.25">
      <c r="P10083" s="4"/>
    </row>
    <row r="10084" spans="16:16" x14ac:dyDescent="0.25">
      <c r="P10084" s="4"/>
    </row>
    <row r="10085" spans="16:16" x14ac:dyDescent="0.25">
      <c r="P10085" s="4"/>
    </row>
    <row r="10086" spans="16:16" x14ac:dyDescent="0.25">
      <c r="P10086" s="4"/>
    </row>
    <row r="10087" spans="16:16" x14ac:dyDescent="0.25">
      <c r="P10087" s="4"/>
    </row>
    <row r="10088" spans="16:16" x14ac:dyDescent="0.25">
      <c r="P10088" s="4"/>
    </row>
    <row r="10089" spans="16:16" x14ac:dyDescent="0.25">
      <c r="P10089" s="4"/>
    </row>
    <row r="10090" spans="16:16" x14ac:dyDescent="0.25">
      <c r="P10090" s="4"/>
    </row>
    <row r="10091" spans="16:16" x14ac:dyDescent="0.25">
      <c r="P10091" s="4"/>
    </row>
    <row r="10092" spans="16:16" x14ac:dyDescent="0.25">
      <c r="P10092" s="4"/>
    </row>
    <row r="10093" spans="16:16" x14ac:dyDescent="0.25">
      <c r="P10093" s="4"/>
    </row>
    <row r="10094" spans="16:16" x14ac:dyDescent="0.25">
      <c r="P10094" s="4"/>
    </row>
    <row r="10095" spans="16:16" x14ac:dyDescent="0.25">
      <c r="P10095" s="4"/>
    </row>
    <row r="10096" spans="16:16" x14ac:dyDescent="0.25">
      <c r="P10096" s="4"/>
    </row>
    <row r="10097" spans="16:16" x14ac:dyDescent="0.25">
      <c r="P10097" s="4"/>
    </row>
    <row r="10098" spans="16:16" x14ac:dyDescent="0.25">
      <c r="P10098" s="4"/>
    </row>
    <row r="10099" spans="16:16" x14ac:dyDescent="0.25">
      <c r="P10099" s="4"/>
    </row>
    <row r="10100" spans="16:16" x14ac:dyDescent="0.25">
      <c r="P10100" s="4"/>
    </row>
    <row r="10101" spans="16:16" x14ac:dyDescent="0.25">
      <c r="P10101" s="4"/>
    </row>
    <row r="10102" spans="16:16" x14ac:dyDescent="0.25">
      <c r="P10102" s="4"/>
    </row>
    <row r="10103" spans="16:16" x14ac:dyDescent="0.25">
      <c r="P10103" s="4"/>
    </row>
    <row r="10104" spans="16:16" x14ac:dyDescent="0.25">
      <c r="P10104" s="4"/>
    </row>
    <row r="10105" spans="16:16" x14ac:dyDescent="0.25">
      <c r="P10105" s="4"/>
    </row>
    <row r="10106" spans="16:16" x14ac:dyDescent="0.25">
      <c r="P10106" s="4"/>
    </row>
    <row r="10107" spans="16:16" x14ac:dyDescent="0.25">
      <c r="P10107" s="4"/>
    </row>
    <row r="10108" spans="16:16" x14ac:dyDescent="0.25">
      <c r="P10108" s="4"/>
    </row>
    <row r="10109" spans="16:16" x14ac:dyDescent="0.25">
      <c r="P10109" s="4"/>
    </row>
    <row r="10110" spans="16:16" x14ac:dyDescent="0.25">
      <c r="P10110" s="4"/>
    </row>
    <row r="10111" spans="16:16" x14ac:dyDescent="0.25">
      <c r="P10111" s="4"/>
    </row>
    <row r="10112" spans="16:16" x14ac:dyDescent="0.25">
      <c r="P10112" s="4"/>
    </row>
    <row r="10113" spans="16:16" x14ac:dyDescent="0.25">
      <c r="P10113" s="4"/>
    </row>
    <row r="10114" spans="16:16" x14ac:dyDescent="0.25">
      <c r="P10114" s="4"/>
    </row>
    <row r="10115" spans="16:16" x14ac:dyDescent="0.25">
      <c r="P10115" s="4"/>
    </row>
    <row r="10116" spans="16:16" x14ac:dyDescent="0.25">
      <c r="P10116" s="4"/>
    </row>
    <row r="10117" spans="16:16" x14ac:dyDescent="0.25">
      <c r="P10117" s="4"/>
    </row>
    <row r="10118" spans="16:16" x14ac:dyDescent="0.25">
      <c r="P10118" s="4"/>
    </row>
    <row r="10119" spans="16:16" x14ac:dyDescent="0.25">
      <c r="P10119" s="4"/>
    </row>
    <row r="10120" spans="16:16" x14ac:dyDescent="0.25">
      <c r="P10120" s="4"/>
    </row>
    <row r="10121" spans="16:16" x14ac:dyDescent="0.25">
      <c r="P10121" s="4"/>
    </row>
    <row r="10122" spans="16:16" x14ac:dyDescent="0.25">
      <c r="P10122" s="4"/>
    </row>
    <row r="10123" spans="16:16" x14ac:dyDescent="0.25">
      <c r="P10123" s="4"/>
    </row>
    <row r="10124" spans="16:16" x14ac:dyDescent="0.25">
      <c r="P10124" s="4"/>
    </row>
    <row r="10125" spans="16:16" x14ac:dyDescent="0.25">
      <c r="P10125" s="4"/>
    </row>
    <row r="10126" spans="16:16" x14ac:dyDescent="0.25">
      <c r="P10126" s="4"/>
    </row>
    <row r="10127" spans="16:16" x14ac:dyDescent="0.25">
      <c r="P10127" s="4"/>
    </row>
    <row r="10128" spans="16:16" x14ac:dyDescent="0.25">
      <c r="P10128" s="4"/>
    </row>
    <row r="10129" spans="16:16" x14ac:dyDescent="0.25">
      <c r="P10129" s="4"/>
    </row>
    <row r="10130" spans="16:16" x14ac:dyDescent="0.25">
      <c r="P10130" s="4"/>
    </row>
    <row r="10131" spans="16:16" x14ac:dyDescent="0.25">
      <c r="P10131" s="4"/>
    </row>
    <row r="10132" spans="16:16" x14ac:dyDescent="0.25">
      <c r="P10132" s="4"/>
    </row>
    <row r="10133" spans="16:16" x14ac:dyDescent="0.25">
      <c r="P10133" s="4"/>
    </row>
    <row r="10134" spans="16:16" x14ac:dyDescent="0.25">
      <c r="P10134" s="4"/>
    </row>
    <row r="10135" spans="16:16" x14ac:dyDescent="0.25">
      <c r="P10135" s="4"/>
    </row>
    <row r="10136" spans="16:16" x14ac:dyDescent="0.25">
      <c r="P10136" s="4"/>
    </row>
    <row r="10137" spans="16:16" x14ac:dyDescent="0.25">
      <c r="P10137" s="4"/>
    </row>
    <row r="10138" spans="16:16" x14ac:dyDescent="0.25">
      <c r="P10138" s="4"/>
    </row>
    <row r="10139" spans="16:16" x14ac:dyDescent="0.25">
      <c r="P10139" s="4"/>
    </row>
    <row r="10140" spans="16:16" x14ac:dyDescent="0.25">
      <c r="P10140" s="4"/>
    </row>
    <row r="10141" spans="16:16" x14ac:dyDescent="0.25">
      <c r="P10141" s="4"/>
    </row>
    <row r="10142" spans="16:16" x14ac:dyDescent="0.25">
      <c r="P10142" s="4"/>
    </row>
    <row r="10143" spans="16:16" x14ac:dyDescent="0.25">
      <c r="P10143" s="4"/>
    </row>
    <row r="10144" spans="16:16" x14ac:dyDescent="0.25">
      <c r="P10144" s="4"/>
    </row>
    <row r="10145" spans="16:16" x14ac:dyDescent="0.25">
      <c r="P10145" s="4"/>
    </row>
    <row r="10146" spans="16:16" x14ac:dyDescent="0.25">
      <c r="P10146" s="4"/>
    </row>
    <row r="10147" spans="16:16" x14ac:dyDescent="0.25">
      <c r="P10147" s="4"/>
    </row>
    <row r="10148" spans="16:16" x14ac:dyDescent="0.25">
      <c r="P10148" s="4"/>
    </row>
    <row r="10149" spans="16:16" x14ac:dyDescent="0.25">
      <c r="P10149" s="4"/>
    </row>
    <row r="10150" spans="16:16" x14ac:dyDescent="0.25">
      <c r="P10150" s="4"/>
    </row>
    <row r="10151" spans="16:16" x14ac:dyDescent="0.25">
      <c r="P10151" s="4"/>
    </row>
    <row r="10152" spans="16:16" x14ac:dyDescent="0.25">
      <c r="P10152" s="4"/>
    </row>
    <row r="10153" spans="16:16" x14ac:dyDescent="0.25">
      <c r="P10153" s="4"/>
    </row>
    <row r="10154" spans="16:16" x14ac:dyDescent="0.25">
      <c r="P10154" s="4"/>
    </row>
    <row r="10155" spans="16:16" x14ac:dyDescent="0.25">
      <c r="P10155" s="4"/>
    </row>
    <row r="10156" spans="16:16" x14ac:dyDescent="0.25">
      <c r="P10156" s="4"/>
    </row>
    <row r="10157" spans="16:16" x14ac:dyDescent="0.25">
      <c r="P10157" s="4"/>
    </row>
    <row r="10158" spans="16:16" x14ac:dyDescent="0.25">
      <c r="P10158" s="4"/>
    </row>
    <row r="10159" spans="16:16" x14ac:dyDescent="0.25">
      <c r="P10159" s="4"/>
    </row>
    <row r="10160" spans="16:16" x14ac:dyDescent="0.25">
      <c r="P10160" s="4"/>
    </row>
    <row r="10161" spans="16:16" x14ac:dyDescent="0.25">
      <c r="P10161" s="4"/>
    </row>
    <row r="10162" spans="16:16" x14ac:dyDescent="0.25">
      <c r="P10162" s="4"/>
    </row>
    <row r="10163" spans="16:16" x14ac:dyDescent="0.25">
      <c r="P10163" s="4"/>
    </row>
    <row r="10164" spans="16:16" x14ac:dyDescent="0.25">
      <c r="P10164" s="4"/>
    </row>
    <row r="10165" spans="16:16" x14ac:dyDescent="0.25">
      <c r="P10165" s="4"/>
    </row>
    <row r="10166" spans="16:16" x14ac:dyDescent="0.25">
      <c r="P10166" s="4"/>
    </row>
    <row r="10167" spans="16:16" x14ac:dyDescent="0.25">
      <c r="P10167" s="4"/>
    </row>
    <row r="10168" spans="16:16" x14ac:dyDescent="0.25">
      <c r="P10168" s="4"/>
    </row>
    <row r="10169" spans="16:16" x14ac:dyDescent="0.25">
      <c r="P10169" s="4"/>
    </row>
    <row r="10170" spans="16:16" x14ac:dyDescent="0.25">
      <c r="P10170" s="4"/>
    </row>
    <row r="10171" spans="16:16" x14ac:dyDescent="0.25">
      <c r="P10171" s="4"/>
    </row>
    <row r="10172" spans="16:16" x14ac:dyDescent="0.25">
      <c r="P10172" s="4"/>
    </row>
    <row r="10173" spans="16:16" x14ac:dyDescent="0.25">
      <c r="P10173" s="4"/>
    </row>
    <row r="10174" spans="16:16" x14ac:dyDescent="0.25">
      <c r="P10174" s="4"/>
    </row>
    <row r="10175" spans="16:16" x14ac:dyDescent="0.25">
      <c r="P10175" s="4"/>
    </row>
    <row r="10176" spans="16:16" x14ac:dyDescent="0.25">
      <c r="P10176" s="4"/>
    </row>
    <row r="10177" spans="16:16" x14ac:dyDescent="0.25">
      <c r="P10177" s="4"/>
    </row>
    <row r="10178" spans="16:16" x14ac:dyDescent="0.25">
      <c r="P10178" s="4"/>
    </row>
    <row r="10179" spans="16:16" x14ac:dyDescent="0.25">
      <c r="P10179" s="4"/>
    </row>
    <row r="10180" spans="16:16" x14ac:dyDescent="0.25">
      <c r="P10180" s="4"/>
    </row>
    <row r="10181" spans="16:16" x14ac:dyDescent="0.25">
      <c r="P10181" s="4"/>
    </row>
    <row r="10182" spans="16:16" x14ac:dyDescent="0.25">
      <c r="P10182" s="4"/>
    </row>
    <row r="10183" spans="16:16" x14ac:dyDescent="0.25">
      <c r="P10183" s="4"/>
    </row>
    <row r="10184" spans="16:16" x14ac:dyDescent="0.25">
      <c r="P10184" s="4"/>
    </row>
    <row r="10185" spans="16:16" x14ac:dyDescent="0.25">
      <c r="P10185" s="4"/>
    </row>
    <row r="10186" spans="16:16" x14ac:dyDescent="0.25">
      <c r="P10186" s="4"/>
    </row>
    <row r="10187" spans="16:16" x14ac:dyDescent="0.25">
      <c r="P10187" s="4"/>
    </row>
    <row r="10188" spans="16:16" x14ac:dyDescent="0.25">
      <c r="P10188" s="4"/>
    </row>
    <row r="10189" spans="16:16" x14ac:dyDescent="0.25">
      <c r="P10189" s="4"/>
    </row>
    <row r="10190" spans="16:16" x14ac:dyDescent="0.25">
      <c r="P10190" s="4"/>
    </row>
    <row r="10191" spans="16:16" x14ac:dyDescent="0.25">
      <c r="P10191" s="4"/>
    </row>
    <row r="10192" spans="16:16" x14ac:dyDescent="0.25">
      <c r="P10192" s="4"/>
    </row>
    <row r="10193" spans="16:16" x14ac:dyDescent="0.25">
      <c r="P10193" s="4"/>
    </row>
    <row r="10194" spans="16:16" x14ac:dyDescent="0.25">
      <c r="P10194" s="4"/>
    </row>
    <row r="10195" spans="16:16" x14ac:dyDescent="0.25">
      <c r="P10195" s="4"/>
    </row>
    <row r="10196" spans="16:16" x14ac:dyDescent="0.25">
      <c r="P10196" s="4"/>
    </row>
    <row r="10197" spans="16:16" x14ac:dyDescent="0.25">
      <c r="P10197" s="4"/>
    </row>
    <row r="10198" spans="16:16" x14ac:dyDescent="0.25">
      <c r="P10198" s="4"/>
    </row>
    <row r="10199" spans="16:16" x14ac:dyDescent="0.25">
      <c r="P10199" s="4"/>
    </row>
    <row r="10200" spans="16:16" x14ac:dyDescent="0.25">
      <c r="P10200" s="4"/>
    </row>
    <row r="10201" spans="16:16" x14ac:dyDescent="0.25">
      <c r="P10201" s="4"/>
    </row>
    <row r="10202" spans="16:16" x14ac:dyDescent="0.25">
      <c r="P10202" s="4"/>
    </row>
    <row r="10203" spans="16:16" x14ac:dyDescent="0.25">
      <c r="P10203" s="4"/>
    </row>
    <row r="10204" spans="16:16" x14ac:dyDescent="0.25">
      <c r="P10204" s="4"/>
    </row>
    <row r="10205" spans="16:16" x14ac:dyDescent="0.25">
      <c r="P10205" s="4"/>
    </row>
    <row r="10206" spans="16:16" x14ac:dyDescent="0.25">
      <c r="P10206" s="4"/>
    </row>
    <row r="10207" spans="16:16" x14ac:dyDescent="0.25">
      <c r="P10207" s="4"/>
    </row>
    <row r="10208" spans="16:16" x14ac:dyDescent="0.25">
      <c r="P10208" s="4"/>
    </row>
    <row r="10209" spans="16:16" x14ac:dyDescent="0.25">
      <c r="P10209" s="4"/>
    </row>
    <row r="10210" spans="16:16" x14ac:dyDescent="0.25">
      <c r="P10210" s="4"/>
    </row>
    <row r="10211" spans="16:16" x14ac:dyDescent="0.25">
      <c r="P10211" s="4"/>
    </row>
    <row r="10212" spans="16:16" x14ac:dyDescent="0.25">
      <c r="P10212" s="4"/>
    </row>
    <row r="10213" spans="16:16" x14ac:dyDescent="0.25">
      <c r="P10213" s="4"/>
    </row>
    <row r="10214" spans="16:16" x14ac:dyDescent="0.25">
      <c r="P10214" s="4"/>
    </row>
    <row r="10215" spans="16:16" x14ac:dyDescent="0.25">
      <c r="P10215" s="4"/>
    </row>
    <row r="10216" spans="16:16" x14ac:dyDescent="0.25">
      <c r="P10216" s="4"/>
    </row>
    <row r="10217" spans="16:16" x14ac:dyDescent="0.25">
      <c r="P10217" s="4"/>
    </row>
    <row r="10218" spans="16:16" x14ac:dyDescent="0.25">
      <c r="P10218" s="4"/>
    </row>
    <row r="10219" spans="16:16" x14ac:dyDescent="0.25">
      <c r="P10219" s="4"/>
    </row>
    <row r="10220" spans="16:16" x14ac:dyDescent="0.25">
      <c r="P10220" s="4"/>
    </row>
    <row r="10221" spans="16:16" x14ac:dyDescent="0.25">
      <c r="P10221" s="4"/>
    </row>
    <row r="10222" spans="16:16" x14ac:dyDescent="0.25">
      <c r="P10222" s="4"/>
    </row>
    <row r="10223" spans="16:16" x14ac:dyDescent="0.25">
      <c r="P10223" s="4"/>
    </row>
    <row r="10224" spans="16:16" x14ac:dyDescent="0.25">
      <c r="P10224" s="4"/>
    </row>
    <row r="10225" spans="16:16" x14ac:dyDescent="0.25">
      <c r="P10225" s="4"/>
    </row>
    <row r="10226" spans="16:16" x14ac:dyDescent="0.25">
      <c r="P10226" s="4"/>
    </row>
    <row r="10227" spans="16:16" x14ac:dyDescent="0.25">
      <c r="P10227" s="4"/>
    </row>
    <row r="10228" spans="16:16" x14ac:dyDescent="0.25">
      <c r="P10228" s="4"/>
    </row>
    <row r="10229" spans="16:16" x14ac:dyDescent="0.25">
      <c r="P10229" s="4"/>
    </row>
    <row r="10230" spans="16:16" x14ac:dyDescent="0.25">
      <c r="P10230" s="4"/>
    </row>
    <row r="10231" spans="16:16" x14ac:dyDescent="0.25">
      <c r="P10231" s="4"/>
    </row>
    <row r="10232" spans="16:16" x14ac:dyDescent="0.25">
      <c r="P10232" s="4"/>
    </row>
    <row r="10233" spans="16:16" x14ac:dyDescent="0.25">
      <c r="P10233" s="4"/>
    </row>
    <row r="10234" spans="16:16" x14ac:dyDescent="0.25">
      <c r="P10234" s="4"/>
    </row>
    <row r="10235" spans="16:16" x14ac:dyDescent="0.25">
      <c r="P10235" s="4"/>
    </row>
    <row r="10236" spans="16:16" x14ac:dyDescent="0.25">
      <c r="P10236" s="4"/>
    </row>
    <row r="10237" spans="16:16" x14ac:dyDescent="0.25">
      <c r="P10237" s="4"/>
    </row>
    <row r="10238" spans="16:16" x14ac:dyDescent="0.25">
      <c r="P10238" s="4"/>
    </row>
    <row r="10239" spans="16:16" x14ac:dyDescent="0.25">
      <c r="P10239" s="4"/>
    </row>
    <row r="10240" spans="16:16" x14ac:dyDescent="0.25">
      <c r="P10240" s="4"/>
    </row>
    <row r="10241" spans="16:16" x14ac:dyDescent="0.25">
      <c r="P10241" s="4"/>
    </row>
    <row r="10242" spans="16:16" x14ac:dyDescent="0.25">
      <c r="P10242" s="4"/>
    </row>
    <row r="10243" spans="16:16" x14ac:dyDescent="0.25">
      <c r="P10243" s="4"/>
    </row>
    <row r="10244" spans="16:16" x14ac:dyDescent="0.25">
      <c r="P10244" s="4"/>
    </row>
    <row r="10245" spans="16:16" x14ac:dyDescent="0.25">
      <c r="P10245" s="4"/>
    </row>
    <row r="10246" spans="16:16" x14ac:dyDescent="0.25">
      <c r="P10246" s="4"/>
    </row>
    <row r="10247" spans="16:16" x14ac:dyDescent="0.25">
      <c r="P10247" s="4"/>
    </row>
    <row r="10248" spans="16:16" x14ac:dyDescent="0.25">
      <c r="P10248" s="4"/>
    </row>
    <row r="10249" spans="16:16" x14ac:dyDescent="0.25">
      <c r="P10249" s="4"/>
    </row>
    <row r="10250" spans="16:16" x14ac:dyDescent="0.25">
      <c r="P10250" s="4"/>
    </row>
    <row r="10251" spans="16:16" x14ac:dyDescent="0.25">
      <c r="P10251" s="4"/>
    </row>
    <row r="10252" spans="16:16" x14ac:dyDescent="0.25">
      <c r="P10252" s="4"/>
    </row>
    <row r="10253" spans="16:16" x14ac:dyDescent="0.25">
      <c r="P10253" s="4"/>
    </row>
    <row r="10254" spans="16:16" x14ac:dyDescent="0.25">
      <c r="P10254" s="4"/>
    </row>
    <row r="10255" spans="16:16" x14ac:dyDescent="0.25">
      <c r="P10255" s="4"/>
    </row>
    <row r="10256" spans="16:16" x14ac:dyDescent="0.25">
      <c r="P10256" s="4"/>
    </row>
    <row r="10257" spans="16:16" x14ac:dyDescent="0.25">
      <c r="P10257" s="4"/>
    </row>
    <row r="10258" spans="16:16" x14ac:dyDescent="0.25">
      <c r="P10258" s="4"/>
    </row>
    <row r="10259" spans="16:16" x14ac:dyDescent="0.25">
      <c r="P10259" s="4"/>
    </row>
    <row r="10260" spans="16:16" x14ac:dyDescent="0.25">
      <c r="P10260" s="4"/>
    </row>
    <row r="10261" spans="16:16" x14ac:dyDescent="0.25">
      <c r="P10261" s="4"/>
    </row>
    <row r="10262" spans="16:16" x14ac:dyDescent="0.25">
      <c r="P10262" s="4"/>
    </row>
    <row r="10263" spans="16:16" x14ac:dyDescent="0.25">
      <c r="P10263" s="4"/>
    </row>
    <row r="10264" spans="16:16" x14ac:dyDescent="0.25">
      <c r="P10264" s="4"/>
    </row>
    <row r="10265" spans="16:16" x14ac:dyDescent="0.25">
      <c r="P10265" s="4"/>
    </row>
    <row r="10266" spans="16:16" x14ac:dyDescent="0.25">
      <c r="P10266" s="4"/>
    </row>
    <row r="10267" spans="16:16" x14ac:dyDescent="0.25">
      <c r="P10267" s="4"/>
    </row>
    <row r="10268" spans="16:16" x14ac:dyDescent="0.25">
      <c r="P10268" s="4"/>
    </row>
    <row r="10269" spans="16:16" x14ac:dyDescent="0.25">
      <c r="P10269" s="4"/>
    </row>
    <row r="10270" spans="16:16" x14ac:dyDescent="0.25">
      <c r="P10270" s="4"/>
    </row>
    <row r="10271" spans="16:16" x14ac:dyDescent="0.25">
      <c r="P10271" s="4"/>
    </row>
    <row r="10272" spans="16:16" x14ac:dyDescent="0.25">
      <c r="P10272" s="4"/>
    </row>
    <row r="10273" spans="16:16" x14ac:dyDescent="0.25">
      <c r="P10273" s="4"/>
    </row>
    <row r="10274" spans="16:16" x14ac:dyDescent="0.25">
      <c r="P10274" s="4"/>
    </row>
    <row r="10275" spans="16:16" x14ac:dyDescent="0.25">
      <c r="P10275" s="4"/>
    </row>
    <row r="10276" spans="16:16" x14ac:dyDescent="0.25">
      <c r="P10276" s="4"/>
    </row>
    <row r="10277" spans="16:16" x14ac:dyDescent="0.25">
      <c r="P10277" s="4"/>
    </row>
    <row r="10278" spans="16:16" x14ac:dyDescent="0.25">
      <c r="P10278" s="4"/>
    </row>
    <row r="10279" spans="16:16" x14ac:dyDescent="0.25">
      <c r="P10279" s="4"/>
    </row>
    <row r="10280" spans="16:16" x14ac:dyDescent="0.25">
      <c r="P10280" s="4"/>
    </row>
    <row r="10281" spans="16:16" x14ac:dyDescent="0.25">
      <c r="P10281" s="4"/>
    </row>
    <row r="10282" spans="16:16" x14ac:dyDescent="0.25">
      <c r="P10282" s="4"/>
    </row>
    <row r="10283" spans="16:16" x14ac:dyDescent="0.25">
      <c r="P10283" s="4"/>
    </row>
    <row r="10284" spans="16:16" x14ac:dyDescent="0.25">
      <c r="P10284" s="4"/>
    </row>
    <row r="10285" spans="16:16" x14ac:dyDescent="0.25">
      <c r="P10285" s="4"/>
    </row>
    <row r="10286" spans="16:16" x14ac:dyDescent="0.25">
      <c r="P10286" s="4"/>
    </row>
    <row r="10287" spans="16:16" x14ac:dyDescent="0.25">
      <c r="P10287" s="4"/>
    </row>
    <row r="10288" spans="16:16" x14ac:dyDescent="0.25">
      <c r="P10288" s="4"/>
    </row>
    <row r="10289" spans="16:16" x14ac:dyDescent="0.25">
      <c r="P10289" s="4"/>
    </row>
    <row r="10290" spans="16:16" x14ac:dyDescent="0.25">
      <c r="P10290" s="4"/>
    </row>
    <row r="10291" spans="16:16" x14ac:dyDescent="0.25">
      <c r="P10291" s="4"/>
    </row>
    <row r="10292" spans="16:16" x14ac:dyDescent="0.25">
      <c r="P10292" s="4"/>
    </row>
    <row r="10293" spans="16:16" x14ac:dyDescent="0.25">
      <c r="P10293" s="4"/>
    </row>
    <row r="10294" spans="16:16" x14ac:dyDescent="0.25">
      <c r="P10294" s="4"/>
    </row>
    <row r="10295" spans="16:16" x14ac:dyDescent="0.25">
      <c r="P10295" s="4"/>
    </row>
    <row r="10296" spans="16:16" x14ac:dyDescent="0.25">
      <c r="P10296" s="4"/>
    </row>
    <row r="10297" spans="16:16" x14ac:dyDescent="0.25">
      <c r="P10297" s="4"/>
    </row>
    <row r="10298" spans="16:16" x14ac:dyDescent="0.25">
      <c r="P10298" s="4"/>
    </row>
    <row r="10299" spans="16:16" x14ac:dyDescent="0.25">
      <c r="P10299" s="4"/>
    </row>
    <row r="10300" spans="16:16" x14ac:dyDescent="0.25">
      <c r="P10300" s="4"/>
    </row>
    <row r="10301" spans="16:16" x14ac:dyDescent="0.25">
      <c r="P10301" s="4"/>
    </row>
    <row r="10302" spans="16:16" x14ac:dyDescent="0.25">
      <c r="P10302" s="4"/>
    </row>
    <row r="10303" spans="16:16" x14ac:dyDescent="0.25">
      <c r="P10303" s="4"/>
    </row>
    <row r="10304" spans="16:16" x14ac:dyDescent="0.25">
      <c r="P10304" s="4"/>
    </row>
    <row r="10305" spans="16:16" x14ac:dyDescent="0.25">
      <c r="P10305" s="4"/>
    </row>
    <row r="10306" spans="16:16" x14ac:dyDescent="0.25">
      <c r="P10306" s="4"/>
    </row>
    <row r="10307" spans="16:16" x14ac:dyDescent="0.25">
      <c r="P10307" s="4"/>
    </row>
    <row r="10308" spans="16:16" x14ac:dyDescent="0.25">
      <c r="P10308" s="4"/>
    </row>
    <row r="10309" spans="16:16" x14ac:dyDescent="0.25">
      <c r="P10309" s="4"/>
    </row>
    <row r="10310" spans="16:16" x14ac:dyDescent="0.25">
      <c r="P10310" s="4"/>
    </row>
    <row r="10311" spans="16:16" x14ac:dyDescent="0.25">
      <c r="P10311" s="4"/>
    </row>
    <row r="10312" spans="16:16" x14ac:dyDescent="0.25">
      <c r="P10312" s="4"/>
    </row>
    <row r="10313" spans="16:16" x14ac:dyDescent="0.25">
      <c r="P10313" s="4"/>
    </row>
    <row r="10314" spans="16:16" x14ac:dyDescent="0.25">
      <c r="P10314" s="4"/>
    </row>
    <row r="10315" spans="16:16" x14ac:dyDescent="0.25">
      <c r="P10315" s="4"/>
    </row>
    <row r="10316" spans="16:16" x14ac:dyDescent="0.25">
      <c r="P10316" s="4"/>
    </row>
    <row r="10317" spans="16:16" x14ac:dyDescent="0.25">
      <c r="P10317" s="4"/>
    </row>
    <row r="10318" spans="16:16" x14ac:dyDescent="0.25">
      <c r="P10318" s="4"/>
    </row>
    <row r="10319" spans="16:16" x14ac:dyDescent="0.25">
      <c r="P10319" s="4"/>
    </row>
    <row r="10320" spans="16:16" x14ac:dyDescent="0.25">
      <c r="P10320" s="4"/>
    </row>
    <row r="10321" spans="16:16" x14ac:dyDescent="0.25">
      <c r="P10321" s="4"/>
    </row>
    <row r="10322" spans="16:16" x14ac:dyDescent="0.25">
      <c r="P10322" s="4"/>
    </row>
    <row r="10323" spans="16:16" x14ac:dyDescent="0.25">
      <c r="P10323" s="4"/>
    </row>
    <row r="10324" spans="16:16" x14ac:dyDescent="0.25">
      <c r="P10324" s="4"/>
    </row>
    <row r="10325" spans="16:16" x14ac:dyDescent="0.25">
      <c r="P10325" s="4"/>
    </row>
    <row r="10326" spans="16:16" x14ac:dyDescent="0.25">
      <c r="P10326" s="4"/>
    </row>
    <row r="10327" spans="16:16" x14ac:dyDescent="0.25">
      <c r="P10327" s="4"/>
    </row>
    <row r="10328" spans="16:16" x14ac:dyDescent="0.25">
      <c r="P10328" s="4"/>
    </row>
    <row r="10329" spans="16:16" x14ac:dyDescent="0.25">
      <c r="P10329" s="4"/>
    </row>
    <row r="10330" spans="16:16" x14ac:dyDescent="0.25">
      <c r="P10330" s="4"/>
    </row>
    <row r="10331" spans="16:16" x14ac:dyDescent="0.25">
      <c r="P10331" s="4"/>
    </row>
    <row r="10332" spans="16:16" x14ac:dyDescent="0.25">
      <c r="P10332" s="4"/>
    </row>
    <row r="10333" spans="16:16" x14ac:dyDescent="0.25">
      <c r="P10333" s="4"/>
    </row>
    <row r="10334" spans="16:16" x14ac:dyDescent="0.25">
      <c r="P10334" s="4"/>
    </row>
    <row r="10335" spans="16:16" x14ac:dyDescent="0.25">
      <c r="P10335" s="4"/>
    </row>
    <row r="10336" spans="16:16" x14ac:dyDescent="0.25">
      <c r="P10336" s="4"/>
    </row>
    <row r="10337" spans="16:16" x14ac:dyDescent="0.25">
      <c r="P10337" s="4"/>
    </row>
    <row r="10338" spans="16:16" x14ac:dyDescent="0.25">
      <c r="P10338" s="4"/>
    </row>
    <row r="10339" spans="16:16" x14ac:dyDescent="0.25">
      <c r="P10339" s="4"/>
    </row>
    <row r="10340" spans="16:16" x14ac:dyDescent="0.25">
      <c r="P10340" s="4"/>
    </row>
    <row r="10341" spans="16:16" x14ac:dyDescent="0.25">
      <c r="P10341" s="4"/>
    </row>
    <row r="10342" spans="16:16" x14ac:dyDescent="0.25">
      <c r="P10342" s="4"/>
    </row>
    <row r="10343" spans="16:16" x14ac:dyDescent="0.25">
      <c r="P10343" s="4"/>
    </row>
    <row r="10344" spans="16:16" x14ac:dyDescent="0.25">
      <c r="P10344" s="4"/>
    </row>
    <row r="10345" spans="16:16" x14ac:dyDescent="0.25">
      <c r="P10345" s="4"/>
    </row>
    <row r="10346" spans="16:16" x14ac:dyDescent="0.25">
      <c r="P10346" s="4"/>
    </row>
    <row r="10347" spans="16:16" x14ac:dyDescent="0.25">
      <c r="P10347" s="4"/>
    </row>
    <row r="10348" spans="16:16" x14ac:dyDescent="0.25">
      <c r="P10348" s="4"/>
    </row>
    <row r="10349" spans="16:16" x14ac:dyDescent="0.25">
      <c r="P10349" s="4"/>
    </row>
    <row r="10350" spans="16:16" x14ac:dyDescent="0.25">
      <c r="P10350" s="4"/>
    </row>
    <row r="10351" spans="16:16" x14ac:dyDescent="0.25">
      <c r="P10351" s="4"/>
    </row>
    <row r="10352" spans="16:16" x14ac:dyDescent="0.25">
      <c r="P10352" s="4"/>
    </row>
    <row r="10353" spans="16:16" x14ac:dyDescent="0.25">
      <c r="P10353" s="4"/>
    </row>
    <row r="10354" spans="16:16" x14ac:dyDescent="0.25">
      <c r="P10354" s="4"/>
    </row>
    <row r="10355" spans="16:16" x14ac:dyDescent="0.25">
      <c r="P10355" s="4"/>
    </row>
    <row r="10356" spans="16:16" x14ac:dyDescent="0.25">
      <c r="P10356" s="4"/>
    </row>
    <row r="10357" spans="16:16" x14ac:dyDescent="0.25">
      <c r="P10357" s="4"/>
    </row>
    <row r="10358" spans="16:16" x14ac:dyDescent="0.25">
      <c r="P10358" s="4"/>
    </row>
    <row r="10359" spans="16:16" x14ac:dyDescent="0.25">
      <c r="P10359" s="4"/>
    </row>
    <row r="10360" spans="16:16" x14ac:dyDescent="0.25">
      <c r="P10360" s="4"/>
    </row>
    <row r="10361" spans="16:16" x14ac:dyDescent="0.25">
      <c r="P10361" s="4"/>
    </row>
    <row r="10362" spans="16:16" x14ac:dyDescent="0.25">
      <c r="P10362" s="4"/>
    </row>
    <row r="10363" spans="16:16" x14ac:dyDescent="0.25">
      <c r="P10363" s="4"/>
    </row>
    <row r="10364" spans="16:16" x14ac:dyDescent="0.25">
      <c r="P10364" s="4"/>
    </row>
    <row r="10365" spans="16:16" x14ac:dyDescent="0.25">
      <c r="P10365" s="4"/>
    </row>
    <row r="10366" spans="16:16" x14ac:dyDescent="0.25">
      <c r="P10366" s="4"/>
    </row>
    <row r="10367" spans="16:16" x14ac:dyDescent="0.25">
      <c r="P10367" s="4"/>
    </row>
    <row r="10368" spans="16:16" x14ac:dyDescent="0.25">
      <c r="P10368" s="4"/>
    </row>
    <row r="10369" spans="16:16" x14ac:dyDescent="0.25">
      <c r="P10369" s="4"/>
    </row>
    <row r="10370" spans="16:16" x14ac:dyDescent="0.25">
      <c r="P10370" s="4"/>
    </row>
    <row r="10371" spans="16:16" x14ac:dyDescent="0.25">
      <c r="P10371" s="4"/>
    </row>
    <row r="10372" spans="16:16" x14ac:dyDescent="0.25">
      <c r="P10372" s="4"/>
    </row>
    <row r="10373" spans="16:16" x14ac:dyDescent="0.25">
      <c r="P10373" s="4"/>
    </row>
    <row r="10374" spans="16:16" x14ac:dyDescent="0.25">
      <c r="P10374" s="4"/>
    </row>
    <row r="10375" spans="16:16" x14ac:dyDescent="0.25">
      <c r="P10375" s="4"/>
    </row>
    <row r="10376" spans="16:16" x14ac:dyDescent="0.25">
      <c r="P10376" s="4"/>
    </row>
    <row r="10377" spans="16:16" x14ac:dyDescent="0.25">
      <c r="P10377" s="4"/>
    </row>
    <row r="10378" spans="16:16" x14ac:dyDescent="0.25">
      <c r="P10378" s="4"/>
    </row>
    <row r="10379" spans="16:16" x14ac:dyDescent="0.25">
      <c r="P10379" s="4"/>
    </row>
    <row r="10380" spans="16:16" x14ac:dyDescent="0.25">
      <c r="P10380" s="4"/>
    </row>
    <row r="10381" spans="16:16" x14ac:dyDescent="0.25">
      <c r="P10381" s="4"/>
    </row>
    <row r="10382" spans="16:16" x14ac:dyDescent="0.25">
      <c r="P10382" s="4"/>
    </row>
    <row r="10383" spans="16:16" x14ac:dyDescent="0.25">
      <c r="P10383" s="4"/>
    </row>
    <row r="10384" spans="16:16" x14ac:dyDescent="0.25">
      <c r="P10384" s="4"/>
    </row>
    <row r="10385" spans="16:16" x14ac:dyDescent="0.25">
      <c r="P10385" s="4"/>
    </row>
    <row r="10386" spans="16:16" x14ac:dyDescent="0.25">
      <c r="P10386" s="4"/>
    </row>
    <row r="10387" spans="16:16" x14ac:dyDescent="0.25">
      <c r="P10387" s="4"/>
    </row>
    <row r="10388" spans="16:16" x14ac:dyDescent="0.25">
      <c r="P10388" s="4"/>
    </row>
    <row r="10389" spans="16:16" x14ac:dyDescent="0.25">
      <c r="P10389" s="4"/>
    </row>
    <row r="10390" spans="16:16" x14ac:dyDescent="0.25">
      <c r="P10390" s="4"/>
    </row>
    <row r="10391" spans="16:16" x14ac:dyDescent="0.25">
      <c r="P10391" s="4"/>
    </row>
    <row r="10392" spans="16:16" x14ac:dyDescent="0.25">
      <c r="P10392" s="4"/>
    </row>
    <row r="10393" spans="16:16" x14ac:dyDescent="0.25">
      <c r="P10393" s="4"/>
    </row>
    <row r="10394" spans="16:16" x14ac:dyDescent="0.25">
      <c r="P10394" s="4"/>
    </row>
    <row r="10395" spans="16:16" x14ac:dyDescent="0.25">
      <c r="P10395" s="4"/>
    </row>
    <row r="10396" spans="16:16" x14ac:dyDescent="0.25">
      <c r="P10396" s="4"/>
    </row>
    <row r="10397" spans="16:16" x14ac:dyDescent="0.25">
      <c r="P10397" s="4"/>
    </row>
    <row r="10398" spans="16:16" x14ac:dyDescent="0.25">
      <c r="P10398" s="4"/>
    </row>
    <row r="10399" spans="16:16" x14ac:dyDescent="0.25">
      <c r="P10399" s="4"/>
    </row>
    <row r="10400" spans="16:16" x14ac:dyDescent="0.25">
      <c r="P10400" s="4"/>
    </row>
    <row r="10401" spans="16:16" x14ac:dyDescent="0.25">
      <c r="P10401" s="4"/>
    </row>
    <row r="10402" spans="16:16" x14ac:dyDescent="0.25">
      <c r="P10402" s="4"/>
    </row>
    <row r="10403" spans="16:16" x14ac:dyDescent="0.25">
      <c r="P10403" s="4"/>
    </row>
    <row r="10404" spans="16:16" x14ac:dyDescent="0.25">
      <c r="P10404" s="4"/>
    </row>
    <row r="10405" spans="16:16" x14ac:dyDescent="0.25">
      <c r="P10405" s="4"/>
    </row>
    <row r="10406" spans="16:16" x14ac:dyDescent="0.25">
      <c r="P10406" s="4"/>
    </row>
    <row r="10407" spans="16:16" x14ac:dyDescent="0.25">
      <c r="P10407" s="4"/>
    </row>
    <row r="10408" spans="16:16" x14ac:dyDescent="0.25">
      <c r="P10408" s="4"/>
    </row>
    <row r="10409" spans="16:16" x14ac:dyDescent="0.25">
      <c r="P10409" s="4"/>
    </row>
    <row r="10410" spans="16:16" x14ac:dyDescent="0.25">
      <c r="P10410" s="4"/>
    </row>
    <row r="10411" spans="16:16" x14ac:dyDescent="0.25">
      <c r="P10411" s="4"/>
    </row>
    <row r="10412" spans="16:16" x14ac:dyDescent="0.25">
      <c r="P10412" s="4"/>
    </row>
    <row r="10413" spans="16:16" x14ac:dyDescent="0.25">
      <c r="P10413" s="4"/>
    </row>
    <row r="10414" spans="16:16" x14ac:dyDescent="0.25">
      <c r="P10414" s="4"/>
    </row>
    <row r="10415" spans="16:16" x14ac:dyDescent="0.25">
      <c r="P10415" s="4"/>
    </row>
    <row r="10416" spans="16:16" x14ac:dyDescent="0.25">
      <c r="P10416" s="4"/>
    </row>
    <row r="10417" spans="16:16" x14ac:dyDescent="0.25">
      <c r="P10417" s="4"/>
    </row>
    <row r="10418" spans="16:16" x14ac:dyDescent="0.25">
      <c r="P10418" s="4"/>
    </row>
    <row r="10419" spans="16:16" x14ac:dyDescent="0.25">
      <c r="P10419" s="4"/>
    </row>
    <row r="10420" spans="16:16" x14ac:dyDescent="0.25">
      <c r="P10420" s="4"/>
    </row>
    <row r="10421" spans="16:16" x14ac:dyDescent="0.25">
      <c r="P10421" s="4"/>
    </row>
    <row r="10422" spans="16:16" x14ac:dyDescent="0.25">
      <c r="P10422" s="4"/>
    </row>
    <row r="10423" spans="16:16" x14ac:dyDescent="0.25">
      <c r="P10423" s="4"/>
    </row>
    <row r="10424" spans="16:16" x14ac:dyDescent="0.25">
      <c r="P10424" s="4"/>
    </row>
    <row r="10425" spans="16:16" x14ac:dyDescent="0.25">
      <c r="P10425" s="4"/>
    </row>
    <row r="10426" spans="16:16" x14ac:dyDescent="0.25">
      <c r="P10426" s="4"/>
    </row>
    <row r="10427" spans="16:16" x14ac:dyDescent="0.25">
      <c r="P10427" s="4"/>
    </row>
    <row r="10428" spans="16:16" x14ac:dyDescent="0.25">
      <c r="P10428" s="4"/>
    </row>
    <row r="10429" spans="16:16" x14ac:dyDescent="0.25">
      <c r="P10429" s="4"/>
    </row>
    <row r="10430" spans="16:16" x14ac:dyDescent="0.25">
      <c r="P10430" s="4"/>
    </row>
    <row r="10431" spans="16:16" x14ac:dyDescent="0.25">
      <c r="P10431" s="4"/>
    </row>
    <row r="10432" spans="16:16" x14ac:dyDescent="0.25">
      <c r="P10432" s="4"/>
    </row>
    <row r="10433" spans="16:16" x14ac:dyDescent="0.25">
      <c r="P10433" s="4"/>
    </row>
    <row r="10434" spans="16:16" x14ac:dyDescent="0.25">
      <c r="P10434" s="4"/>
    </row>
    <row r="10435" spans="16:16" x14ac:dyDescent="0.25">
      <c r="P10435" s="4"/>
    </row>
    <row r="10436" spans="16:16" x14ac:dyDescent="0.25">
      <c r="P10436" s="4"/>
    </row>
    <row r="10437" spans="16:16" x14ac:dyDescent="0.25">
      <c r="P10437" s="4"/>
    </row>
    <row r="10438" spans="16:16" x14ac:dyDescent="0.25">
      <c r="P10438" s="4"/>
    </row>
    <row r="10439" spans="16:16" x14ac:dyDescent="0.25">
      <c r="P10439" s="4"/>
    </row>
    <row r="10440" spans="16:16" x14ac:dyDescent="0.25">
      <c r="P10440" s="4"/>
    </row>
    <row r="10441" spans="16:16" x14ac:dyDescent="0.25">
      <c r="P10441" s="4"/>
    </row>
    <row r="10442" spans="16:16" x14ac:dyDescent="0.25">
      <c r="P10442" s="4"/>
    </row>
    <row r="10443" spans="16:16" x14ac:dyDescent="0.25">
      <c r="P10443" s="4"/>
    </row>
    <row r="10444" spans="16:16" x14ac:dyDescent="0.25">
      <c r="P10444" s="4"/>
    </row>
    <row r="10445" spans="16:16" x14ac:dyDescent="0.25">
      <c r="P10445" s="4"/>
    </row>
    <row r="10446" spans="16:16" x14ac:dyDescent="0.25">
      <c r="P10446" s="4"/>
    </row>
    <row r="10447" spans="16:16" x14ac:dyDescent="0.25">
      <c r="P10447" s="4"/>
    </row>
    <row r="10448" spans="16:16" x14ac:dyDescent="0.25">
      <c r="P10448" s="4"/>
    </row>
    <row r="10449" spans="16:16" x14ac:dyDescent="0.25">
      <c r="P10449" s="4"/>
    </row>
    <row r="10450" spans="16:16" x14ac:dyDescent="0.25">
      <c r="P10450" s="4"/>
    </row>
    <row r="10451" spans="16:16" x14ac:dyDescent="0.25">
      <c r="P10451" s="4"/>
    </row>
    <row r="10452" spans="16:16" x14ac:dyDescent="0.25">
      <c r="P10452" s="4"/>
    </row>
    <row r="10453" spans="16:16" x14ac:dyDescent="0.25">
      <c r="P10453" s="4"/>
    </row>
    <row r="10454" spans="16:16" x14ac:dyDescent="0.25">
      <c r="P10454" s="4"/>
    </row>
    <row r="10455" spans="16:16" x14ac:dyDescent="0.25">
      <c r="P10455" s="4"/>
    </row>
    <row r="10456" spans="16:16" x14ac:dyDescent="0.25">
      <c r="P10456" s="4"/>
    </row>
    <row r="10457" spans="16:16" x14ac:dyDescent="0.25">
      <c r="P10457" s="4"/>
    </row>
    <row r="10458" spans="16:16" x14ac:dyDescent="0.25">
      <c r="P10458" s="4"/>
    </row>
    <row r="10459" spans="16:16" x14ac:dyDescent="0.25">
      <c r="P10459" s="4"/>
    </row>
    <row r="10460" spans="16:16" x14ac:dyDescent="0.25">
      <c r="P10460" s="4"/>
    </row>
    <row r="10461" spans="16:16" x14ac:dyDescent="0.25">
      <c r="P10461" s="4"/>
    </row>
    <row r="10462" spans="16:16" x14ac:dyDescent="0.25">
      <c r="P10462" s="4"/>
    </row>
    <row r="10463" spans="16:16" x14ac:dyDescent="0.25">
      <c r="P10463" s="4"/>
    </row>
    <row r="10464" spans="16:16" x14ac:dyDescent="0.25">
      <c r="P10464" s="4"/>
    </row>
    <row r="10465" spans="16:16" x14ac:dyDescent="0.25">
      <c r="P10465" s="4"/>
    </row>
    <row r="10466" spans="16:16" x14ac:dyDescent="0.25">
      <c r="P10466" s="4"/>
    </row>
    <row r="10467" spans="16:16" x14ac:dyDescent="0.25">
      <c r="P10467" s="4"/>
    </row>
    <row r="10468" spans="16:16" x14ac:dyDescent="0.25">
      <c r="P10468" s="4"/>
    </row>
    <row r="10469" spans="16:16" x14ac:dyDescent="0.25">
      <c r="P10469" s="4"/>
    </row>
    <row r="10470" spans="16:16" x14ac:dyDescent="0.25">
      <c r="P10470" s="4"/>
    </row>
    <row r="10471" spans="16:16" x14ac:dyDescent="0.25">
      <c r="P10471" s="4"/>
    </row>
    <row r="10472" spans="16:16" x14ac:dyDescent="0.25">
      <c r="P10472" s="4"/>
    </row>
    <row r="10473" spans="16:16" x14ac:dyDescent="0.25">
      <c r="P10473" s="4"/>
    </row>
    <row r="10474" spans="16:16" x14ac:dyDescent="0.25">
      <c r="P10474" s="4"/>
    </row>
    <row r="10475" spans="16:16" x14ac:dyDescent="0.25">
      <c r="P10475" s="4"/>
    </row>
    <row r="10476" spans="16:16" x14ac:dyDescent="0.25">
      <c r="P10476" s="4"/>
    </row>
    <row r="10477" spans="16:16" x14ac:dyDescent="0.25">
      <c r="P10477" s="4"/>
    </row>
    <row r="10478" spans="16:16" x14ac:dyDescent="0.25">
      <c r="P10478" s="4"/>
    </row>
    <row r="10479" spans="16:16" x14ac:dyDescent="0.25">
      <c r="P10479" s="4"/>
    </row>
    <row r="10480" spans="16:16" x14ac:dyDescent="0.25">
      <c r="P10480" s="4"/>
    </row>
    <row r="10481" spans="16:16" x14ac:dyDescent="0.25">
      <c r="P10481" s="4"/>
    </row>
    <row r="10482" spans="16:16" x14ac:dyDescent="0.25">
      <c r="P10482" s="4"/>
    </row>
    <row r="10483" spans="16:16" x14ac:dyDescent="0.25">
      <c r="P10483" s="4"/>
    </row>
    <row r="10484" spans="16:16" x14ac:dyDescent="0.25">
      <c r="P10484" s="4"/>
    </row>
    <row r="10485" spans="16:16" x14ac:dyDescent="0.25">
      <c r="P10485" s="4"/>
    </row>
    <row r="10486" spans="16:16" x14ac:dyDescent="0.25">
      <c r="P10486" s="4"/>
    </row>
    <row r="10487" spans="16:16" x14ac:dyDescent="0.25">
      <c r="P10487" s="4"/>
    </row>
    <row r="10488" spans="16:16" x14ac:dyDescent="0.25">
      <c r="P10488" s="4"/>
    </row>
    <row r="10489" spans="16:16" x14ac:dyDescent="0.25">
      <c r="P10489" s="4"/>
    </row>
    <row r="10490" spans="16:16" x14ac:dyDescent="0.25">
      <c r="P10490" s="4"/>
    </row>
    <row r="10491" spans="16:16" x14ac:dyDescent="0.25">
      <c r="P10491" s="4"/>
    </row>
    <row r="10492" spans="16:16" x14ac:dyDescent="0.25">
      <c r="P10492" s="4"/>
    </row>
    <row r="10493" spans="16:16" x14ac:dyDescent="0.25">
      <c r="P10493" s="4"/>
    </row>
    <row r="10494" spans="16:16" x14ac:dyDescent="0.25">
      <c r="P10494" s="4"/>
    </row>
    <row r="10495" spans="16:16" x14ac:dyDescent="0.25">
      <c r="P10495" s="4"/>
    </row>
    <row r="10496" spans="16:16" x14ac:dyDescent="0.25">
      <c r="P10496" s="4"/>
    </row>
    <row r="10497" spans="16:16" x14ac:dyDescent="0.25">
      <c r="P10497" s="4"/>
    </row>
    <row r="10498" spans="16:16" x14ac:dyDescent="0.25">
      <c r="P10498" s="4"/>
    </row>
    <row r="10499" spans="16:16" x14ac:dyDescent="0.25">
      <c r="P10499" s="4"/>
    </row>
    <row r="10500" spans="16:16" x14ac:dyDescent="0.25">
      <c r="P10500" s="4"/>
    </row>
    <row r="10501" spans="16:16" x14ac:dyDescent="0.25">
      <c r="P10501" s="4"/>
    </row>
    <row r="10502" spans="16:16" x14ac:dyDescent="0.25">
      <c r="P10502" s="4"/>
    </row>
    <row r="10503" spans="16:16" x14ac:dyDescent="0.25">
      <c r="P10503" s="4"/>
    </row>
    <row r="10504" spans="16:16" x14ac:dyDescent="0.25">
      <c r="P10504" s="4"/>
    </row>
    <row r="10505" spans="16:16" x14ac:dyDescent="0.25">
      <c r="P10505" s="4"/>
    </row>
    <row r="10506" spans="16:16" x14ac:dyDescent="0.25">
      <c r="P10506" s="4"/>
    </row>
    <row r="10507" spans="16:16" x14ac:dyDescent="0.25">
      <c r="P10507" s="4"/>
    </row>
    <row r="10508" spans="16:16" x14ac:dyDescent="0.25">
      <c r="P10508" s="4"/>
    </row>
    <row r="10509" spans="16:16" x14ac:dyDescent="0.25">
      <c r="P10509" s="4"/>
    </row>
    <row r="10510" spans="16:16" x14ac:dyDescent="0.25">
      <c r="P10510" s="4"/>
    </row>
    <row r="10511" spans="16:16" x14ac:dyDescent="0.25">
      <c r="P10511" s="4"/>
    </row>
    <row r="10512" spans="16:16" x14ac:dyDescent="0.25">
      <c r="P10512" s="4"/>
    </row>
    <row r="10513" spans="16:16" x14ac:dyDescent="0.25">
      <c r="P10513" s="4"/>
    </row>
    <row r="10514" spans="16:16" x14ac:dyDescent="0.25">
      <c r="P10514" s="4"/>
    </row>
    <row r="10515" spans="16:16" x14ac:dyDescent="0.25">
      <c r="P10515" s="4"/>
    </row>
    <row r="10516" spans="16:16" x14ac:dyDescent="0.25">
      <c r="P10516" s="4"/>
    </row>
    <row r="10517" spans="16:16" x14ac:dyDescent="0.25">
      <c r="P10517" s="4"/>
    </row>
    <row r="10518" spans="16:16" x14ac:dyDescent="0.25">
      <c r="P10518" s="4"/>
    </row>
    <row r="10519" spans="16:16" x14ac:dyDescent="0.25">
      <c r="P10519" s="4"/>
    </row>
    <row r="10520" spans="16:16" x14ac:dyDescent="0.25">
      <c r="P10520" s="4"/>
    </row>
    <row r="10521" spans="16:16" x14ac:dyDescent="0.25">
      <c r="P10521" s="4"/>
    </row>
    <row r="10522" spans="16:16" x14ac:dyDescent="0.25">
      <c r="P10522" s="4"/>
    </row>
    <row r="10523" spans="16:16" x14ac:dyDescent="0.25">
      <c r="P10523" s="4"/>
    </row>
    <row r="10524" spans="16:16" x14ac:dyDescent="0.25">
      <c r="P10524" s="4"/>
    </row>
    <row r="10525" spans="16:16" x14ac:dyDescent="0.25">
      <c r="P10525" s="4"/>
    </row>
    <row r="10526" spans="16:16" x14ac:dyDescent="0.25">
      <c r="P10526" s="4"/>
    </row>
    <row r="10527" spans="16:16" x14ac:dyDescent="0.25">
      <c r="P10527" s="4"/>
    </row>
    <row r="10528" spans="16:16" x14ac:dyDescent="0.25">
      <c r="P10528" s="4"/>
    </row>
    <row r="10529" spans="16:16" x14ac:dyDescent="0.25">
      <c r="P10529" s="4"/>
    </row>
    <row r="10530" spans="16:16" x14ac:dyDescent="0.25">
      <c r="P10530" s="4"/>
    </row>
    <row r="10531" spans="16:16" x14ac:dyDescent="0.25">
      <c r="P10531" s="4"/>
    </row>
    <row r="10532" spans="16:16" x14ac:dyDescent="0.25">
      <c r="P10532" s="4"/>
    </row>
    <row r="10533" spans="16:16" x14ac:dyDescent="0.25">
      <c r="P10533" s="4"/>
    </row>
    <row r="10534" spans="16:16" x14ac:dyDescent="0.25">
      <c r="P10534" s="4"/>
    </row>
    <row r="10535" spans="16:16" x14ac:dyDescent="0.25">
      <c r="P10535" s="4"/>
    </row>
    <row r="10536" spans="16:16" x14ac:dyDescent="0.25">
      <c r="P10536" s="4"/>
    </row>
    <row r="10537" spans="16:16" x14ac:dyDescent="0.25">
      <c r="P10537" s="4"/>
    </row>
    <row r="10538" spans="16:16" x14ac:dyDescent="0.25">
      <c r="P10538" s="4"/>
    </row>
    <row r="10539" spans="16:16" x14ac:dyDescent="0.25">
      <c r="P10539" s="4"/>
    </row>
    <row r="10540" spans="16:16" x14ac:dyDescent="0.25">
      <c r="P10540" s="4"/>
    </row>
    <row r="10541" spans="16:16" x14ac:dyDescent="0.25">
      <c r="P10541" s="4"/>
    </row>
    <row r="10542" spans="16:16" x14ac:dyDescent="0.25">
      <c r="P10542" s="4"/>
    </row>
    <row r="10543" spans="16:16" x14ac:dyDescent="0.25">
      <c r="P10543" s="4"/>
    </row>
    <row r="10544" spans="16:16" x14ac:dyDescent="0.25">
      <c r="P10544" s="4"/>
    </row>
    <row r="10545" spans="16:16" x14ac:dyDescent="0.25">
      <c r="P10545" s="4"/>
    </row>
    <row r="10546" spans="16:16" x14ac:dyDescent="0.25">
      <c r="P10546" s="4"/>
    </row>
    <row r="10547" spans="16:16" x14ac:dyDescent="0.25">
      <c r="P10547" s="4"/>
    </row>
    <row r="10548" spans="16:16" x14ac:dyDescent="0.25">
      <c r="P10548" s="4"/>
    </row>
    <row r="10549" spans="16:16" x14ac:dyDescent="0.25">
      <c r="P10549" s="4"/>
    </row>
    <row r="10550" spans="16:16" x14ac:dyDescent="0.25">
      <c r="P10550" s="4"/>
    </row>
    <row r="10551" spans="16:16" x14ac:dyDescent="0.25">
      <c r="P10551" s="4"/>
    </row>
    <row r="10552" spans="16:16" x14ac:dyDescent="0.25">
      <c r="P10552" s="4"/>
    </row>
    <row r="10553" spans="16:16" x14ac:dyDescent="0.25">
      <c r="P10553" s="4"/>
    </row>
    <row r="10554" spans="16:16" x14ac:dyDescent="0.25">
      <c r="P10554" s="4"/>
    </row>
    <row r="10555" spans="16:16" x14ac:dyDescent="0.25">
      <c r="P10555" s="4"/>
    </row>
    <row r="10556" spans="16:16" x14ac:dyDescent="0.25">
      <c r="P10556" s="4"/>
    </row>
    <row r="10557" spans="16:16" x14ac:dyDescent="0.25">
      <c r="P10557" s="4"/>
    </row>
    <row r="10558" spans="16:16" x14ac:dyDescent="0.25">
      <c r="P10558" s="4"/>
    </row>
    <row r="10559" spans="16:16" x14ac:dyDescent="0.25">
      <c r="P10559" s="4"/>
    </row>
    <row r="10560" spans="16:16" x14ac:dyDescent="0.25">
      <c r="P10560" s="4"/>
    </row>
    <row r="10561" spans="16:16" x14ac:dyDescent="0.25">
      <c r="P10561" s="4"/>
    </row>
    <row r="10562" spans="16:16" x14ac:dyDescent="0.25">
      <c r="P10562" s="4"/>
    </row>
    <row r="10563" spans="16:16" x14ac:dyDescent="0.25">
      <c r="P10563" s="4"/>
    </row>
    <row r="10564" spans="16:16" x14ac:dyDescent="0.25">
      <c r="P10564" s="4"/>
    </row>
    <row r="10565" spans="16:16" x14ac:dyDescent="0.25">
      <c r="P10565" s="4"/>
    </row>
    <row r="10566" spans="16:16" x14ac:dyDescent="0.25">
      <c r="P10566" s="4"/>
    </row>
    <row r="10567" spans="16:16" x14ac:dyDescent="0.25">
      <c r="P10567" s="4"/>
    </row>
    <row r="10568" spans="16:16" x14ac:dyDescent="0.25">
      <c r="P10568" s="4"/>
    </row>
    <row r="10569" spans="16:16" x14ac:dyDescent="0.25">
      <c r="P10569" s="4"/>
    </row>
    <row r="10570" spans="16:16" x14ac:dyDescent="0.25">
      <c r="P10570" s="4"/>
    </row>
    <row r="10571" spans="16:16" x14ac:dyDescent="0.25">
      <c r="P10571" s="4"/>
    </row>
    <row r="10572" spans="16:16" x14ac:dyDescent="0.25">
      <c r="P10572" s="4"/>
    </row>
    <row r="10573" spans="16:16" x14ac:dyDescent="0.25">
      <c r="P10573" s="4"/>
    </row>
    <row r="10574" spans="16:16" x14ac:dyDescent="0.25">
      <c r="P10574" s="4"/>
    </row>
    <row r="10575" spans="16:16" x14ac:dyDescent="0.25">
      <c r="P10575" s="4"/>
    </row>
    <row r="10576" spans="16:16" x14ac:dyDescent="0.25">
      <c r="P10576" s="4"/>
    </row>
    <row r="10577" spans="16:16" x14ac:dyDescent="0.25">
      <c r="P10577" s="4"/>
    </row>
    <row r="10578" spans="16:16" x14ac:dyDescent="0.25">
      <c r="P10578" s="4"/>
    </row>
    <row r="10579" spans="16:16" x14ac:dyDescent="0.25">
      <c r="P10579" s="4"/>
    </row>
    <row r="10580" spans="16:16" x14ac:dyDescent="0.25">
      <c r="P10580" s="4"/>
    </row>
    <row r="10581" spans="16:16" x14ac:dyDescent="0.25">
      <c r="P10581" s="4"/>
    </row>
    <row r="10582" spans="16:16" x14ac:dyDescent="0.25">
      <c r="P10582" s="4"/>
    </row>
    <row r="10583" spans="16:16" x14ac:dyDescent="0.25">
      <c r="P10583" s="4"/>
    </row>
    <row r="10584" spans="16:16" x14ac:dyDescent="0.25">
      <c r="P10584" s="4"/>
    </row>
    <row r="10585" spans="16:16" x14ac:dyDescent="0.25">
      <c r="P10585" s="4"/>
    </row>
    <row r="10586" spans="16:16" x14ac:dyDescent="0.25">
      <c r="P10586" s="4"/>
    </row>
    <row r="10587" spans="16:16" x14ac:dyDescent="0.25">
      <c r="P10587" s="4"/>
    </row>
    <row r="10588" spans="16:16" x14ac:dyDescent="0.25">
      <c r="P10588" s="4"/>
    </row>
    <row r="10589" spans="16:16" x14ac:dyDescent="0.25">
      <c r="P10589" s="4"/>
    </row>
    <row r="10590" spans="16:16" x14ac:dyDescent="0.25">
      <c r="P10590" s="4"/>
    </row>
    <row r="10591" spans="16:16" x14ac:dyDescent="0.25">
      <c r="P10591" s="4"/>
    </row>
    <row r="10592" spans="16:16" x14ac:dyDescent="0.25">
      <c r="P10592" s="4"/>
    </row>
    <row r="10593" spans="16:16" x14ac:dyDescent="0.25">
      <c r="P10593" s="4"/>
    </row>
    <row r="10594" spans="16:16" x14ac:dyDescent="0.25">
      <c r="P10594" s="4"/>
    </row>
    <row r="10595" spans="16:16" x14ac:dyDescent="0.25">
      <c r="P10595" s="4"/>
    </row>
    <row r="10596" spans="16:16" x14ac:dyDescent="0.25">
      <c r="P10596" s="4"/>
    </row>
    <row r="10597" spans="16:16" x14ac:dyDescent="0.25">
      <c r="P10597" s="4"/>
    </row>
    <row r="10598" spans="16:16" x14ac:dyDescent="0.25">
      <c r="P10598" s="4"/>
    </row>
    <row r="10599" spans="16:16" x14ac:dyDescent="0.25">
      <c r="P10599" s="4"/>
    </row>
    <row r="10600" spans="16:16" x14ac:dyDescent="0.25">
      <c r="P10600" s="4"/>
    </row>
    <row r="10601" spans="16:16" x14ac:dyDescent="0.25">
      <c r="P10601" s="4"/>
    </row>
    <row r="10602" spans="16:16" x14ac:dyDescent="0.25">
      <c r="P10602" s="4"/>
    </row>
    <row r="10603" spans="16:16" x14ac:dyDescent="0.25">
      <c r="P10603" s="4"/>
    </row>
    <row r="10604" spans="16:16" x14ac:dyDescent="0.25">
      <c r="P10604" s="4"/>
    </row>
    <row r="10605" spans="16:16" x14ac:dyDescent="0.25">
      <c r="P10605" s="4"/>
    </row>
    <row r="10606" spans="16:16" x14ac:dyDescent="0.25">
      <c r="P10606" s="4"/>
    </row>
    <row r="10607" spans="16:16" x14ac:dyDescent="0.25">
      <c r="P10607" s="4"/>
    </row>
    <row r="10608" spans="16:16" x14ac:dyDescent="0.25">
      <c r="P10608" s="4"/>
    </row>
    <row r="10609" spans="16:16" x14ac:dyDescent="0.25">
      <c r="P10609" s="4"/>
    </row>
    <row r="10610" spans="16:16" x14ac:dyDescent="0.25">
      <c r="P10610" s="4"/>
    </row>
    <row r="10611" spans="16:16" x14ac:dyDescent="0.25">
      <c r="P10611" s="4"/>
    </row>
    <row r="10612" spans="16:16" x14ac:dyDescent="0.25">
      <c r="P10612" s="4"/>
    </row>
    <row r="10613" spans="16:16" x14ac:dyDescent="0.25">
      <c r="P10613" s="4"/>
    </row>
    <row r="10614" spans="16:16" x14ac:dyDescent="0.25">
      <c r="P10614" s="4"/>
    </row>
    <row r="10615" spans="16:16" x14ac:dyDescent="0.25">
      <c r="P10615" s="4"/>
    </row>
    <row r="10616" spans="16:16" x14ac:dyDescent="0.25">
      <c r="P10616" s="4"/>
    </row>
    <row r="10617" spans="16:16" x14ac:dyDescent="0.25">
      <c r="P10617" s="4"/>
    </row>
    <row r="10618" spans="16:16" x14ac:dyDescent="0.25">
      <c r="P10618" s="4"/>
    </row>
    <row r="10619" spans="16:16" x14ac:dyDescent="0.25">
      <c r="P10619" s="4"/>
    </row>
    <row r="10620" spans="16:16" x14ac:dyDescent="0.25">
      <c r="P10620" s="4"/>
    </row>
    <row r="10621" spans="16:16" x14ac:dyDescent="0.25">
      <c r="P10621" s="4"/>
    </row>
    <row r="10622" spans="16:16" x14ac:dyDescent="0.25">
      <c r="P10622" s="4"/>
    </row>
    <row r="10623" spans="16:16" x14ac:dyDescent="0.25">
      <c r="P10623" s="4"/>
    </row>
    <row r="10624" spans="16:16" x14ac:dyDescent="0.25">
      <c r="P10624" s="4"/>
    </row>
    <row r="10625" spans="16:16" x14ac:dyDescent="0.25">
      <c r="P10625" s="4"/>
    </row>
    <row r="10626" spans="16:16" x14ac:dyDescent="0.25">
      <c r="P10626" s="4"/>
    </row>
    <row r="10627" spans="16:16" x14ac:dyDescent="0.25">
      <c r="P10627" s="4"/>
    </row>
    <row r="10628" spans="16:16" x14ac:dyDescent="0.25">
      <c r="P10628" s="4"/>
    </row>
    <row r="10629" spans="16:16" x14ac:dyDescent="0.25">
      <c r="P10629" s="4"/>
    </row>
    <row r="10630" spans="16:16" x14ac:dyDescent="0.25">
      <c r="P10630" s="4"/>
    </row>
    <row r="10631" spans="16:16" x14ac:dyDescent="0.25">
      <c r="P10631" s="4"/>
    </row>
    <row r="10632" spans="16:16" x14ac:dyDescent="0.25">
      <c r="P10632" s="4"/>
    </row>
    <row r="10633" spans="16:16" x14ac:dyDescent="0.25">
      <c r="P10633" s="4"/>
    </row>
    <row r="10634" spans="16:16" x14ac:dyDescent="0.25">
      <c r="P10634" s="4"/>
    </row>
    <row r="10635" spans="16:16" x14ac:dyDescent="0.25">
      <c r="P10635" s="4"/>
    </row>
    <row r="10636" spans="16:16" x14ac:dyDescent="0.25">
      <c r="P10636" s="4"/>
    </row>
    <row r="10637" spans="16:16" x14ac:dyDescent="0.25">
      <c r="P10637" s="4"/>
    </row>
    <row r="10638" spans="16:16" x14ac:dyDescent="0.25">
      <c r="P10638" s="4"/>
    </row>
    <row r="10639" spans="16:16" x14ac:dyDescent="0.25">
      <c r="P10639" s="4"/>
    </row>
    <row r="10640" spans="16:16" x14ac:dyDescent="0.25">
      <c r="P10640" s="4"/>
    </row>
    <row r="10641" spans="16:16" x14ac:dyDescent="0.25">
      <c r="P10641" s="4"/>
    </row>
    <row r="10642" spans="16:16" x14ac:dyDescent="0.25">
      <c r="P10642" s="4"/>
    </row>
    <row r="10643" spans="16:16" x14ac:dyDescent="0.25">
      <c r="P10643" s="4"/>
    </row>
    <row r="10644" spans="16:16" x14ac:dyDescent="0.25">
      <c r="P10644" s="4"/>
    </row>
    <row r="10645" spans="16:16" x14ac:dyDescent="0.25">
      <c r="P10645" s="4"/>
    </row>
    <row r="10646" spans="16:16" x14ac:dyDescent="0.25">
      <c r="P10646" s="4"/>
    </row>
    <row r="10647" spans="16:16" x14ac:dyDescent="0.25">
      <c r="P10647" s="4"/>
    </row>
    <row r="10648" spans="16:16" x14ac:dyDescent="0.25">
      <c r="P10648" s="4"/>
    </row>
    <row r="10649" spans="16:16" x14ac:dyDescent="0.25">
      <c r="P10649" s="4"/>
    </row>
    <row r="10650" spans="16:16" x14ac:dyDescent="0.25">
      <c r="P10650" s="4"/>
    </row>
    <row r="10651" spans="16:16" x14ac:dyDescent="0.25">
      <c r="P10651" s="4"/>
    </row>
    <row r="10652" spans="16:16" x14ac:dyDescent="0.25">
      <c r="P10652" s="4"/>
    </row>
    <row r="10653" spans="16:16" x14ac:dyDescent="0.25">
      <c r="P10653" s="4"/>
    </row>
    <row r="10654" spans="16:16" x14ac:dyDescent="0.25">
      <c r="P10654" s="4"/>
    </row>
    <row r="10655" spans="16:16" x14ac:dyDescent="0.25">
      <c r="P10655" s="4"/>
    </row>
    <row r="10656" spans="16:16" x14ac:dyDescent="0.25">
      <c r="P10656" s="4"/>
    </row>
    <row r="10657" spans="16:16" x14ac:dyDescent="0.25">
      <c r="P10657" s="4"/>
    </row>
    <row r="10658" spans="16:16" x14ac:dyDescent="0.25">
      <c r="P10658" s="4"/>
    </row>
    <row r="10659" spans="16:16" x14ac:dyDescent="0.25">
      <c r="P10659" s="4"/>
    </row>
    <row r="10660" spans="16:16" x14ac:dyDescent="0.25">
      <c r="P10660" s="4"/>
    </row>
    <row r="10661" spans="16:16" x14ac:dyDescent="0.25">
      <c r="P10661" s="4"/>
    </row>
    <row r="10662" spans="16:16" x14ac:dyDescent="0.25">
      <c r="P10662" s="4"/>
    </row>
    <row r="10663" spans="16:16" x14ac:dyDescent="0.25">
      <c r="P10663" s="4"/>
    </row>
    <row r="10664" spans="16:16" x14ac:dyDescent="0.25">
      <c r="P10664" s="4"/>
    </row>
    <row r="10665" spans="16:16" x14ac:dyDescent="0.25">
      <c r="P10665" s="4"/>
    </row>
    <row r="10666" spans="16:16" x14ac:dyDescent="0.25">
      <c r="P10666" s="4"/>
    </row>
    <row r="10667" spans="16:16" x14ac:dyDescent="0.25">
      <c r="P10667" s="4"/>
    </row>
    <row r="10668" spans="16:16" x14ac:dyDescent="0.25">
      <c r="P10668" s="4"/>
    </row>
    <row r="10669" spans="16:16" x14ac:dyDescent="0.25">
      <c r="P10669" s="4"/>
    </row>
    <row r="10670" spans="16:16" x14ac:dyDescent="0.25">
      <c r="P10670" s="4"/>
    </row>
    <row r="10671" spans="16:16" x14ac:dyDescent="0.25">
      <c r="P10671" s="4"/>
    </row>
    <row r="10672" spans="16:16" x14ac:dyDescent="0.25">
      <c r="P10672" s="4"/>
    </row>
    <row r="10673" spans="16:16" x14ac:dyDescent="0.25">
      <c r="P10673" s="4"/>
    </row>
    <row r="10674" spans="16:16" x14ac:dyDescent="0.25">
      <c r="P10674" s="4"/>
    </row>
    <row r="10675" spans="16:16" x14ac:dyDescent="0.25">
      <c r="P10675" s="4"/>
    </row>
    <row r="10676" spans="16:16" x14ac:dyDescent="0.25">
      <c r="P10676" s="4"/>
    </row>
    <row r="10677" spans="16:16" x14ac:dyDescent="0.25">
      <c r="P10677" s="4"/>
    </row>
    <row r="10678" spans="16:16" x14ac:dyDescent="0.25">
      <c r="P10678" s="4"/>
    </row>
    <row r="10679" spans="16:16" x14ac:dyDescent="0.25">
      <c r="P10679" s="4"/>
    </row>
    <row r="10680" spans="16:16" x14ac:dyDescent="0.25">
      <c r="P10680" s="4"/>
    </row>
    <row r="10681" spans="16:16" x14ac:dyDescent="0.25">
      <c r="P10681" s="4"/>
    </row>
    <row r="10682" spans="16:16" x14ac:dyDescent="0.25">
      <c r="P10682" s="4"/>
    </row>
    <row r="10683" spans="16:16" x14ac:dyDescent="0.25">
      <c r="P10683" s="4"/>
    </row>
    <row r="10684" spans="16:16" x14ac:dyDescent="0.25">
      <c r="P10684" s="4"/>
    </row>
    <row r="10685" spans="16:16" x14ac:dyDescent="0.25">
      <c r="P10685" s="4"/>
    </row>
    <row r="10686" spans="16:16" x14ac:dyDescent="0.25">
      <c r="P10686" s="4"/>
    </row>
    <row r="10687" spans="16:16" x14ac:dyDescent="0.25">
      <c r="P10687" s="4"/>
    </row>
    <row r="10688" spans="16:16" x14ac:dyDescent="0.25">
      <c r="P10688" s="4"/>
    </row>
    <row r="10689" spans="16:16" x14ac:dyDescent="0.25">
      <c r="P10689" s="4"/>
    </row>
    <row r="10690" spans="16:16" x14ac:dyDescent="0.25">
      <c r="P10690" s="4"/>
    </row>
    <row r="10691" spans="16:16" x14ac:dyDescent="0.25">
      <c r="P10691" s="4"/>
    </row>
    <row r="10692" spans="16:16" x14ac:dyDescent="0.25">
      <c r="P10692" s="4"/>
    </row>
    <row r="10693" spans="16:16" x14ac:dyDescent="0.25">
      <c r="P10693" s="4"/>
    </row>
    <row r="10694" spans="16:16" x14ac:dyDescent="0.25">
      <c r="P10694" s="4"/>
    </row>
    <row r="10695" spans="16:16" x14ac:dyDescent="0.25">
      <c r="P10695" s="4"/>
    </row>
    <row r="10696" spans="16:16" x14ac:dyDescent="0.25">
      <c r="P10696" s="4"/>
    </row>
    <row r="10697" spans="16:16" x14ac:dyDescent="0.25">
      <c r="P10697" s="4"/>
    </row>
    <row r="10698" spans="16:16" x14ac:dyDescent="0.25">
      <c r="P10698" s="4"/>
    </row>
    <row r="10699" spans="16:16" x14ac:dyDescent="0.25">
      <c r="P10699" s="4"/>
    </row>
    <row r="10700" spans="16:16" x14ac:dyDescent="0.25">
      <c r="P10700" s="4"/>
    </row>
    <row r="10701" spans="16:16" x14ac:dyDescent="0.25">
      <c r="P10701" s="4"/>
    </row>
    <row r="10702" spans="16:16" x14ac:dyDescent="0.25">
      <c r="P10702" s="4"/>
    </row>
    <row r="10703" spans="16:16" x14ac:dyDescent="0.25">
      <c r="P10703" s="4"/>
    </row>
    <row r="10704" spans="16:16" x14ac:dyDescent="0.25">
      <c r="P10704" s="4"/>
    </row>
    <row r="10705" spans="16:16" x14ac:dyDescent="0.25">
      <c r="P10705" s="4"/>
    </row>
    <row r="10706" spans="16:16" x14ac:dyDescent="0.25">
      <c r="P10706" s="4"/>
    </row>
    <row r="10707" spans="16:16" x14ac:dyDescent="0.25">
      <c r="P10707" s="4"/>
    </row>
    <row r="10708" spans="16:16" x14ac:dyDescent="0.25">
      <c r="P10708" s="4"/>
    </row>
    <row r="10709" spans="16:16" x14ac:dyDescent="0.25">
      <c r="P10709" s="4"/>
    </row>
    <row r="10710" spans="16:16" x14ac:dyDescent="0.25">
      <c r="P10710" s="4"/>
    </row>
    <row r="10711" spans="16:16" x14ac:dyDescent="0.25">
      <c r="P10711" s="4"/>
    </row>
    <row r="10712" spans="16:16" x14ac:dyDescent="0.25">
      <c r="P10712" s="4"/>
    </row>
    <row r="10713" spans="16:16" x14ac:dyDescent="0.25">
      <c r="P10713" s="4"/>
    </row>
    <row r="10714" spans="16:16" x14ac:dyDescent="0.25">
      <c r="P10714" s="4"/>
    </row>
    <row r="10715" spans="16:16" x14ac:dyDescent="0.25">
      <c r="P10715" s="4"/>
    </row>
    <row r="10716" spans="16:16" x14ac:dyDescent="0.25">
      <c r="P10716" s="4"/>
    </row>
    <row r="10717" spans="16:16" x14ac:dyDescent="0.25">
      <c r="P10717" s="4"/>
    </row>
    <row r="10718" spans="16:16" x14ac:dyDescent="0.25">
      <c r="P10718" s="4"/>
    </row>
    <row r="10719" spans="16:16" x14ac:dyDescent="0.25">
      <c r="P10719" s="4"/>
    </row>
    <row r="10720" spans="16:16" x14ac:dyDescent="0.25">
      <c r="P10720" s="4"/>
    </row>
    <row r="10721" spans="16:16" x14ac:dyDescent="0.25">
      <c r="P10721" s="4"/>
    </row>
    <row r="10722" spans="16:16" x14ac:dyDescent="0.25">
      <c r="P10722" s="4"/>
    </row>
    <row r="10723" spans="16:16" x14ac:dyDescent="0.25">
      <c r="P10723" s="4"/>
    </row>
    <row r="10724" spans="16:16" x14ac:dyDescent="0.25">
      <c r="P10724" s="4"/>
    </row>
    <row r="10725" spans="16:16" x14ac:dyDescent="0.25">
      <c r="P10725" s="4"/>
    </row>
    <row r="10726" spans="16:16" x14ac:dyDescent="0.25">
      <c r="P10726" s="4"/>
    </row>
    <row r="10727" spans="16:16" x14ac:dyDescent="0.25">
      <c r="P10727" s="4"/>
    </row>
    <row r="10728" spans="16:16" x14ac:dyDescent="0.25">
      <c r="P10728" s="4"/>
    </row>
    <row r="10729" spans="16:16" x14ac:dyDescent="0.25">
      <c r="P10729" s="4"/>
    </row>
    <row r="10730" spans="16:16" x14ac:dyDescent="0.25">
      <c r="P10730" s="4"/>
    </row>
    <row r="10731" spans="16:16" x14ac:dyDescent="0.25">
      <c r="P10731" s="4"/>
    </row>
    <row r="10732" spans="16:16" x14ac:dyDescent="0.25">
      <c r="P10732" s="4"/>
    </row>
    <row r="10733" spans="16:16" x14ac:dyDescent="0.25">
      <c r="P10733" s="4"/>
    </row>
    <row r="10734" spans="16:16" x14ac:dyDescent="0.25">
      <c r="P10734" s="4"/>
    </row>
    <row r="10735" spans="16:16" x14ac:dyDescent="0.25">
      <c r="P10735" s="4"/>
    </row>
    <row r="10736" spans="16:16" x14ac:dyDescent="0.25">
      <c r="P10736" s="4"/>
    </row>
    <row r="10737" spans="16:16" x14ac:dyDescent="0.25">
      <c r="P10737" s="4"/>
    </row>
    <row r="10738" spans="16:16" x14ac:dyDescent="0.25">
      <c r="P10738" s="4"/>
    </row>
    <row r="10739" spans="16:16" x14ac:dyDescent="0.25">
      <c r="P10739" s="4"/>
    </row>
    <row r="10740" spans="16:16" x14ac:dyDescent="0.25">
      <c r="P10740" s="4"/>
    </row>
    <row r="10741" spans="16:16" x14ac:dyDescent="0.25">
      <c r="P10741" s="4"/>
    </row>
    <row r="10742" spans="16:16" x14ac:dyDescent="0.25">
      <c r="P10742" s="4"/>
    </row>
    <row r="10743" spans="16:16" x14ac:dyDescent="0.25">
      <c r="P10743" s="4"/>
    </row>
    <row r="10744" spans="16:16" x14ac:dyDescent="0.25">
      <c r="P10744" s="4"/>
    </row>
    <row r="10745" spans="16:16" x14ac:dyDescent="0.25">
      <c r="P10745" s="4"/>
    </row>
    <row r="10746" spans="16:16" x14ac:dyDescent="0.25">
      <c r="P10746" s="4"/>
    </row>
    <row r="10747" spans="16:16" x14ac:dyDescent="0.25">
      <c r="P10747" s="4"/>
    </row>
    <row r="10748" spans="16:16" x14ac:dyDescent="0.25">
      <c r="P10748" s="4"/>
    </row>
    <row r="10749" spans="16:16" x14ac:dyDescent="0.25">
      <c r="P10749" s="4"/>
    </row>
    <row r="10750" spans="16:16" x14ac:dyDescent="0.25">
      <c r="P10750" s="4"/>
    </row>
    <row r="10751" spans="16:16" x14ac:dyDescent="0.25">
      <c r="P10751" s="4"/>
    </row>
    <row r="10752" spans="16:16" x14ac:dyDescent="0.25">
      <c r="P10752" s="4"/>
    </row>
    <row r="10753" spans="16:16" x14ac:dyDescent="0.25">
      <c r="P10753" s="4"/>
    </row>
    <row r="10754" spans="16:16" x14ac:dyDescent="0.25">
      <c r="P10754" s="4"/>
    </row>
    <row r="10755" spans="16:16" x14ac:dyDescent="0.25">
      <c r="P10755" s="4"/>
    </row>
    <row r="10756" spans="16:16" x14ac:dyDescent="0.25">
      <c r="P10756" s="4"/>
    </row>
    <row r="10757" spans="16:16" x14ac:dyDescent="0.25">
      <c r="P10757" s="4"/>
    </row>
    <row r="10758" spans="16:16" x14ac:dyDescent="0.25">
      <c r="P10758" s="4"/>
    </row>
    <row r="10759" spans="16:16" x14ac:dyDescent="0.25">
      <c r="P10759" s="4"/>
    </row>
    <row r="10760" spans="16:16" x14ac:dyDescent="0.25">
      <c r="P10760" s="4"/>
    </row>
    <row r="10761" spans="16:16" x14ac:dyDescent="0.25">
      <c r="P10761" s="4"/>
    </row>
    <row r="10762" spans="16:16" x14ac:dyDescent="0.25">
      <c r="P10762" s="4"/>
    </row>
    <row r="10763" spans="16:16" x14ac:dyDescent="0.25">
      <c r="P10763" s="4"/>
    </row>
    <row r="10764" spans="16:16" x14ac:dyDescent="0.25">
      <c r="P10764" s="4"/>
    </row>
    <row r="10765" spans="16:16" x14ac:dyDescent="0.25">
      <c r="P10765" s="4"/>
    </row>
    <row r="10766" spans="16:16" x14ac:dyDescent="0.25">
      <c r="P10766" s="4"/>
    </row>
    <row r="10767" spans="16:16" x14ac:dyDescent="0.25">
      <c r="P10767" s="4"/>
    </row>
    <row r="10768" spans="16:16" x14ac:dyDescent="0.25">
      <c r="P10768" s="4"/>
    </row>
    <row r="10769" spans="16:16" x14ac:dyDescent="0.25">
      <c r="P10769" s="4"/>
    </row>
    <row r="10770" spans="16:16" x14ac:dyDescent="0.25">
      <c r="P10770" s="4"/>
    </row>
    <row r="10771" spans="16:16" x14ac:dyDescent="0.25">
      <c r="P10771" s="4"/>
    </row>
    <row r="10772" spans="16:16" x14ac:dyDescent="0.25">
      <c r="P10772" s="4"/>
    </row>
    <row r="10773" spans="16:16" x14ac:dyDescent="0.25">
      <c r="P10773" s="4"/>
    </row>
    <row r="10774" spans="16:16" x14ac:dyDescent="0.25">
      <c r="P10774" s="4"/>
    </row>
    <row r="10775" spans="16:16" x14ac:dyDescent="0.25">
      <c r="P10775" s="4"/>
    </row>
    <row r="10776" spans="16:16" x14ac:dyDescent="0.25">
      <c r="P10776" s="4"/>
    </row>
    <row r="10777" spans="16:16" x14ac:dyDescent="0.25">
      <c r="P10777" s="4"/>
    </row>
    <row r="10778" spans="16:16" x14ac:dyDescent="0.25">
      <c r="P10778" s="4"/>
    </row>
    <row r="10779" spans="16:16" x14ac:dyDescent="0.25">
      <c r="P10779" s="4"/>
    </row>
    <row r="10780" spans="16:16" x14ac:dyDescent="0.25">
      <c r="P10780" s="4"/>
    </row>
    <row r="10781" spans="16:16" x14ac:dyDescent="0.25">
      <c r="P10781" s="4"/>
    </row>
    <row r="10782" spans="16:16" x14ac:dyDescent="0.25">
      <c r="P10782" s="4"/>
    </row>
    <row r="10783" spans="16:16" x14ac:dyDescent="0.25">
      <c r="P10783" s="4"/>
    </row>
    <row r="10784" spans="16:16" x14ac:dyDescent="0.25">
      <c r="P10784" s="4"/>
    </row>
    <row r="10785" spans="16:16" x14ac:dyDescent="0.25">
      <c r="P10785" s="4"/>
    </row>
    <row r="10786" spans="16:16" x14ac:dyDescent="0.25">
      <c r="P10786" s="4"/>
    </row>
    <row r="10787" spans="16:16" x14ac:dyDescent="0.25">
      <c r="P10787" s="4"/>
    </row>
    <row r="10788" spans="16:16" x14ac:dyDescent="0.25">
      <c r="P10788" s="4"/>
    </row>
    <row r="10789" spans="16:16" x14ac:dyDescent="0.25">
      <c r="P10789" s="4"/>
    </row>
    <row r="10790" spans="16:16" x14ac:dyDescent="0.25">
      <c r="P10790" s="4"/>
    </row>
    <row r="10791" spans="16:16" x14ac:dyDescent="0.25">
      <c r="P10791" s="4"/>
    </row>
    <row r="10792" spans="16:16" x14ac:dyDescent="0.25">
      <c r="P10792" s="4"/>
    </row>
    <row r="10793" spans="16:16" x14ac:dyDescent="0.25">
      <c r="P10793" s="4"/>
    </row>
    <row r="10794" spans="16:16" x14ac:dyDescent="0.25">
      <c r="P10794" s="4"/>
    </row>
    <row r="10795" spans="16:16" x14ac:dyDescent="0.25">
      <c r="P10795" s="4"/>
    </row>
    <row r="10796" spans="16:16" x14ac:dyDescent="0.25">
      <c r="P10796" s="4"/>
    </row>
    <row r="10797" spans="16:16" x14ac:dyDescent="0.25">
      <c r="P10797" s="4"/>
    </row>
    <row r="10798" spans="16:16" x14ac:dyDescent="0.25">
      <c r="P10798" s="4"/>
    </row>
    <row r="10799" spans="16:16" x14ac:dyDescent="0.25">
      <c r="P10799" s="4"/>
    </row>
    <row r="10800" spans="16:16" x14ac:dyDescent="0.25">
      <c r="P10800" s="4"/>
    </row>
    <row r="10801" spans="16:16" x14ac:dyDescent="0.25">
      <c r="P10801" s="4"/>
    </row>
    <row r="10802" spans="16:16" x14ac:dyDescent="0.25">
      <c r="P10802" s="4"/>
    </row>
    <row r="10803" spans="16:16" x14ac:dyDescent="0.25">
      <c r="P10803" s="4"/>
    </row>
    <row r="10804" spans="16:16" x14ac:dyDescent="0.25">
      <c r="P10804" s="4"/>
    </row>
    <row r="10805" spans="16:16" x14ac:dyDescent="0.25">
      <c r="P10805" s="4"/>
    </row>
    <row r="10806" spans="16:16" x14ac:dyDescent="0.25">
      <c r="P10806" s="4"/>
    </row>
    <row r="10807" spans="16:16" x14ac:dyDescent="0.25">
      <c r="P10807" s="4"/>
    </row>
    <row r="10808" spans="16:16" x14ac:dyDescent="0.25">
      <c r="P10808" s="4"/>
    </row>
    <row r="10809" spans="16:16" x14ac:dyDescent="0.25">
      <c r="P10809" s="4"/>
    </row>
    <row r="10810" spans="16:16" x14ac:dyDescent="0.25">
      <c r="P10810" s="4"/>
    </row>
    <row r="10811" spans="16:16" x14ac:dyDescent="0.25">
      <c r="P10811" s="4"/>
    </row>
    <row r="10812" spans="16:16" x14ac:dyDescent="0.25">
      <c r="P10812" s="4"/>
    </row>
    <row r="10813" spans="16:16" x14ac:dyDescent="0.25">
      <c r="P10813" s="4"/>
    </row>
    <row r="10814" spans="16:16" x14ac:dyDescent="0.25">
      <c r="P10814" s="4"/>
    </row>
    <row r="10815" spans="16:16" x14ac:dyDescent="0.25">
      <c r="P10815" s="4"/>
    </row>
    <row r="10816" spans="16:16" x14ac:dyDescent="0.25">
      <c r="P10816" s="4"/>
    </row>
    <row r="10817" spans="16:16" x14ac:dyDescent="0.25">
      <c r="P10817" s="4"/>
    </row>
    <row r="10818" spans="16:16" x14ac:dyDescent="0.25">
      <c r="P10818" s="4"/>
    </row>
    <row r="10819" spans="16:16" x14ac:dyDescent="0.25">
      <c r="P10819" s="4"/>
    </row>
    <row r="10820" spans="16:16" x14ac:dyDescent="0.25">
      <c r="P10820" s="4"/>
    </row>
    <row r="10821" spans="16:16" x14ac:dyDescent="0.25">
      <c r="P10821" s="4"/>
    </row>
    <row r="10822" spans="16:16" x14ac:dyDescent="0.25">
      <c r="P10822" s="4"/>
    </row>
    <row r="10823" spans="16:16" x14ac:dyDescent="0.25">
      <c r="P10823" s="4"/>
    </row>
    <row r="10824" spans="16:16" x14ac:dyDescent="0.25">
      <c r="P10824" s="4"/>
    </row>
    <row r="10825" spans="16:16" x14ac:dyDescent="0.25">
      <c r="P10825" s="4"/>
    </row>
    <row r="10826" spans="16:16" x14ac:dyDescent="0.25">
      <c r="P10826" s="4"/>
    </row>
    <row r="10827" spans="16:16" x14ac:dyDescent="0.25">
      <c r="P10827" s="4"/>
    </row>
    <row r="10828" spans="16:16" x14ac:dyDescent="0.25">
      <c r="P10828" s="4"/>
    </row>
    <row r="10829" spans="16:16" x14ac:dyDescent="0.25">
      <c r="P10829" s="4"/>
    </row>
    <row r="10830" spans="16:16" x14ac:dyDescent="0.25">
      <c r="P10830" s="4"/>
    </row>
    <row r="10831" spans="16:16" x14ac:dyDescent="0.25">
      <c r="P10831" s="4"/>
    </row>
    <row r="10832" spans="16:16" x14ac:dyDescent="0.25">
      <c r="P10832" s="4"/>
    </row>
    <row r="10833" spans="16:16" x14ac:dyDescent="0.25">
      <c r="P10833" s="4"/>
    </row>
    <row r="10834" spans="16:16" x14ac:dyDescent="0.25">
      <c r="P10834" s="4"/>
    </row>
    <row r="10835" spans="16:16" x14ac:dyDescent="0.25">
      <c r="P10835" s="4"/>
    </row>
    <row r="10836" spans="16:16" x14ac:dyDescent="0.25">
      <c r="P10836" s="4"/>
    </row>
    <row r="10837" spans="16:16" x14ac:dyDescent="0.25">
      <c r="P10837" s="4"/>
    </row>
    <row r="10838" spans="16:16" x14ac:dyDescent="0.25">
      <c r="P10838" s="4"/>
    </row>
    <row r="10839" spans="16:16" x14ac:dyDescent="0.25">
      <c r="P10839" s="4"/>
    </row>
    <row r="10840" spans="16:16" x14ac:dyDescent="0.25">
      <c r="P10840" s="4"/>
    </row>
    <row r="10841" spans="16:16" x14ac:dyDescent="0.25">
      <c r="P10841" s="4"/>
    </row>
    <row r="10842" spans="16:16" x14ac:dyDescent="0.25">
      <c r="P10842" s="4"/>
    </row>
    <row r="10843" spans="16:16" x14ac:dyDescent="0.25">
      <c r="P10843" s="4"/>
    </row>
    <row r="10844" spans="16:16" x14ac:dyDescent="0.25">
      <c r="P10844" s="4"/>
    </row>
    <row r="10845" spans="16:16" x14ac:dyDescent="0.25">
      <c r="P10845" s="4"/>
    </row>
    <row r="10846" spans="16:16" x14ac:dyDescent="0.25">
      <c r="P10846" s="4"/>
    </row>
    <row r="10847" spans="16:16" x14ac:dyDescent="0.25">
      <c r="P10847" s="4"/>
    </row>
    <row r="10848" spans="16:16" x14ac:dyDescent="0.25">
      <c r="P10848" s="4"/>
    </row>
    <row r="10849" spans="16:16" x14ac:dyDescent="0.25">
      <c r="P10849" s="4"/>
    </row>
    <row r="10850" spans="16:16" x14ac:dyDescent="0.25">
      <c r="P10850" s="4"/>
    </row>
    <row r="10851" spans="16:16" x14ac:dyDescent="0.25">
      <c r="P10851" s="4"/>
    </row>
    <row r="10852" spans="16:16" x14ac:dyDescent="0.25">
      <c r="P10852" s="4"/>
    </row>
    <row r="10853" spans="16:16" x14ac:dyDescent="0.25">
      <c r="P10853" s="4"/>
    </row>
    <row r="10854" spans="16:16" x14ac:dyDescent="0.25">
      <c r="P10854" s="4"/>
    </row>
    <row r="10855" spans="16:16" x14ac:dyDescent="0.25">
      <c r="P10855" s="4"/>
    </row>
    <row r="10856" spans="16:16" x14ac:dyDescent="0.25">
      <c r="P10856" s="4"/>
    </row>
    <row r="10857" spans="16:16" x14ac:dyDescent="0.25">
      <c r="P10857" s="4"/>
    </row>
    <row r="10858" spans="16:16" x14ac:dyDescent="0.25">
      <c r="P10858" s="4"/>
    </row>
    <row r="10859" spans="16:16" x14ac:dyDescent="0.25">
      <c r="P10859" s="4"/>
    </row>
    <row r="10860" spans="16:16" x14ac:dyDescent="0.25">
      <c r="P10860" s="4"/>
    </row>
    <row r="10861" spans="16:16" x14ac:dyDescent="0.25">
      <c r="P10861" s="4"/>
    </row>
    <row r="10862" spans="16:16" x14ac:dyDescent="0.25">
      <c r="P10862" s="4"/>
    </row>
    <row r="10863" spans="16:16" x14ac:dyDescent="0.25">
      <c r="P10863" s="4"/>
    </row>
    <row r="10864" spans="16:16" x14ac:dyDescent="0.25">
      <c r="P10864" s="4"/>
    </row>
    <row r="10865" spans="16:16" x14ac:dyDescent="0.25">
      <c r="P10865" s="4"/>
    </row>
    <row r="10866" spans="16:16" x14ac:dyDescent="0.25">
      <c r="P10866" s="4"/>
    </row>
    <row r="10867" spans="16:16" x14ac:dyDescent="0.25">
      <c r="P10867" s="4"/>
    </row>
    <row r="10868" spans="16:16" x14ac:dyDescent="0.25">
      <c r="P10868" s="4"/>
    </row>
    <row r="10869" spans="16:16" x14ac:dyDescent="0.25">
      <c r="P10869" s="4"/>
    </row>
    <row r="10870" spans="16:16" x14ac:dyDescent="0.25">
      <c r="P10870" s="4"/>
    </row>
    <row r="10871" spans="16:16" x14ac:dyDescent="0.25">
      <c r="P10871" s="4"/>
    </row>
    <row r="10872" spans="16:16" x14ac:dyDescent="0.25">
      <c r="P10872" s="4"/>
    </row>
    <row r="10873" spans="16:16" x14ac:dyDescent="0.25">
      <c r="P10873" s="4"/>
    </row>
    <row r="10874" spans="16:16" x14ac:dyDescent="0.25">
      <c r="P10874" s="4"/>
    </row>
    <row r="10875" spans="16:16" x14ac:dyDescent="0.25">
      <c r="P10875" s="4"/>
    </row>
    <row r="10876" spans="16:16" x14ac:dyDescent="0.25">
      <c r="P10876" s="4"/>
    </row>
    <row r="10877" spans="16:16" x14ac:dyDescent="0.25">
      <c r="P10877" s="4"/>
    </row>
    <row r="10878" spans="16:16" x14ac:dyDescent="0.25">
      <c r="P10878" s="4"/>
    </row>
    <row r="10879" spans="16:16" x14ac:dyDescent="0.25">
      <c r="P10879" s="4"/>
    </row>
    <row r="10880" spans="16:16" x14ac:dyDescent="0.25">
      <c r="P10880" s="4"/>
    </row>
    <row r="10881" spans="16:16" x14ac:dyDescent="0.25">
      <c r="P10881" s="4"/>
    </row>
    <row r="10882" spans="16:16" x14ac:dyDescent="0.25">
      <c r="P10882" s="4"/>
    </row>
    <row r="10883" spans="16:16" x14ac:dyDescent="0.25">
      <c r="P10883" s="4"/>
    </row>
    <row r="10884" spans="16:16" x14ac:dyDescent="0.25">
      <c r="P10884" s="4"/>
    </row>
    <row r="10885" spans="16:16" x14ac:dyDescent="0.25">
      <c r="P10885" s="4"/>
    </row>
    <row r="10886" spans="16:16" x14ac:dyDescent="0.25">
      <c r="P10886" s="4"/>
    </row>
    <row r="10887" spans="16:16" x14ac:dyDescent="0.25">
      <c r="P10887" s="4"/>
    </row>
    <row r="10888" spans="16:16" x14ac:dyDescent="0.25">
      <c r="P10888" s="4"/>
    </row>
    <row r="10889" spans="16:16" x14ac:dyDescent="0.25">
      <c r="P10889" s="4"/>
    </row>
    <row r="10890" spans="16:16" x14ac:dyDescent="0.25">
      <c r="P10890" s="4"/>
    </row>
    <row r="10891" spans="16:16" x14ac:dyDescent="0.25">
      <c r="P10891" s="4"/>
    </row>
    <row r="10892" spans="16:16" x14ac:dyDescent="0.25">
      <c r="P10892" s="4"/>
    </row>
    <row r="10893" spans="16:16" x14ac:dyDescent="0.25">
      <c r="P10893" s="4"/>
    </row>
    <row r="10894" spans="16:16" x14ac:dyDescent="0.25">
      <c r="P10894" s="4"/>
    </row>
    <row r="10895" spans="16:16" x14ac:dyDescent="0.25">
      <c r="P10895" s="4"/>
    </row>
    <row r="10896" spans="16:16" x14ac:dyDescent="0.25">
      <c r="P10896" s="4"/>
    </row>
    <row r="10897" spans="16:16" x14ac:dyDescent="0.25">
      <c r="P10897" s="4"/>
    </row>
    <row r="10898" spans="16:16" x14ac:dyDescent="0.25">
      <c r="P10898" s="4"/>
    </row>
    <row r="10899" spans="16:16" x14ac:dyDescent="0.25">
      <c r="P10899" s="4"/>
    </row>
    <row r="10900" spans="16:16" x14ac:dyDescent="0.25">
      <c r="P10900" s="4"/>
    </row>
    <row r="10901" spans="16:16" x14ac:dyDescent="0.25">
      <c r="P10901" s="4"/>
    </row>
    <row r="10902" spans="16:16" x14ac:dyDescent="0.25">
      <c r="P10902" s="4"/>
    </row>
    <row r="10903" spans="16:16" x14ac:dyDescent="0.25">
      <c r="P10903" s="4"/>
    </row>
    <row r="10904" spans="16:16" x14ac:dyDescent="0.25">
      <c r="P10904" s="4"/>
    </row>
    <row r="10905" spans="16:16" x14ac:dyDescent="0.25">
      <c r="P10905" s="4"/>
    </row>
    <row r="10906" spans="16:16" x14ac:dyDescent="0.25">
      <c r="P10906" s="4"/>
    </row>
    <row r="10907" spans="16:16" x14ac:dyDescent="0.25">
      <c r="P10907" s="4"/>
    </row>
    <row r="10908" spans="16:16" x14ac:dyDescent="0.25">
      <c r="P10908" s="4"/>
    </row>
    <row r="10909" spans="16:16" x14ac:dyDescent="0.25">
      <c r="P10909" s="4"/>
    </row>
    <row r="10910" spans="16:16" x14ac:dyDescent="0.25">
      <c r="P10910" s="4"/>
    </row>
    <row r="10911" spans="16:16" x14ac:dyDescent="0.25">
      <c r="P10911" s="4"/>
    </row>
    <row r="10912" spans="16:16" x14ac:dyDescent="0.25">
      <c r="P10912" s="4"/>
    </row>
    <row r="10913" spans="16:16" x14ac:dyDescent="0.25">
      <c r="P10913" s="4"/>
    </row>
    <row r="10914" spans="16:16" x14ac:dyDescent="0.25">
      <c r="P10914" s="4"/>
    </row>
    <row r="10915" spans="16:16" x14ac:dyDescent="0.25">
      <c r="P10915" s="4"/>
    </row>
    <row r="10916" spans="16:16" x14ac:dyDescent="0.25">
      <c r="P10916" s="4"/>
    </row>
    <row r="10917" spans="16:16" x14ac:dyDescent="0.25">
      <c r="P10917" s="4"/>
    </row>
    <row r="10918" spans="16:16" x14ac:dyDescent="0.25">
      <c r="P10918" s="4"/>
    </row>
    <row r="10919" spans="16:16" x14ac:dyDescent="0.25">
      <c r="P10919" s="4"/>
    </row>
    <row r="10920" spans="16:16" x14ac:dyDescent="0.25">
      <c r="P10920" s="4"/>
    </row>
    <row r="10921" spans="16:16" x14ac:dyDescent="0.25">
      <c r="P10921" s="4"/>
    </row>
    <row r="10922" spans="16:16" x14ac:dyDescent="0.25">
      <c r="P10922" s="4"/>
    </row>
    <row r="10923" spans="16:16" x14ac:dyDescent="0.25">
      <c r="P10923" s="4"/>
    </row>
    <row r="10924" spans="16:16" x14ac:dyDescent="0.25">
      <c r="P10924" s="4"/>
    </row>
    <row r="10925" spans="16:16" x14ac:dyDescent="0.25">
      <c r="P10925" s="4"/>
    </row>
    <row r="10926" spans="16:16" x14ac:dyDescent="0.25">
      <c r="P10926" s="4"/>
    </row>
    <row r="10927" spans="16:16" x14ac:dyDescent="0.25">
      <c r="P10927" s="4"/>
    </row>
    <row r="10928" spans="16:16" x14ac:dyDescent="0.25">
      <c r="P10928" s="4"/>
    </row>
    <row r="10929" spans="16:16" x14ac:dyDescent="0.25">
      <c r="P10929" s="4"/>
    </row>
    <row r="10930" spans="16:16" x14ac:dyDescent="0.25">
      <c r="P10930" s="4"/>
    </row>
    <row r="10931" spans="16:16" x14ac:dyDescent="0.25">
      <c r="P10931" s="4"/>
    </row>
    <row r="10932" spans="16:16" x14ac:dyDescent="0.25">
      <c r="P10932" s="4"/>
    </row>
    <row r="10933" spans="16:16" x14ac:dyDescent="0.25">
      <c r="P10933" s="4"/>
    </row>
    <row r="10934" spans="16:16" x14ac:dyDescent="0.25">
      <c r="P10934" s="4"/>
    </row>
    <row r="10935" spans="16:16" x14ac:dyDescent="0.25">
      <c r="P10935" s="4"/>
    </row>
    <row r="10936" spans="16:16" x14ac:dyDescent="0.25">
      <c r="P10936" s="4"/>
    </row>
    <row r="10937" spans="16:16" x14ac:dyDescent="0.25">
      <c r="P10937" s="4"/>
    </row>
    <row r="10938" spans="16:16" x14ac:dyDescent="0.25">
      <c r="P10938" s="4"/>
    </row>
    <row r="10939" spans="16:16" x14ac:dyDescent="0.25">
      <c r="P10939" s="4"/>
    </row>
    <row r="10940" spans="16:16" x14ac:dyDescent="0.25">
      <c r="P10940" s="4"/>
    </row>
    <row r="10941" spans="16:16" x14ac:dyDescent="0.25">
      <c r="P10941" s="4"/>
    </row>
    <row r="10942" spans="16:16" x14ac:dyDescent="0.25">
      <c r="P10942" s="4"/>
    </row>
    <row r="10943" spans="16:16" x14ac:dyDescent="0.25">
      <c r="P10943" s="4"/>
    </row>
    <row r="10944" spans="16:16" x14ac:dyDescent="0.25">
      <c r="P10944" s="4"/>
    </row>
    <row r="10945" spans="16:16" x14ac:dyDescent="0.25">
      <c r="P10945" s="4"/>
    </row>
    <row r="10946" spans="16:16" x14ac:dyDescent="0.25">
      <c r="P10946" s="4"/>
    </row>
    <row r="10947" spans="16:16" x14ac:dyDescent="0.25">
      <c r="P10947" s="4"/>
    </row>
    <row r="10948" spans="16:16" x14ac:dyDescent="0.25">
      <c r="P10948" s="4"/>
    </row>
    <row r="10949" spans="16:16" x14ac:dyDescent="0.25">
      <c r="P10949" s="4"/>
    </row>
    <row r="10950" spans="16:16" x14ac:dyDescent="0.25">
      <c r="P10950" s="4"/>
    </row>
    <row r="10951" spans="16:16" x14ac:dyDescent="0.25">
      <c r="P10951" s="4"/>
    </row>
    <row r="10952" spans="16:16" x14ac:dyDescent="0.25">
      <c r="P10952" s="4"/>
    </row>
    <row r="10953" spans="16:16" x14ac:dyDescent="0.25">
      <c r="P10953" s="4"/>
    </row>
    <row r="10954" spans="16:16" x14ac:dyDescent="0.25">
      <c r="P10954" s="4"/>
    </row>
    <row r="10955" spans="16:16" x14ac:dyDescent="0.25">
      <c r="P10955" s="4"/>
    </row>
    <row r="10956" spans="16:16" x14ac:dyDescent="0.25">
      <c r="P10956" s="4"/>
    </row>
    <row r="10957" spans="16:16" x14ac:dyDescent="0.25">
      <c r="P10957" s="4"/>
    </row>
    <row r="10958" spans="16:16" x14ac:dyDescent="0.25">
      <c r="P10958" s="4"/>
    </row>
    <row r="10959" spans="16:16" x14ac:dyDescent="0.25">
      <c r="P10959" s="4"/>
    </row>
    <row r="10960" spans="16:16" x14ac:dyDescent="0.25">
      <c r="P10960" s="4"/>
    </row>
    <row r="10961" spans="16:16" x14ac:dyDescent="0.25">
      <c r="P10961" s="4"/>
    </row>
    <row r="10962" spans="16:16" x14ac:dyDescent="0.25">
      <c r="P10962" s="4"/>
    </row>
    <row r="10963" spans="16:16" x14ac:dyDescent="0.25">
      <c r="P10963" s="4"/>
    </row>
    <row r="10964" spans="16:16" x14ac:dyDescent="0.25">
      <c r="P10964" s="4"/>
    </row>
    <row r="10965" spans="16:16" x14ac:dyDescent="0.25">
      <c r="P10965" s="4"/>
    </row>
    <row r="10966" spans="16:16" x14ac:dyDescent="0.25">
      <c r="P10966" s="4"/>
    </row>
    <row r="10967" spans="16:16" x14ac:dyDescent="0.25">
      <c r="P10967" s="4"/>
    </row>
    <row r="10968" spans="16:16" x14ac:dyDescent="0.25">
      <c r="P10968" s="4"/>
    </row>
    <row r="10969" spans="16:16" x14ac:dyDescent="0.25">
      <c r="P10969" s="4"/>
    </row>
    <row r="10970" spans="16:16" x14ac:dyDescent="0.25">
      <c r="P10970" s="4"/>
    </row>
    <row r="10971" spans="16:16" x14ac:dyDescent="0.25">
      <c r="P10971" s="4"/>
    </row>
    <row r="10972" spans="16:16" x14ac:dyDescent="0.25">
      <c r="P10972" s="4"/>
    </row>
    <row r="10973" spans="16:16" x14ac:dyDescent="0.25">
      <c r="P10973" s="4"/>
    </row>
    <row r="10974" spans="16:16" x14ac:dyDescent="0.25">
      <c r="P10974" s="4"/>
    </row>
    <row r="10975" spans="16:16" x14ac:dyDescent="0.25">
      <c r="P10975" s="4"/>
    </row>
    <row r="10976" spans="16:16" x14ac:dyDescent="0.25">
      <c r="P10976" s="4"/>
    </row>
    <row r="10977" spans="16:16" x14ac:dyDescent="0.25">
      <c r="P10977" s="4"/>
    </row>
    <row r="10978" spans="16:16" x14ac:dyDescent="0.25">
      <c r="P10978" s="4"/>
    </row>
    <row r="10979" spans="16:16" x14ac:dyDescent="0.25">
      <c r="P10979" s="4"/>
    </row>
    <row r="10980" spans="16:16" x14ac:dyDescent="0.25">
      <c r="P10980" s="4"/>
    </row>
    <row r="10981" spans="16:16" x14ac:dyDescent="0.25">
      <c r="P10981" s="4"/>
    </row>
    <row r="10982" spans="16:16" x14ac:dyDescent="0.25">
      <c r="P10982" s="4"/>
    </row>
    <row r="10983" spans="16:16" x14ac:dyDescent="0.25">
      <c r="P10983" s="4"/>
    </row>
    <row r="10984" spans="16:16" x14ac:dyDescent="0.25">
      <c r="P10984" s="4"/>
    </row>
    <row r="10985" spans="16:16" x14ac:dyDescent="0.25">
      <c r="P10985" s="4"/>
    </row>
    <row r="10986" spans="16:16" x14ac:dyDescent="0.25">
      <c r="P10986" s="4"/>
    </row>
    <row r="10987" spans="16:16" x14ac:dyDescent="0.25">
      <c r="P10987" s="4"/>
    </row>
    <row r="10988" spans="16:16" x14ac:dyDescent="0.25">
      <c r="P10988" s="4"/>
    </row>
    <row r="10989" spans="16:16" x14ac:dyDescent="0.25">
      <c r="P10989" s="4"/>
    </row>
    <row r="10990" spans="16:16" x14ac:dyDescent="0.25">
      <c r="P10990" s="4"/>
    </row>
    <row r="10991" spans="16:16" x14ac:dyDescent="0.25">
      <c r="P10991" s="4"/>
    </row>
    <row r="10992" spans="16:16" x14ac:dyDescent="0.25">
      <c r="P10992" s="4"/>
    </row>
    <row r="10993" spans="16:16" x14ac:dyDescent="0.25">
      <c r="P10993" s="4"/>
    </row>
    <row r="10994" spans="16:16" x14ac:dyDescent="0.25">
      <c r="P10994" s="4"/>
    </row>
    <row r="10995" spans="16:16" x14ac:dyDescent="0.25">
      <c r="P10995" s="4"/>
    </row>
    <row r="10996" spans="16:16" x14ac:dyDescent="0.25">
      <c r="P10996" s="4"/>
    </row>
    <row r="10997" spans="16:16" x14ac:dyDescent="0.25">
      <c r="P10997" s="4"/>
    </row>
    <row r="10998" spans="16:16" x14ac:dyDescent="0.25">
      <c r="P10998" s="4"/>
    </row>
    <row r="10999" spans="16:16" x14ac:dyDescent="0.25">
      <c r="P10999" s="4"/>
    </row>
    <row r="11000" spans="16:16" x14ac:dyDescent="0.25">
      <c r="P11000" s="4"/>
    </row>
    <row r="11001" spans="16:16" x14ac:dyDescent="0.25">
      <c r="P11001" s="4"/>
    </row>
    <row r="11002" spans="16:16" x14ac:dyDescent="0.25">
      <c r="P11002" s="4"/>
    </row>
    <row r="11003" spans="16:16" x14ac:dyDescent="0.25">
      <c r="P11003" s="4"/>
    </row>
    <row r="11004" spans="16:16" x14ac:dyDescent="0.25">
      <c r="P11004" s="4"/>
    </row>
    <row r="11005" spans="16:16" x14ac:dyDescent="0.25">
      <c r="P11005" s="4"/>
    </row>
    <row r="11006" spans="16:16" x14ac:dyDescent="0.25">
      <c r="P11006" s="4"/>
    </row>
    <row r="11007" spans="16:16" x14ac:dyDescent="0.25">
      <c r="P11007" s="4"/>
    </row>
    <row r="11008" spans="16:16" x14ac:dyDescent="0.25">
      <c r="P11008" s="4"/>
    </row>
    <row r="11009" spans="16:16" x14ac:dyDescent="0.25">
      <c r="P11009" s="4"/>
    </row>
    <row r="11010" spans="16:16" x14ac:dyDescent="0.25">
      <c r="P11010" s="4"/>
    </row>
    <row r="11011" spans="16:16" x14ac:dyDescent="0.25">
      <c r="P11011" s="4"/>
    </row>
    <row r="11012" spans="16:16" x14ac:dyDescent="0.25">
      <c r="P11012" s="4"/>
    </row>
    <row r="11013" spans="16:16" x14ac:dyDescent="0.25">
      <c r="P11013" s="4"/>
    </row>
    <row r="11014" spans="16:16" x14ac:dyDescent="0.25">
      <c r="P11014" s="4"/>
    </row>
    <row r="11015" spans="16:16" x14ac:dyDescent="0.25">
      <c r="P11015" s="4"/>
    </row>
    <row r="11016" spans="16:16" x14ac:dyDescent="0.25">
      <c r="P11016" s="4"/>
    </row>
    <row r="11017" spans="16:16" x14ac:dyDescent="0.25">
      <c r="P11017" s="4"/>
    </row>
    <row r="11018" spans="16:16" x14ac:dyDescent="0.25">
      <c r="P11018" s="4"/>
    </row>
    <row r="11019" spans="16:16" x14ac:dyDescent="0.25">
      <c r="P11019" s="4"/>
    </row>
    <row r="11020" spans="16:16" x14ac:dyDescent="0.25">
      <c r="P11020" s="4"/>
    </row>
    <row r="11021" spans="16:16" x14ac:dyDescent="0.25">
      <c r="P11021" s="4"/>
    </row>
    <row r="11022" spans="16:16" x14ac:dyDescent="0.25">
      <c r="P11022" s="4"/>
    </row>
    <row r="11023" spans="16:16" x14ac:dyDescent="0.25">
      <c r="P11023" s="4"/>
    </row>
    <row r="11024" spans="16:16" x14ac:dyDescent="0.25">
      <c r="P11024" s="4"/>
    </row>
    <row r="11025" spans="16:16" x14ac:dyDescent="0.25">
      <c r="P11025" s="4"/>
    </row>
    <row r="11026" spans="16:16" x14ac:dyDescent="0.25">
      <c r="P11026" s="4"/>
    </row>
    <row r="11027" spans="16:16" x14ac:dyDescent="0.25">
      <c r="P11027" s="4"/>
    </row>
    <row r="11028" spans="16:16" x14ac:dyDescent="0.25">
      <c r="P11028" s="4"/>
    </row>
    <row r="11029" spans="16:16" x14ac:dyDescent="0.25">
      <c r="P11029" s="4"/>
    </row>
    <row r="11030" spans="16:16" x14ac:dyDescent="0.25">
      <c r="P11030" s="4"/>
    </row>
    <row r="11031" spans="16:16" x14ac:dyDescent="0.25">
      <c r="P11031" s="4"/>
    </row>
    <row r="11032" spans="16:16" x14ac:dyDescent="0.25">
      <c r="P11032" s="4"/>
    </row>
    <row r="11033" spans="16:16" x14ac:dyDescent="0.25">
      <c r="P11033" s="4"/>
    </row>
    <row r="11034" spans="16:16" x14ac:dyDescent="0.25">
      <c r="P11034" s="4"/>
    </row>
    <row r="11035" spans="16:16" x14ac:dyDescent="0.25">
      <c r="P11035" s="4"/>
    </row>
    <row r="11036" spans="16:16" x14ac:dyDescent="0.25">
      <c r="P11036" s="4"/>
    </row>
    <row r="11037" spans="16:16" x14ac:dyDescent="0.25">
      <c r="P11037" s="4"/>
    </row>
    <row r="11038" spans="16:16" x14ac:dyDescent="0.25">
      <c r="P11038" s="4"/>
    </row>
    <row r="11039" spans="16:16" x14ac:dyDescent="0.25">
      <c r="P11039" s="4"/>
    </row>
    <row r="11040" spans="16:16" x14ac:dyDescent="0.25">
      <c r="P11040" s="4"/>
    </row>
    <row r="11041" spans="16:16" x14ac:dyDescent="0.25">
      <c r="P11041" s="4"/>
    </row>
    <row r="11042" spans="16:16" x14ac:dyDescent="0.25">
      <c r="P11042" s="4"/>
    </row>
    <row r="11043" spans="16:16" x14ac:dyDescent="0.25">
      <c r="P11043" s="4"/>
    </row>
    <row r="11044" spans="16:16" x14ac:dyDescent="0.25">
      <c r="P11044" s="4"/>
    </row>
    <row r="11045" spans="16:16" x14ac:dyDescent="0.25">
      <c r="P11045" s="4"/>
    </row>
    <row r="11046" spans="16:16" x14ac:dyDescent="0.25">
      <c r="P11046" s="4"/>
    </row>
    <row r="11047" spans="16:16" x14ac:dyDescent="0.25">
      <c r="P11047" s="4"/>
    </row>
    <row r="11048" spans="16:16" x14ac:dyDescent="0.25">
      <c r="P11048" s="4"/>
    </row>
    <row r="11049" spans="16:16" x14ac:dyDescent="0.25">
      <c r="P11049" s="4"/>
    </row>
    <row r="11050" spans="16:16" x14ac:dyDescent="0.25">
      <c r="P11050" s="4"/>
    </row>
    <row r="11051" spans="16:16" x14ac:dyDescent="0.25">
      <c r="P11051" s="4"/>
    </row>
    <row r="11052" spans="16:16" x14ac:dyDescent="0.25">
      <c r="P11052" s="4"/>
    </row>
    <row r="11053" spans="16:16" x14ac:dyDescent="0.25">
      <c r="P11053" s="4"/>
    </row>
    <row r="11054" spans="16:16" x14ac:dyDescent="0.25">
      <c r="P11054" s="4"/>
    </row>
    <row r="11055" spans="16:16" x14ac:dyDescent="0.25">
      <c r="P11055" s="4"/>
    </row>
    <row r="11056" spans="16:16" x14ac:dyDescent="0.25">
      <c r="P11056" s="4"/>
    </row>
    <row r="11057" spans="16:16" x14ac:dyDescent="0.25">
      <c r="P11057" s="4"/>
    </row>
    <row r="11058" spans="16:16" x14ac:dyDescent="0.25">
      <c r="P11058" s="4"/>
    </row>
    <row r="11059" spans="16:16" x14ac:dyDescent="0.25">
      <c r="P11059" s="4"/>
    </row>
    <row r="11060" spans="16:16" x14ac:dyDescent="0.25">
      <c r="P11060" s="4"/>
    </row>
    <row r="11061" spans="16:16" x14ac:dyDescent="0.25">
      <c r="P11061" s="4"/>
    </row>
    <row r="11062" spans="16:16" x14ac:dyDescent="0.25">
      <c r="P11062" s="4"/>
    </row>
    <row r="11063" spans="16:16" x14ac:dyDescent="0.25">
      <c r="P11063" s="4"/>
    </row>
    <row r="11064" spans="16:16" x14ac:dyDescent="0.25">
      <c r="P11064" s="4"/>
    </row>
    <row r="11065" spans="16:16" x14ac:dyDescent="0.25">
      <c r="P11065" s="4"/>
    </row>
    <row r="11066" spans="16:16" x14ac:dyDescent="0.25">
      <c r="P11066" s="4"/>
    </row>
    <row r="11067" spans="16:16" x14ac:dyDescent="0.25">
      <c r="P11067" s="4"/>
    </row>
    <row r="11068" spans="16:16" x14ac:dyDescent="0.25">
      <c r="P11068" s="4"/>
    </row>
    <row r="11069" spans="16:16" x14ac:dyDescent="0.25">
      <c r="P11069" s="4"/>
    </row>
    <row r="11070" spans="16:16" x14ac:dyDescent="0.25">
      <c r="P11070" s="4"/>
    </row>
    <row r="11071" spans="16:16" x14ac:dyDescent="0.25">
      <c r="P11071" s="4"/>
    </row>
    <row r="11072" spans="16:16" x14ac:dyDescent="0.25">
      <c r="P11072" s="4"/>
    </row>
    <row r="11073" spans="16:16" x14ac:dyDescent="0.25">
      <c r="P11073" s="4"/>
    </row>
    <row r="11074" spans="16:16" x14ac:dyDescent="0.25">
      <c r="P11074" s="4"/>
    </row>
    <row r="11075" spans="16:16" x14ac:dyDescent="0.25">
      <c r="P11075" s="4"/>
    </row>
    <row r="11076" spans="16:16" x14ac:dyDescent="0.25">
      <c r="P11076" s="4"/>
    </row>
    <row r="11077" spans="16:16" x14ac:dyDescent="0.25">
      <c r="P11077" s="4"/>
    </row>
    <row r="11078" spans="16:16" x14ac:dyDescent="0.25">
      <c r="P11078" s="4"/>
    </row>
    <row r="11079" spans="16:16" x14ac:dyDescent="0.25">
      <c r="P11079" s="4"/>
    </row>
    <row r="11080" spans="16:16" x14ac:dyDescent="0.25">
      <c r="P11080" s="4"/>
    </row>
    <row r="11081" spans="16:16" x14ac:dyDescent="0.25">
      <c r="P11081" s="4"/>
    </row>
    <row r="11082" spans="16:16" x14ac:dyDescent="0.25">
      <c r="P11082" s="4"/>
    </row>
    <row r="11083" spans="16:16" x14ac:dyDescent="0.25">
      <c r="P11083" s="4"/>
    </row>
    <row r="11084" spans="16:16" x14ac:dyDescent="0.25">
      <c r="P11084" s="4"/>
    </row>
    <row r="11085" spans="16:16" x14ac:dyDescent="0.25">
      <c r="P11085" s="4"/>
    </row>
    <row r="11086" spans="16:16" x14ac:dyDescent="0.25">
      <c r="P11086" s="4"/>
    </row>
    <row r="11087" spans="16:16" x14ac:dyDescent="0.25">
      <c r="P11087" s="4"/>
    </row>
    <row r="11088" spans="16:16" x14ac:dyDescent="0.25">
      <c r="P11088" s="4"/>
    </row>
    <row r="11089" spans="16:16" x14ac:dyDescent="0.25">
      <c r="P11089" s="4"/>
    </row>
    <row r="11090" spans="16:16" x14ac:dyDescent="0.25">
      <c r="P11090" s="4"/>
    </row>
    <row r="11091" spans="16:16" x14ac:dyDescent="0.25">
      <c r="P11091" s="4"/>
    </row>
    <row r="11092" spans="16:16" x14ac:dyDescent="0.25">
      <c r="P11092" s="4"/>
    </row>
    <row r="11093" spans="16:16" x14ac:dyDescent="0.25">
      <c r="P11093" s="4"/>
    </row>
    <row r="11094" spans="16:16" x14ac:dyDescent="0.25">
      <c r="P11094" s="4"/>
    </row>
    <row r="11095" spans="16:16" x14ac:dyDescent="0.25">
      <c r="P11095" s="4"/>
    </row>
    <row r="11096" spans="16:16" x14ac:dyDescent="0.25">
      <c r="P11096" s="4"/>
    </row>
    <row r="11097" spans="16:16" x14ac:dyDescent="0.25">
      <c r="P11097" s="4"/>
    </row>
    <row r="11098" spans="16:16" x14ac:dyDescent="0.25">
      <c r="P11098" s="4"/>
    </row>
    <row r="11099" spans="16:16" x14ac:dyDescent="0.25">
      <c r="P11099" s="4"/>
    </row>
    <row r="11100" spans="16:16" x14ac:dyDescent="0.25">
      <c r="P11100" s="4"/>
    </row>
    <row r="11101" spans="16:16" x14ac:dyDescent="0.25">
      <c r="P11101" s="4"/>
    </row>
    <row r="11102" spans="16:16" x14ac:dyDescent="0.25">
      <c r="P11102" s="4"/>
    </row>
    <row r="11103" spans="16:16" x14ac:dyDescent="0.25">
      <c r="P11103" s="4"/>
    </row>
    <row r="11104" spans="16:16" x14ac:dyDescent="0.25">
      <c r="P11104" s="4"/>
    </row>
    <row r="11105" spans="16:16" x14ac:dyDescent="0.25">
      <c r="P11105" s="4"/>
    </row>
    <row r="11106" spans="16:16" x14ac:dyDescent="0.25">
      <c r="P11106" s="4"/>
    </row>
    <row r="11107" spans="16:16" x14ac:dyDescent="0.25">
      <c r="P11107" s="4"/>
    </row>
    <row r="11108" spans="16:16" x14ac:dyDescent="0.25">
      <c r="P11108" s="4"/>
    </row>
    <row r="11109" spans="16:16" x14ac:dyDescent="0.25">
      <c r="P11109" s="4"/>
    </row>
    <row r="11110" spans="16:16" x14ac:dyDescent="0.25">
      <c r="P11110" s="4"/>
    </row>
    <row r="11111" spans="16:16" x14ac:dyDescent="0.25">
      <c r="P11111" s="4"/>
    </row>
    <row r="11112" spans="16:16" x14ac:dyDescent="0.25">
      <c r="P11112" s="4"/>
    </row>
    <row r="11113" spans="16:16" x14ac:dyDescent="0.25">
      <c r="P11113" s="4"/>
    </row>
    <row r="11114" spans="16:16" x14ac:dyDescent="0.25">
      <c r="P11114" s="4"/>
    </row>
    <row r="11115" spans="16:16" x14ac:dyDescent="0.25">
      <c r="P11115" s="4"/>
    </row>
    <row r="11116" spans="16:16" x14ac:dyDescent="0.25">
      <c r="P11116" s="4"/>
    </row>
    <row r="11117" spans="16:16" x14ac:dyDescent="0.25">
      <c r="P11117" s="4"/>
    </row>
    <row r="11118" spans="16:16" x14ac:dyDescent="0.25">
      <c r="P11118" s="4"/>
    </row>
    <row r="11119" spans="16:16" x14ac:dyDescent="0.25">
      <c r="P11119" s="4"/>
    </row>
    <row r="11120" spans="16:16" x14ac:dyDescent="0.25">
      <c r="P11120" s="4"/>
    </row>
    <row r="11121" spans="16:16" x14ac:dyDescent="0.25">
      <c r="P11121" s="4"/>
    </row>
    <row r="11122" spans="16:16" x14ac:dyDescent="0.25">
      <c r="P11122" s="4"/>
    </row>
    <row r="11123" spans="16:16" x14ac:dyDescent="0.25">
      <c r="P11123" s="4"/>
    </row>
    <row r="11124" spans="16:16" x14ac:dyDescent="0.25">
      <c r="P11124" s="4"/>
    </row>
    <row r="11125" spans="16:16" x14ac:dyDescent="0.25">
      <c r="P11125" s="4"/>
    </row>
    <row r="11126" spans="16:16" x14ac:dyDescent="0.25">
      <c r="P11126" s="4"/>
    </row>
    <row r="11127" spans="16:16" x14ac:dyDescent="0.25">
      <c r="P11127" s="4"/>
    </row>
    <row r="11128" spans="16:16" x14ac:dyDescent="0.25">
      <c r="P11128" s="4"/>
    </row>
    <row r="11129" spans="16:16" x14ac:dyDescent="0.25">
      <c r="P11129" s="4"/>
    </row>
    <row r="11130" spans="16:16" x14ac:dyDescent="0.25">
      <c r="P11130" s="4"/>
    </row>
    <row r="11131" spans="16:16" x14ac:dyDescent="0.25">
      <c r="P11131" s="4"/>
    </row>
    <row r="11132" spans="16:16" x14ac:dyDescent="0.25">
      <c r="P11132" s="4"/>
    </row>
    <row r="11133" spans="16:16" x14ac:dyDescent="0.25">
      <c r="P11133" s="4"/>
    </row>
    <row r="11134" spans="16:16" x14ac:dyDescent="0.25">
      <c r="P11134" s="4"/>
    </row>
    <row r="11135" spans="16:16" x14ac:dyDescent="0.25">
      <c r="P11135" s="4"/>
    </row>
    <row r="11136" spans="16:16" x14ac:dyDescent="0.25">
      <c r="P11136" s="4"/>
    </row>
    <row r="11137" spans="16:16" x14ac:dyDescent="0.25">
      <c r="P11137" s="4"/>
    </row>
    <row r="11138" spans="16:16" x14ac:dyDescent="0.25">
      <c r="P11138" s="4"/>
    </row>
    <row r="11139" spans="16:16" x14ac:dyDescent="0.25">
      <c r="P11139" s="4"/>
    </row>
    <row r="11140" spans="16:16" x14ac:dyDescent="0.25">
      <c r="P11140" s="4"/>
    </row>
    <row r="11141" spans="16:16" x14ac:dyDescent="0.25">
      <c r="P11141" s="4"/>
    </row>
    <row r="11142" spans="16:16" x14ac:dyDescent="0.25">
      <c r="P11142" s="4"/>
    </row>
    <row r="11143" spans="16:16" x14ac:dyDescent="0.25">
      <c r="P11143" s="4"/>
    </row>
    <row r="11144" spans="16:16" x14ac:dyDescent="0.25">
      <c r="P11144" s="4"/>
    </row>
    <row r="11145" spans="16:16" x14ac:dyDescent="0.25">
      <c r="P11145" s="4"/>
    </row>
    <row r="11146" spans="16:16" x14ac:dyDescent="0.25">
      <c r="P11146" s="4"/>
    </row>
    <row r="11147" spans="16:16" x14ac:dyDescent="0.25">
      <c r="P11147" s="4"/>
    </row>
    <row r="11148" spans="16:16" x14ac:dyDescent="0.25">
      <c r="P11148" s="4"/>
    </row>
    <row r="11149" spans="16:16" x14ac:dyDescent="0.25">
      <c r="P11149" s="4"/>
    </row>
    <row r="11150" spans="16:16" x14ac:dyDescent="0.25">
      <c r="P11150" s="4"/>
    </row>
    <row r="11151" spans="16:16" x14ac:dyDescent="0.25">
      <c r="P11151" s="4"/>
    </row>
    <row r="11152" spans="16:16" x14ac:dyDescent="0.25">
      <c r="P11152" s="4"/>
    </row>
    <row r="11153" spans="16:16" x14ac:dyDescent="0.25">
      <c r="P11153" s="4"/>
    </row>
    <row r="11154" spans="16:16" x14ac:dyDescent="0.25">
      <c r="P11154" s="4"/>
    </row>
    <row r="11155" spans="16:16" x14ac:dyDescent="0.25">
      <c r="P11155" s="4"/>
    </row>
    <row r="11156" spans="16:16" x14ac:dyDescent="0.25">
      <c r="P11156" s="4"/>
    </row>
    <row r="11157" spans="16:16" x14ac:dyDescent="0.25">
      <c r="P11157" s="4"/>
    </row>
    <row r="11158" spans="16:16" x14ac:dyDescent="0.25">
      <c r="P11158" s="4"/>
    </row>
    <row r="11159" spans="16:16" x14ac:dyDescent="0.25">
      <c r="P11159" s="4"/>
    </row>
    <row r="11160" spans="16:16" x14ac:dyDescent="0.25">
      <c r="P11160" s="4"/>
    </row>
    <row r="11161" spans="16:16" x14ac:dyDescent="0.25">
      <c r="P11161" s="4"/>
    </row>
    <row r="11162" spans="16:16" x14ac:dyDescent="0.25">
      <c r="P11162" s="4"/>
    </row>
    <row r="11163" spans="16:16" x14ac:dyDescent="0.25">
      <c r="P11163" s="4"/>
    </row>
    <row r="11164" spans="16:16" x14ac:dyDescent="0.25">
      <c r="P11164" s="4"/>
    </row>
    <row r="11165" spans="16:16" x14ac:dyDescent="0.25">
      <c r="P11165" s="4"/>
    </row>
    <row r="11166" spans="16:16" x14ac:dyDescent="0.25">
      <c r="P11166" s="4"/>
    </row>
    <row r="11167" spans="16:16" x14ac:dyDescent="0.25">
      <c r="P11167" s="4"/>
    </row>
    <row r="11168" spans="16:16" x14ac:dyDescent="0.25">
      <c r="P11168" s="4"/>
    </row>
    <row r="11169" spans="16:16" x14ac:dyDescent="0.25">
      <c r="P11169" s="4"/>
    </row>
    <row r="11170" spans="16:16" x14ac:dyDescent="0.25">
      <c r="P11170" s="4"/>
    </row>
    <row r="11171" spans="16:16" x14ac:dyDescent="0.25">
      <c r="P11171" s="4"/>
    </row>
    <row r="11172" spans="16:16" x14ac:dyDescent="0.25">
      <c r="P11172" s="4"/>
    </row>
    <row r="11173" spans="16:16" x14ac:dyDescent="0.25">
      <c r="P11173" s="4"/>
    </row>
    <row r="11174" spans="16:16" x14ac:dyDescent="0.25">
      <c r="P11174" s="4"/>
    </row>
    <row r="11175" spans="16:16" x14ac:dyDescent="0.25">
      <c r="P11175" s="4"/>
    </row>
    <row r="11176" spans="16:16" x14ac:dyDescent="0.25">
      <c r="P11176" s="4"/>
    </row>
    <row r="11177" spans="16:16" x14ac:dyDescent="0.25">
      <c r="P11177" s="4"/>
    </row>
    <row r="11178" spans="16:16" x14ac:dyDescent="0.25">
      <c r="P11178" s="4"/>
    </row>
    <row r="11179" spans="16:16" x14ac:dyDescent="0.25">
      <c r="P11179" s="4"/>
    </row>
    <row r="11180" spans="16:16" x14ac:dyDescent="0.25">
      <c r="P11180" s="4"/>
    </row>
    <row r="11181" spans="16:16" x14ac:dyDescent="0.25">
      <c r="P11181" s="4"/>
    </row>
    <row r="11182" spans="16:16" x14ac:dyDescent="0.25">
      <c r="P11182" s="4"/>
    </row>
    <row r="11183" spans="16:16" x14ac:dyDescent="0.25">
      <c r="P11183" s="4"/>
    </row>
    <row r="11184" spans="16:16" x14ac:dyDescent="0.25">
      <c r="P11184" s="4"/>
    </row>
    <row r="11185" spans="16:16" x14ac:dyDescent="0.25">
      <c r="P11185" s="4"/>
    </row>
    <row r="11186" spans="16:16" x14ac:dyDescent="0.25">
      <c r="P11186" s="4"/>
    </row>
    <row r="11187" spans="16:16" x14ac:dyDescent="0.25">
      <c r="P11187" s="4"/>
    </row>
    <row r="11188" spans="16:16" x14ac:dyDescent="0.25">
      <c r="P11188" s="4"/>
    </row>
    <row r="11189" spans="16:16" x14ac:dyDescent="0.25">
      <c r="P11189" s="4"/>
    </row>
    <row r="11190" spans="16:16" x14ac:dyDescent="0.25">
      <c r="P11190" s="4"/>
    </row>
    <row r="11191" spans="16:16" x14ac:dyDescent="0.25">
      <c r="P11191" s="4"/>
    </row>
    <row r="11192" spans="16:16" x14ac:dyDescent="0.25">
      <c r="P11192" s="4"/>
    </row>
    <row r="11193" spans="16:16" x14ac:dyDescent="0.25">
      <c r="P11193" s="4"/>
    </row>
    <row r="11194" spans="16:16" x14ac:dyDescent="0.25">
      <c r="P11194" s="4"/>
    </row>
    <row r="11195" spans="16:16" x14ac:dyDescent="0.25">
      <c r="P11195" s="4"/>
    </row>
    <row r="11196" spans="16:16" x14ac:dyDescent="0.25">
      <c r="P11196" s="4"/>
    </row>
    <row r="11197" spans="16:16" x14ac:dyDescent="0.25">
      <c r="P11197" s="4"/>
    </row>
    <row r="11198" spans="16:16" x14ac:dyDescent="0.25">
      <c r="P11198" s="4"/>
    </row>
    <row r="11199" spans="16:16" x14ac:dyDescent="0.25">
      <c r="P11199" s="4"/>
    </row>
    <row r="11200" spans="16:16" x14ac:dyDescent="0.25">
      <c r="P11200" s="4"/>
    </row>
    <row r="11201" spans="16:16" x14ac:dyDescent="0.25">
      <c r="P11201" s="4"/>
    </row>
    <row r="11202" spans="16:16" x14ac:dyDescent="0.25">
      <c r="P11202" s="4"/>
    </row>
    <row r="11203" spans="16:16" x14ac:dyDescent="0.25">
      <c r="P11203" s="4"/>
    </row>
    <row r="11204" spans="16:16" x14ac:dyDescent="0.25">
      <c r="P11204" s="4"/>
    </row>
    <row r="11205" spans="16:16" x14ac:dyDescent="0.25">
      <c r="P11205" s="4"/>
    </row>
    <row r="11206" spans="16:16" x14ac:dyDescent="0.25">
      <c r="P11206" s="4"/>
    </row>
    <row r="11207" spans="16:16" x14ac:dyDescent="0.25">
      <c r="P11207" s="4"/>
    </row>
    <row r="11208" spans="16:16" x14ac:dyDescent="0.25">
      <c r="P11208" s="4"/>
    </row>
    <row r="11209" spans="16:16" x14ac:dyDescent="0.25">
      <c r="P11209" s="4"/>
    </row>
    <row r="11210" spans="16:16" x14ac:dyDescent="0.25">
      <c r="P11210" s="4"/>
    </row>
    <row r="11211" spans="16:16" x14ac:dyDescent="0.25">
      <c r="P11211" s="4"/>
    </row>
    <row r="11212" spans="16:16" x14ac:dyDescent="0.25">
      <c r="P11212" s="4"/>
    </row>
    <row r="11213" spans="16:16" x14ac:dyDescent="0.25">
      <c r="P11213" s="4"/>
    </row>
    <row r="11214" spans="16:16" x14ac:dyDescent="0.25">
      <c r="P11214" s="4"/>
    </row>
    <row r="11215" spans="16:16" x14ac:dyDescent="0.25">
      <c r="P11215" s="4"/>
    </row>
    <row r="11216" spans="16:16" x14ac:dyDescent="0.25">
      <c r="P11216" s="4"/>
    </row>
    <row r="11217" spans="16:16" x14ac:dyDescent="0.25">
      <c r="P11217" s="4"/>
    </row>
    <row r="11218" spans="16:16" x14ac:dyDescent="0.25">
      <c r="P11218" s="4"/>
    </row>
    <row r="11219" spans="16:16" x14ac:dyDescent="0.25">
      <c r="P11219" s="4"/>
    </row>
    <row r="11220" spans="16:16" x14ac:dyDescent="0.25">
      <c r="P11220" s="4"/>
    </row>
    <row r="11221" spans="16:16" x14ac:dyDescent="0.25">
      <c r="P11221" s="4"/>
    </row>
    <row r="11222" spans="16:16" x14ac:dyDescent="0.25">
      <c r="P11222" s="4"/>
    </row>
    <row r="11223" spans="16:16" x14ac:dyDescent="0.25">
      <c r="P11223" s="4"/>
    </row>
    <row r="11224" spans="16:16" x14ac:dyDescent="0.25">
      <c r="P11224" s="4"/>
    </row>
    <row r="11225" spans="16:16" x14ac:dyDescent="0.25">
      <c r="P11225" s="4"/>
    </row>
    <row r="11226" spans="16:16" x14ac:dyDescent="0.25">
      <c r="P11226" s="4"/>
    </row>
    <row r="11227" spans="16:16" x14ac:dyDescent="0.25">
      <c r="P11227" s="4"/>
    </row>
    <row r="11228" spans="16:16" x14ac:dyDescent="0.25">
      <c r="P11228" s="4"/>
    </row>
    <row r="11229" spans="16:16" x14ac:dyDescent="0.25">
      <c r="P11229" s="4"/>
    </row>
    <row r="11230" spans="16:16" x14ac:dyDescent="0.25">
      <c r="P11230" s="4"/>
    </row>
    <row r="11231" spans="16:16" x14ac:dyDescent="0.25">
      <c r="P11231" s="4"/>
    </row>
    <row r="11232" spans="16:16" x14ac:dyDescent="0.25">
      <c r="P11232" s="4"/>
    </row>
    <row r="11233" spans="16:16" x14ac:dyDescent="0.25">
      <c r="P11233" s="4"/>
    </row>
    <row r="11234" spans="16:16" x14ac:dyDescent="0.25">
      <c r="P11234" s="4"/>
    </row>
    <row r="11235" spans="16:16" x14ac:dyDescent="0.25">
      <c r="P11235" s="4"/>
    </row>
    <row r="11236" spans="16:16" x14ac:dyDescent="0.25">
      <c r="P11236" s="4"/>
    </row>
    <row r="11237" spans="16:16" x14ac:dyDescent="0.25">
      <c r="P11237" s="4"/>
    </row>
    <row r="11238" spans="16:16" x14ac:dyDescent="0.25">
      <c r="P11238" s="4"/>
    </row>
    <row r="11239" spans="16:16" x14ac:dyDescent="0.25">
      <c r="P11239" s="4"/>
    </row>
    <row r="11240" spans="16:16" x14ac:dyDescent="0.25">
      <c r="P11240" s="4"/>
    </row>
    <row r="11241" spans="16:16" x14ac:dyDescent="0.25">
      <c r="P11241" s="4"/>
    </row>
    <row r="11242" spans="16:16" x14ac:dyDescent="0.25">
      <c r="P11242" s="4"/>
    </row>
    <row r="11243" spans="16:16" x14ac:dyDescent="0.25">
      <c r="P11243" s="4"/>
    </row>
    <row r="11244" spans="16:16" x14ac:dyDescent="0.25">
      <c r="P11244" s="4"/>
    </row>
    <row r="11245" spans="16:16" x14ac:dyDescent="0.25">
      <c r="P11245" s="4"/>
    </row>
    <row r="11246" spans="16:16" x14ac:dyDescent="0.25">
      <c r="P11246" s="4"/>
    </row>
    <row r="11247" spans="16:16" x14ac:dyDescent="0.25">
      <c r="P11247" s="4"/>
    </row>
    <row r="11248" spans="16:16" x14ac:dyDescent="0.25">
      <c r="P11248" s="4"/>
    </row>
    <row r="11249" spans="16:16" x14ac:dyDescent="0.25">
      <c r="P11249" s="4"/>
    </row>
    <row r="11250" spans="16:16" x14ac:dyDescent="0.25">
      <c r="P11250" s="4"/>
    </row>
    <row r="11251" spans="16:16" x14ac:dyDescent="0.25">
      <c r="P11251" s="4"/>
    </row>
    <row r="11252" spans="16:16" x14ac:dyDescent="0.25">
      <c r="P11252" s="4"/>
    </row>
    <row r="11253" spans="16:16" x14ac:dyDescent="0.25">
      <c r="P11253" s="4"/>
    </row>
    <row r="11254" spans="16:16" x14ac:dyDescent="0.25">
      <c r="P11254" s="4"/>
    </row>
    <row r="11255" spans="16:16" x14ac:dyDescent="0.25">
      <c r="P11255" s="4"/>
    </row>
    <row r="11256" spans="16:16" x14ac:dyDescent="0.25">
      <c r="P11256" s="4"/>
    </row>
    <row r="11257" spans="16:16" x14ac:dyDescent="0.25">
      <c r="P11257" s="4"/>
    </row>
    <row r="11258" spans="16:16" x14ac:dyDescent="0.25">
      <c r="P11258" s="4"/>
    </row>
    <row r="11259" spans="16:16" x14ac:dyDescent="0.25">
      <c r="P11259" s="4"/>
    </row>
    <row r="11260" spans="16:16" x14ac:dyDescent="0.25">
      <c r="P11260" s="4"/>
    </row>
    <row r="11261" spans="16:16" x14ac:dyDescent="0.25">
      <c r="P11261" s="4"/>
    </row>
    <row r="11262" spans="16:16" x14ac:dyDescent="0.25">
      <c r="P11262" s="4"/>
    </row>
    <row r="11263" spans="16:16" x14ac:dyDescent="0.25">
      <c r="P11263" s="4"/>
    </row>
    <row r="11264" spans="16:16" x14ac:dyDescent="0.25">
      <c r="P11264" s="4"/>
    </row>
    <row r="11265" spans="16:16" x14ac:dyDescent="0.25">
      <c r="P11265" s="4"/>
    </row>
    <row r="11266" spans="16:16" x14ac:dyDescent="0.25">
      <c r="P11266" s="4"/>
    </row>
    <row r="11267" spans="16:16" x14ac:dyDescent="0.25">
      <c r="P11267" s="4"/>
    </row>
    <row r="11268" spans="16:16" x14ac:dyDescent="0.25">
      <c r="P11268" s="4"/>
    </row>
    <row r="11269" spans="16:16" x14ac:dyDescent="0.25">
      <c r="P11269" s="4"/>
    </row>
    <row r="11270" spans="16:16" x14ac:dyDescent="0.25">
      <c r="P11270" s="4"/>
    </row>
    <row r="11271" spans="16:16" x14ac:dyDescent="0.25">
      <c r="P11271" s="4"/>
    </row>
    <row r="11272" spans="16:16" x14ac:dyDescent="0.25">
      <c r="P11272" s="4"/>
    </row>
    <row r="11273" spans="16:16" x14ac:dyDescent="0.25">
      <c r="P11273" s="4"/>
    </row>
    <row r="11274" spans="16:16" x14ac:dyDescent="0.25">
      <c r="P11274" s="4"/>
    </row>
    <row r="11275" spans="16:16" x14ac:dyDescent="0.25">
      <c r="P11275" s="4"/>
    </row>
    <row r="11276" spans="16:16" x14ac:dyDescent="0.25">
      <c r="P11276" s="4"/>
    </row>
    <row r="11277" spans="16:16" x14ac:dyDescent="0.25">
      <c r="P11277" s="4"/>
    </row>
    <row r="11278" spans="16:16" x14ac:dyDescent="0.25">
      <c r="P11278" s="4"/>
    </row>
    <row r="11279" spans="16:16" x14ac:dyDescent="0.25">
      <c r="P11279" s="4"/>
    </row>
    <row r="11280" spans="16:16" x14ac:dyDescent="0.25">
      <c r="P11280" s="4"/>
    </row>
    <row r="11281" spans="16:16" x14ac:dyDescent="0.25">
      <c r="P11281" s="4"/>
    </row>
    <row r="11282" spans="16:16" x14ac:dyDescent="0.25">
      <c r="P11282" s="4"/>
    </row>
    <row r="11283" spans="16:16" x14ac:dyDescent="0.25">
      <c r="P11283" s="4"/>
    </row>
    <row r="11284" spans="16:16" x14ac:dyDescent="0.25">
      <c r="P11284" s="4"/>
    </row>
    <row r="11285" spans="16:16" x14ac:dyDescent="0.25">
      <c r="P11285" s="4"/>
    </row>
    <row r="11286" spans="16:16" x14ac:dyDescent="0.25">
      <c r="P11286" s="4"/>
    </row>
    <row r="11287" spans="16:16" x14ac:dyDescent="0.25">
      <c r="P11287" s="4"/>
    </row>
    <row r="11288" spans="16:16" x14ac:dyDescent="0.25">
      <c r="P11288" s="4"/>
    </row>
    <row r="11289" spans="16:16" x14ac:dyDescent="0.25">
      <c r="P11289" s="4"/>
    </row>
    <row r="11290" spans="16:16" x14ac:dyDescent="0.25">
      <c r="P11290" s="4"/>
    </row>
    <row r="11291" spans="16:16" x14ac:dyDescent="0.25">
      <c r="P11291" s="4"/>
    </row>
    <row r="11292" spans="16:16" x14ac:dyDescent="0.25">
      <c r="P11292" s="4"/>
    </row>
    <row r="11293" spans="16:16" x14ac:dyDescent="0.25">
      <c r="P11293" s="4"/>
    </row>
    <row r="11294" spans="16:16" x14ac:dyDescent="0.25">
      <c r="P11294" s="4"/>
    </row>
    <row r="11295" spans="16:16" x14ac:dyDescent="0.25">
      <c r="P11295" s="4"/>
    </row>
    <row r="11296" spans="16:16" x14ac:dyDescent="0.25">
      <c r="P11296" s="4"/>
    </row>
    <row r="11297" spans="16:16" x14ac:dyDescent="0.25">
      <c r="P11297" s="4"/>
    </row>
    <row r="11298" spans="16:16" x14ac:dyDescent="0.25">
      <c r="P11298" s="4"/>
    </row>
    <row r="11299" spans="16:16" x14ac:dyDescent="0.25">
      <c r="P11299" s="4"/>
    </row>
    <row r="11300" spans="16:16" x14ac:dyDescent="0.25">
      <c r="P11300" s="4"/>
    </row>
    <row r="11301" spans="16:16" x14ac:dyDescent="0.25">
      <c r="P11301" s="4"/>
    </row>
    <row r="11302" spans="16:16" x14ac:dyDescent="0.25">
      <c r="P11302" s="4"/>
    </row>
    <row r="11303" spans="16:16" x14ac:dyDescent="0.25">
      <c r="P11303" s="4"/>
    </row>
    <row r="11304" spans="16:16" x14ac:dyDescent="0.25">
      <c r="P11304" s="4"/>
    </row>
    <row r="11305" spans="16:16" x14ac:dyDescent="0.25">
      <c r="P11305" s="4"/>
    </row>
    <row r="11306" spans="16:16" x14ac:dyDescent="0.25">
      <c r="P11306" s="4"/>
    </row>
    <row r="11307" spans="16:16" x14ac:dyDescent="0.25">
      <c r="P11307" s="4"/>
    </row>
    <row r="11308" spans="16:16" x14ac:dyDescent="0.25">
      <c r="P11308" s="4"/>
    </row>
    <row r="11309" spans="16:16" x14ac:dyDescent="0.25">
      <c r="P11309" s="4"/>
    </row>
    <row r="11310" spans="16:16" x14ac:dyDescent="0.25">
      <c r="P11310" s="4"/>
    </row>
    <row r="11311" spans="16:16" x14ac:dyDescent="0.25">
      <c r="P11311" s="4"/>
    </row>
    <row r="11312" spans="16:16" x14ac:dyDescent="0.25">
      <c r="P11312" s="4"/>
    </row>
    <row r="11313" spans="16:16" x14ac:dyDescent="0.25">
      <c r="P11313" s="4"/>
    </row>
    <row r="11314" spans="16:16" x14ac:dyDescent="0.25">
      <c r="P11314" s="4"/>
    </row>
    <row r="11315" spans="16:16" x14ac:dyDescent="0.25">
      <c r="P11315" s="4"/>
    </row>
    <row r="11316" spans="16:16" x14ac:dyDescent="0.25">
      <c r="P11316" s="4"/>
    </row>
    <row r="11317" spans="16:16" x14ac:dyDescent="0.25">
      <c r="P11317" s="4"/>
    </row>
    <row r="11318" spans="16:16" x14ac:dyDescent="0.25">
      <c r="P11318" s="4"/>
    </row>
    <row r="11319" spans="16:16" x14ac:dyDescent="0.25">
      <c r="P11319" s="4"/>
    </row>
    <row r="11320" spans="16:16" x14ac:dyDescent="0.25">
      <c r="P11320" s="4"/>
    </row>
    <row r="11321" spans="16:16" x14ac:dyDescent="0.25">
      <c r="P11321" s="4"/>
    </row>
    <row r="11322" spans="16:16" x14ac:dyDescent="0.25">
      <c r="P11322" s="4"/>
    </row>
    <row r="11323" spans="16:16" x14ac:dyDescent="0.25">
      <c r="P11323" s="4"/>
    </row>
    <row r="11324" spans="16:16" x14ac:dyDescent="0.25">
      <c r="P11324" s="4"/>
    </row>
    <row r="11325" spans="16:16" x14ac:dyDescent="0.25">
      <c r="P11325" s="4"/>
    </row>
    <row r="11326" spans="16:16" x14ac:dyDescent="0.25">
      <c r="P11326" s="4"/>
    </row>
    <row r="11327" spans="16:16" x14ac:dyDescent="0.25">
      <c r="P11327" s="4"/>
    </row>
    <row r="11328" spans="16:16" x14ac:dyDescent="0.25">
      <c r="P11328" s="4"/>
    </row>
    <row r="11329" spans="16:16" x14ac:dyDescent="0.25">
      <c r="P11329" s="4"/>
    </row>
    <row r="11330" spans="16:16" x14ac:dyDescent="0.25">
      <c r="P11330" s="4"/>
    </row>
    <row r="11331" spans="16:16" x14ac:dyDescent="0.25">
      <c r="P11331" s="4"/>
    </row>
    <row r="11332" spans="16:16" x14ac:dyDescent="0.25">
      <c r="P11332" s="4"/>
    </row>
    <row r="11333" spans="16:16" x14ac:dyDescent="0.25">
      <c r="P11333" s="4"/>
    </row>
    <row r="11334" spans="16:16" x14ac:dyDescent="0.25">
      <c r="P11334" s="4"/>
    </row>
    <row r="11335" spans="16:16" x14ac:dyDescent="0.25">
      <c r="P11335" s="4"/>
    </row>
    <row r="11336" spans="16:16" x14ac:dyDescent="0.25">
      <c r="P11336" s="4"/>
    </row>
    <row r="11337" spans="16:16" x14ac:dyDescent="0.25">
      <c r="P11337" s="4"/>
    </row>
    <row r="11338" spans="16:16" x14ac:dyDescent="0.25">
      <c r="P11338" s="4"/>
    </row>
    <row r="11339" spans="16:16" x14ac:dyDescent="0.25">
      <c r="P11339" s="4"/>
    </row>
    <row r="11340" spans="16:16" x14ac:dyDescent="0.25">
      <c r="P11340" s="4"/>
    </row>
    <row r="11341" spans="16:16" x14ac:dyDescent="0.25">
      <c r="P11341" s="4"/>
    </row>
    <row r="11342" spans="16:16" x14ac:dyDescent="0.25">
      <c r="P11342" s="4"/>
    </row>
    <row r="11343" spans="16:16" x14ac:dyDescent="0.25">
      <c r="P11343" s="4"/>
    </row>
    <row r="11344" spans="16:16" x14ac:dyDescent="0.25">
      <c r="P11344" s="4"/>
    </row>
    <row r="11345" spans="16:16" x14ac:dyDescent="0.25">
      <c r="P11345" s="4"/>
    </row>
    <row r="11346" spans="16:16" x14ac:dyDescent="0.25">
      <c r="P11346" s="4"/>
    </row>
    <row r="11347" spans="16:16" x14ac:dyDescent="0.25">
      <c r="P11347" s="4"/>
    </row>
    <row r="11348" spans="16:16" x14ac:dyDescent="0.25">
      <c r="P11348" s="4"/>
    </row>
    <row r="11349" spans="16:16" x14ac:dyDescent="0.25">
      <c r="P11349" s="4"/>
    </row>
    <row r="11350" spans="16:16" x14ac:dyDescent="0.25">
      <c r="P11350" s="4"/>
    </row>
    <row r="11351" spans="16:16" x14ac:dyDescent="0.25">
      <c r="P11351" s="4"/>
    </row>
    <row r="11352" spans="16:16" x14ac:dyDescent="0.25">
      <c r="P11352" s="4"/>
    </row>
    <row r="11353" spans="16:16" x14ac:dyDescent="0.25">
      <c r="P11353" s="4"/>
    </row>
    <row r="11354" spans="16:16" x14ac:dyDescent="0.25">
      <c r="P11354" s="4"/>
    </row>
    <row r="11355" spans="16:16" x14ac:dyDescent="0.25">
      <c r="P11355" s="4"/>
    </row>
    <row r="11356" spans="16:16" x14ac:dyDescent="0.25">
      <c r="P11356" s="4"/>
    </row>
    <row r="11357" spans="16:16" x14ac:dyDescent="0.25">
      <c r="P11357" s="4"/>
    </row>
    <row r="11358" spans="16:16" x14ac:dyDescent="0.25">
      <c r="P11358" s="4"/>
    </row>
    <row r="11359" spans="16:16" x14ac:dyDescent="0.25">
      <c r="P11359" s="4"/>
    </row>
    <row r="11360" spans="16:16" x14ac:dyDescent="0.25">
      <c r="P11360" s="4"/>
    </row>
    <row r="11361" spans="16:16" x14ac:dyDescent="0.25">
      <c r="P11361" s="4"/>
    </row>
    <row r="11362" spans="16:16" x14ac:dyDescent="0.25">
      <c r="P11362" s="4"/>
    </row>
    <row r="11363" spans="16:16" x14ac:dyDescent="0.25">
      <c r="P11363" s="4"/>
    </row>
    <row r="11364" spans="16:16" x14ac:dyDescent="0.25">
      <c r="P11364" s="4"/>
    </row>
    <row r="11365" spans="16:16" x14ac:dyDescent="0.25">
      <c r="P11365" s="4"/>
    </row>
    <row r="11366" spans="16:16" x14ac:dyDescent="0.25">
      <c r="P11366" s="4"/>
    </row>
    <row r="11367" spans="16:16" x14ac:dyDescent="0.25">
      <c r="P11367" s="4"/>
    </row>
    <row r="11368" spans="16:16" x14ac:dyDescent="0.25">
      <c r="P11368" s="4"/>
    </row>
    <row r="11369" spans="16:16" x14ac:dyDescent="0.25">
      <c r="P11369" s="4"/>
    </row>
    <row r="11370" spans="16:16" x14ac:dyDescent="0.25">
      <c r="P11370" s="4"/>
    </row>
    <row r="11371" spans="16:16" x14ac:dyDescent="0.25">
      <c r="P11371" s="4"/>
    </row>
    <row r="11372" spans="16:16" x14ac:dyDescent="0.25">
      <c r="P11372" s="4"/>
    </row>
    <row r="11373" spans="16:16" x14ac:dyDescent="0.25">
      <c r="P11373" s="4"/>
    </row>
    <row r="11374" spans="16:16" x14ac:dyDescent="0.25">
      <c r="P11374" s="4"/>
    </row>
    <row r="11375" spans="16:16" x14ac:dyDescent="0.25">
      <c r="P11375" s="4"/>
    </row>
    <row r="11376" spans="16:16" x14ac:dyDescent="0.25">
      <c r="P11376" s="4"/>
    </row>
    <row r="11377" spans="16:16" x14ac:dyDescent="0.25">
      <c r="P11377" s="4"/>
    </row>
    <row r="11378" spans="16:16" x14ac:dyDescent="0.25">
      <c r="P11378" s="4"/>
    </row>
    <row r="11379" spans="16:16" x14ac:dyDescent="0.25">
      <c r="P11379" s="4"/>
    </row>
    <row r="11380" spans="16:16" x14ac:dyDescent="0.25">
      <c r="P11380" s="4"/>
    </row>
    <row r="11381" spans="16:16" x14ac:dyDescent="0.25">
      <c r="P11381" s="4"/>
    </row>
    <row r="11382" spans="16:16" x14ac:dyDescent="0.25">
      <c r="P11382" s="4"/>
    </row>
    <row r="11383" spans="16:16" x14ac:dyDescent="0.25">
      <c r="P11383" s="4"/>
    </row>
    <row r="11384" spans="16:16" x14ac:dyDescent="0.25">
      <c r="P11384" s="4"/>
    </row>
    <row r="11385" spans="16:16" x14ac:dyDescent="0.25">
      <c r="P11385" s="4"/>
    </row>
    <row r="11386" spans="16:16" x14ac:dyDescent="0.25">
      <c r="P11386" s="4"/>
    </row>
    <row r="11387" spans="16:16" x14ac:dyDescent="0.25">
      <c r="P11387" s="4"/>
    </row>
    <row r="11388" spans="16:16" x14ac:dyDescent="0.25">
      <c r="P11388" s="4"/>
    </row>
    <row r="11389" spans="16:16" x14ac:dyDescent="0.25">
      <c r="P11389" s="4"/>
    </row>
    <row r="11390" spans="16:16" x14ac:dyDescent="0.25">
      <c r="P11390" s="4"/>
    </row>
    <row r="11391" spans="16:16" x14ac:dyDescent="0.25">
      <c r="P11391" s="4"/>
    </row>
    <row r="11392" spans="16:16" x14ac:dyDescent="0.25">
      <c r="P11392" s="4"/>
    </row>
    <row r="11393" spans="16:16" x14ac:dyDescent="0.25">
      <c r="P11393" s="4"/>
    </row>
    <row r="11394" spans="16:16" x14ac:dyDescent="0.25">
      <c r="P11394" s="4"/>
    </row>
    <row r="11395" spans="16:16" x14ac:dyDescent="0.25">
      <c r="P11395" s="4"/>
    </row>
    <row r="11396" spans="16:16" x14ac:dyDescent="0.25">
      <c r="P11396" s="4"/>
    </row>
    <row r="11397" spans="16:16" x14ac:dyDescent="0.25">
      <c r="P11397" s="4"/>
    </row>
    <row r="11398" spans="16:16" x14ac:dyDescent="0.25">
      <c r="P11398" s="4"/>
    </row>
    <row r="11399" spans="16:16" x14ac:dyDescent="0.25">
      <c r="P11399" s="4"/>
    </row>
    <row r="11400" spans="16:16" x14ac:dyDescent="0.25">
      <c r="P11400" s="4"/>
    </row>
    <row r="11401" spans="16:16" x14ac:dyDescent="0.25">
      <c r="P11401" s="4"/>
    </row>
    <row r="11402" spans="16:16" x14ac:dyDescent="0.25">
      <c r="P11402" s="4"/>
    </row>
    <row r="11403" spans="16:16" x14ac:dyDescent="0.25">
      <c r="P11403" s="4"/>
    </row>
    <row r="11404" spans="16:16" x14ac:dyDescent="0.25">
      <c r="P11404" s="4"/>
    </row>
    <row r="11405" spans="16:16" x14ac:dyDescent="0.25">
      <c r="P11405" s="4"/>
    </row>
    <row r="11406" spans="16:16" x14ac:dyDescent="0.25">
      <c r="P11406" s="4"/>
    </row>
    <row r="11407" spans="16:16" x14ac:dyDescent="0.25">
      <c r="P11407" s="4"/>
    </row>
    <row r="11408" spans="16:16" x14ac:dyDescent="0.25">
      <c r="P11408" s="4"/>
    </row>
    <row r="11409" spans="16:16" x14ac:dyDescent="0.25">
      <c r="P11409" s="4"/>
    </row>
    <row r="11410" spans="16:16" x14ac:dyDescent="0.25">
      <c r="P11410" s="4"/>
    </row>
    <row r="11411" spans="16:16" x14ac:dyDescent="0.25">
      <c r="P11411" s="4"/>
    </row>
    <row r="11412" spans="16:16" x14ac:dyDescent="0.25">
      <c r="P11412" s="4"/>
    </row>
    <row r="11413" spans="16:16" x14ac:dyDescent="0.25">
      <c r="P11413" s="4"/>
    </row>
    <row r="11414" spans="16:16" x14ac:dyDescent="0.25">
      <c r="P11414" s="4"/>
    </row>
    <row r="11415" spans="16:16" x14ac:dyDescent="0.25">
      <c r="P11415" s="4"/>
    </row>
    <row r="11416" spans="16:16" x14ac:dyDescent="0.25">
      <c r="P11416" s="4"/>
    </row>
    <row r="11417" spans="16:16" x14ac:dyDescent="0.25">
      <c r="P11417" s="4"/>
    </row>
    <row r="11418" spans="16:16" x14ac:dyDescent="0.25">
      <c r="P11418" s="4"/>
    </row>
    <row r="11419" spans="16:16" x14ac:dyDescent="0.25">
      <c r="P11419" s="4"/>
    </row>
    <row r="11420" spans="16:16" x14ac:dyDescent="0.25">
      <c r="P11420" s="4"/>
    </row>
    <row r="11421" spans="16:16" x14ac:dyDescent="0.25">
      <c r="P11421" s="4"/>
    </row>
    <row r="11422" spans="16:16" x14ac:dyDescent="0.25">
      <c r="P11422" s="4"/>
    </row>
    <row r="11423" spans="16:16" x14ac:dyDescent="0.25">
      <c r="P11423" s="4"/>
    </row>
    <row r="11424" spans="16:16" x14ac:dyDescent="0.25">
      <c r="P11424" s="4"/>
    </row>
    <row r="11425" spans="16:16" x14ac:dyDescent="0.25">
      <c r="P11425" s="4"/>
    </row>
    <row r="11426" spans="16:16" x14ac:dyDescent="0.25">
      <c r="P11426" s="4"/>
    </row>
    <row r="11427" spans="16:16" x14ac:dyDescent="0.25">
      <c r="P11427" s="4"/>
    </row>
    <row r="11428" spans="16:16" x14ac:dyDescent="0.25">
      <c r="P11428" s="4"/>
    </row>
    <row r="11429" spans="16:16" x14ac:dyDescent="0.25">
      <c r="P11429" s="4"/>
    </row>
    <row r="11430" spans="16:16" x14ac:dyDescent="0.25">
      <c r="P11430" s="4"/>
    </row>
    <row r="11431" spans="16:16" x14ac:dyDescent="0.25">
      <c r="P11431" s="4"/>
    </row>
    <row r="11432" spans="16:16" x14ac:dyDescent="0.25">
      <c r="P11432" s="4"/>
    </row>
    <row r="11433" spans="16:16" x14ac:dyDescent="0.25">
      <c r="P11433" s="4"/>
    </row>
    <row r="11434" spans="16:16" x14ac:dyDescent="0.25">
      <c r="P11434" s="4"/>
    </row>
    <row r="11435" spans="16:16" x14ac:dyDescent="0.25">
      <c r="P11435" s="4"/>
    </row>
    <row r="11436" spans="16:16" x14ac:dyDescent="0.25">
      <c r="P11436" s="4"/>
    </row>
    <row r="11437" spans="16:16" x14ac:dyDescent="0.25">
      <c r="P11437" s="4"/>
    </row>
    <row r="11438" spans="16:16" x14ac:dyDescent="0.25">
      <c r="P11438" s="4"/>
    </row>
    <row r="11439" spans="16:16" x14ac:dyDescent="0.25">
      <c r="P11439" s="4"/>
    </row>
    <row r="11440" spans="16:16" x14ac:dyDescent="0.25">
      <c r="P11440" s="4"/>
    </row>
    <row r="11441" spans="16:16" x14ac:dyDescent="0.25">
      <c r="P11441" s="4"/>
    </row>
    <row r="11442" spans="16:16" x14ac:dyDescent="0.25">
      <c r="P11442" s="4"/>
    </row>
    <row r="11443" spans="16:16" x14ac:dyDescent="0.25">
      <c r="P11443" s="4"/>
    </row>
    <row r="11444" spans="16:16" x14ac:dyDescent="0.25">
      <c r="P11444" s="4"/>
    </row>
    <row r="11445" spans="16:16" x14ac:dyDescent="0.25">
      <c r="P11445" s="4"/>
    </row>
    <row r="11446" spans="16:16" x14ac:dyDescent="0.25">
      <c r="P11446" s="4"/>
    </row>
    <row r="11447" spans="16:16" x14ac:dyDescent="0.25">
      <c r="P11447" s="4"/>
    </row>
    <row r="11448" spans="16:16" x14ac:dyDescent="0.25">
      <c r="P11448" s="4"/>
    </row>
    <row r="11449" spans="16:16" x14ac:dyDescent="0.25">
      <c r="P11449" s="4"/>
    </row>
    <row r="11450" spans="16:16" x14ac:dyDescent="0.25">
      <c r="P11450" s="4"/>
    </row>
    <row r="11451" spans="16:16" x14ac:dyDescent="0.25">
      <c r="P11451" s="4"/>
    </row>
    <row r="11452" spans="16:16" x14ac:dyDescent="0.25">
      <c r="P11452" s="4"/>
    </row>
    <row r="11453" spans="16:16" x14ac:dyDescent="0.25">
      <c r="P11453" s="4"/>
    </row>
    <row r="11454" spans="16:16" x14ac:dyDescent="0.25">
      <c r="P11454" s="4"/>
    </row>
    <row r="11455" spans="16:16" x14ac:dyDescent="0.25">
      <c r="P11455" s="4"/>
    </row>
    <row r="11456" spans="16:16" x14ac:dyDescent="0.25">
      <c r="P11456" s="4"/>
    </row>
    <row r="11457" spans="16:16" x14ac:dyDescent="0.25">
      <c r="P11457" s="4"/>
    </row>
    <row r="11458" spans="16:16" x14ac:dyDescent="0.25">
      <c r="P11458" s="4"/>
    </row>
    <row r="11459" spans="16:16" x14ac:dyDescent="0.25">
      <c r="P11459" s="4"/>
    </row>
    <row r="11460" spans="16:16" x14ac:dyDescent="0.25">
      <c r="P11460" s="4"/>
    </row>
    <row r="11461" spans="16:16" x14ac:dyDescent="0.25">
      <c r="P11461" s="4"/>
    </row>
    <row r="11462" spans="16:16" x14ac:dyDescent="0.25">
      <c r="P11462" s="4"/>
    </row>
    <row r="11463" spans="16:16" x14ac:dyDescent="0.25">
      <c r="P11463" s="4"/>
    </row>
    <row r="11464" spans="16:16" x14ac:dyDescent="0.25">
      <c r="P11464" s="4"/>
    </row>
    <row r="11465" spans="16:16" x14ac:dyDescent="0.25">
      <c r="P11465" s="4"/>
    </row>
    <row r="11466" spans="16:16" x14ac:dyDescent="0.25">
      <c r="P11466" s="4"/>
    </row>
    <row r="11467" spans="16:16" x14ac:dyDescent="0.25">
      <c r="P11467" s="4"/>
    </row>
    <row r="11468" spans="16:16" x14ac:dyDescent="0.25">
      <c r="P11468" s="4"/>
    </row>
    <row r="11469" spans="16:16" x14ac:dyDescent="0.25">
      <c r="P11469" s="4"/>
    </row>
    <row r="11470" spans="16:16" x14ac:dyDescent="0.25">
      <c r="P11470" s="4"/>
    </row>
    <row r="11471" spans="16:16" x14ac:dyDescent="0.25">
      <c r="P11471" s="4"/>
    </row>
    <row r="11472" spans="16:16" x14ac:dyDescent="0.25">
      <c r="P11472" s="4"/>
    </row>
    <row r="11473" spans="16:16" x14ac:dyDescent="0.25">
      <c r="P11473" s="4"/>
    </row>
    <row r="11474" spans="16:16" x14ac:dyDescent="0.25">
      <c r="P11474" s="4"/>
    </row>
    <row r="11475" spans="16:16" x14ac:dyDescent="0.25">
      <c r="P11475" s="4"/>
    </row>
    <row r="11476" spans="16:16" x14ac:dyDescent="0.25">
      <c r="P11476" s="4"/>
    </row>
    <row r="11477" spans="16:16" x14ac:dyDescent="0.25">
      <c r="P11477" s="4"/>
    </row>
    <row r="11478" spans="16:16" x14ac:dyDescent="0.25">
      <c r="P11478" s="4"/>
    </row>
    <row r="11479" spans="16:16" x14ac:dyDescent="0.25">
      <c r="P11479" s="4"/>
    </row>
    <row r="11480" spans="16:16" x14ac:dyDescent="0.25">
      <c r="P11480" s="4"/>
    </row>
    <row r="11481" spans="16:16" x14ac:dyDescent="0.25">
      <c r="P11481" s="4"/>
    </row>
    <row r="11482" spans="16:16" x14ac:dyDescent="0.25">
      <c r="P11482" s="4"/>
    </row>
    <row r="11483" spans="16:16" x14ac:dyDescent="0.25">
      <c r="P11483" s="4"/>
    </row>
    <row r="11484" spans="16:16" x14ac:dyDescent="0.25">
      <c r="P11484" s="4"/>
    </row>
    <row r="11485" spans="16:16" x14ac:dyDescent="0.25">
      <c r="P11485" s="4"/>
    </row>
    <row r="11486" spans="16:16" x14ac:dyDescent="0.25">
      <c r="P11486" s="4"/>
    </row>
    <row r="11487" spans="16:16" x14ac:dyDescent="0.25">
      <c r="P11487" s="4"/>
    </row>
    <row r="11488" spans="16:16" x14ac:dyDescent="0.25">
      <c r="P11488" s="4"/>
    </row>
    <row r="11489" spans="16:16" x14ac:dyDescent="0.25">
      <c r="P11489" s="4"/>
    </row>
    <row r="11490" spans="16:16" x14ac:dyDescent="0.25">
      <c r="P11490" s="4"/>
    </row>
    <row r="11491" spans="16:16" x14ac:dyDescent="0.25">
      <c r="P11491" s="4"/>
    </row>
    <row r="11492" spans="16:16" x14ac:dyDescent="0.25">
      <c r="P11492" s="4"/>
    </row>
    <row r="11493" spans="16:16" x14ac:dyDescent="0.25">
      <c r="P11493" s="4"/>
    </row>
    <row r="11494" spans="16:16" x14ac:dyDescent="0.25">
      <c r="P11494" s="4"/>
    </row>
    <row r="11495" spans="16:16" x14ac:dyDescent="0.25">
      <c r="P11495" s="4"/>
    </row>
    <row r="11496" spans="16:16" x14ac:dyDescent="0.25">
      <c r="P11496" s="4"/>
    </row>
    <row r="11497" spans="16:16" x14ac:dyDescent="0.25">
      <c r="P11497" s="4"/>
    </row>
    <row r="11498" spans="16:16" x14ac:dyDescent="0.25">
      <c r="P11498" s="4"/>
    </row>
    <row r="11499" spans="16:16" x14ac:dyDescent="0.25">
      <c r="P11499" s="4"/>
    </row>
    <row r="11500" spans="16:16" x14ac:dyDescent="0.25">
      <c r="P11500" s="4"/>
    </row>
    <row r="11501" spans="16:16" x14ac:dyDescent="0.25">
      <c r="P11501" s="4"/>
    </row>
    <row r="11502" spans="16:16" x14ac:dyDescent="0.25">
      <c r="P11502" s="4"/>
    </row>
    <row r="11503" spans="16:16" x14ac:dyDescent="0.25">
      <c r="P11503" s="4"/>
    </row>
    <row r="11504" spans="16:16" x14ac:dyDescent="0.25">
      <c r="P11504" s="4"/>
    </row>
    <row r="11505" spans="16:16" x14ac:dyDescent="0.25">
      <c r="P11505" s="4"/>
    </row>
    <row r="11506" spans="16:16" x14ac:dyDescent="0.25">
      <c r="P11506" s="4"/>
    </row>
    <row r="11507" spans="16:16" x14ac:dyDescent="0.25">
      <c r="P11507" s="4"/>
    </row>
    <row r="11508" spans="16:16" x14ac:dyDescent="0.25">
      <c r="P11508" s="4"/>
    </row>
    <row r="11509" spans="16:16" x14ac:dyDescent="0.25">
      <c r="P11509" s="4"/>
    </row>
    <row r="11510" spans="16:16" x14ac:dyDescent="0.25">
      <c r="P11510" s="4"/>
    </row>
    <row r="11511" spans="16:16" x14ac:dyDescent="0.25">
      <c r="P11511" s="4"/>
    </row>
    <row r="11512" spans="16:16" x14ac:dyDescent="0.25">
      <c r="P11512" s="4"/>
    </row>
    <row r="11513" spans="16:16" x14ac:dyDescent="0.25">
      <c r="P11513" s="4"/>
    </row>
    <row r="11514" spans="16:16" x14ac:dyDescent="0.25">
      <c r="P11514" s="4"/>
    </row>
    <row r="11515" spans="16:16" x14ac:dyDescent="0.25">
      <c r="P11515" s="4"/>
    </row>
    <row r="11516" spans="16:16" x14ac:dyDescent="0.25">
      <c r="P11516" s="4"/>
    </row>
    <row r="11517" spans="16:16" x14ac:dyDescent="0.25">
      <c r="P11517" s="4"/>
    </row>
    <row r="11518" spans="16:16" x14ac:dyDescent="0.25">
      <c r="P11518" s="4"/>
    </row>
    <row r="11519" spans="16:16" x14ac:dyDescent="0.25">
      <c r="P11519" s="4"/>
    </row>
    <row r="11520" spans="16:16" x14ac:dyDescent="0.25">
      <c r="P11520" s="4"/>
    </row>
    <row r="11521" spans="16:16" x14ac:dyDescent="0.25">
      <c r="P11521" s="4"/>
    </row>
    <row r="11522" spans="16:16" x14ac:dyDescent="0.25">
      <c r="P11522" s="4"/>
    </row>
    <row r="11523" spans="16:16" x14ac:dyDescent="0.25">
      <c r="P11523" s="4"/>
    </row>
    <row r="11524" spans="16:16" x14ac:dyDescent="0.25">
      <c r="P11524" s="4"/>
    </row>
    <row r="11525" spans="16:16" x14ac:dyDescent="0.25">
      <c r="P11525" s="4"/>
    </row>
    <row r="11526" spans="16:16" x14ac:dyDescent="0.25">
      <c r="P11526" s="4"/>
    </row>
    <row r="11527" spans="16:16" x14ac:dyDescent="0.25">
      <c r="P11527" s="4"/>
    </row>
    <row r="11528" spans="16:16" x14ac:dyDescent="0.25">
      <c r="P11528" s="4"/>
    </row>
    <row r="11529" spans="16:16" x14ac:dyDescent="0.25">
      <c r="P11529" s="4"/>
    </row>
    <row r="11530" spans="16:16" x14ac:dyDescent="0.25">
      <c r="P11530" s="4"/>
    </row>
    <row r="11531" spans="16:16" x14ac:dyDescent="0.25">
      <c r="P11531" s="4"/>
    </row>
    <row r="11532" spans="16:16" x14ac:dyDescent="0.25">
      <c r="P11532" s="4"/>
    </row>
    <row r="11533" spans="16:16" x14ac:dyDescent="0.25">
      <c r="P11533" s="4"/>
    </row>
    <row r="11534" spans="16:16" x14ac:dyDescent="0.25">
      <c r="P11534" s="4"/>
    </row>
    <row r="11535" spans="16:16" x14ac:dyDescent="0.25">
      <c r="P11535" s="4"/>
    </row>
    <row r="11536" spans="16:16" x14ac:dyDescent="0.25">
      <c r="P11536" s="4"/>
    </row>
    <row r="11537" spans="16:16" x14ac:dyDescent="0.25">
      <c r="P11537" s="4"/>
    </row>
    <row r="11538" spans="16:16" x14ac:dyDescent="0.25">
      <c r="P11538" s="4"/>
    </row>
    <row r="11539" spans="16:16" x14ac:dyDescent="0.25">
      <c r="P11539" s="4"/>
    </row>
    <row r="11540" spans="16:16" x14ac:dyDescent="0.25">
      <c r="P11540" s="4"/>
    </row>
    <row r="11541" spans="16:16" x14ac:dyDescent="0.25">
      <c r="P11541" s="4"/>
    </row>
    <row r="11542" spans="16:16" x14ac:dyDescent="0.25">
      <c r="P11542" s="4"/>
    </row>
    <row r="11543" spans="16:16" x14ac:dyDescent="0.25">
      <c r="P11543" s="4"/>
    </row>
    <row r="11544" spans="16:16" x14ac:dyDescent="0.25">
      <c r="P11544" s="4"/>
    </row>
    <row r="11545" spans="16:16" x14ac:dyDescent="0.25">
      <c r="P11545" s="4"/>
    </row>
    <row r="11546" spans="16:16" x14ac:dyDescent="0.25">
      <c r="P11546" s="4"/>
    </row>
    <row r="11547" spans="16:16" x14ac:dyDescent="0.25">
      <c r="P11547" s="4"/>
    </row>
    <row r="11548" spans="16:16" x14ac:dyDescent="0.25">
      <c r="P11548" s="4"/>
    </row>
    <row r="11549" spans="16:16" x14ac:dyDescent="0.25">
      <c r="P11549" s="4"/>
    </row>
    <row r="11550" spans="16:16" x14ac:dyDescent="0.25">
      <c r="P11550" s="4"/>
    </row>
    <row r="11551" spans="16:16" x14ac:dyDescent="0.25">
      <c r="P11551" s="4"/>
    </row>
    <row r="11552" spans="16:16" x14ac:dyDescent="0.25">
      <c r="P11552" s="4"/>
    </row>
    <row r="11553" spans="16:16" x14ac:dyDescent="0.25">
      <c r="P11553" s="4"/>
    </row>
    <row r="11554" spans="16:16" x14ac:dyDescent="0.25">
      <c r="P11554" s="4"/>
    </row>
    <row r="11555" spans="16:16" x14ac:dyDescent="0.25">
      <c r="P11555" s="4"/>
    </row>
    <row r="11556" spans="16:16" x14ac:dyDescent="0.25">
      <c r="P11556" s="4"/>
    </row>
    <row r="11557" spans="16:16" x14ac:dyDescent="0.25">
      <c r="P11557" s="4"/>
    </row>
    <row r="11558" spans="16:16" x14ac:dyDescent="0.25">
      <c r="P11558" s="4"/>
    </row>
    <row r="11559" spans="16:16" x14ac:dyDescent="0.25">
      <c r="P11559" s="4"/>
    </row>
    <row r="11560" spans="16:16" x14ac:dyDescent="0.25">
      <c r="P11560" s="4"/>
    </row>
    <row r="11561" spans="16:16" x14ac:dyDescent="0.25">
      <c r="P11561" s="4"/>
    </row>
    <row r="11562" spans="16:16" x14ac:dyDescent="0.25">
      <c r="P11562" s="4"/>
    </row>
    <row r="11563" spans="16:16" x14ac:dyDescent="0.25">
      <c r="P11563" s="4"/>
    </row>
    <row r="11564" spans="16:16" x14ac:dyDescent="0.25">
      <c r="P11564" s="4"/>
    </row>
    <row r="11565" spans="16:16" x14ac:dyDescent="0.25">
      <c r="P11565" s="4"/>
    </row>
    <row r="11566" spans="16:16" x14ac:dyDescent="0.25">
      <c r="P11566" s="4"/>
    </row>
    <row r="11567" spans="16:16" x14ac:dyDescent="0.25">
      <c r="P11567" s="4"/>
    </row>
    <row r="11568" spans="16:16" x14ac:dyDescent="0.25">
      <c r="P11568" s="4"/>
    </row>
    <row r="11569" spans="16:16" x14ac:dyDescent="0.25">
      <c r="P11569" s="4"/>
    </row>
    <row r="11570" spans="16:16" x14ac:dyDescent="0.25">
      <c r="P11570" s="4"/>
    </row>
    <row r="11571" spans="16:16" x14ac:dyDescent="0.25">
      <c r="P11571" s="4"/>
    </row>
    <row r="11572" spans="16:16" x14ac:dyDescent="0.25">
      <c r="P11572" s="4"/>
    </row>
    <row r="11573" spans="16:16" x14ac:dyDescent="0.25">
      <c r="P11573" s="4"/>
    </row>
    <row r="11574" spans="16:16" x14ac:dyDescent="0.25">
      <c r="P11574" s="4"/>
    </row>
    <row r="11575" spans="16:16" x14ac:dyDescent="0.25">
      <c r="P11575" s="4"/>
    </row>
    <row r="11576" spans="16:16" x14ac:dyDescent="0.25">
      <c r="P11576" s="4"/>
    </row>
    <row r="11577" spans="16:16" x14ac:dyDescent="0.25">
      <c r="P11577" s="4"/>
    </row>
    <row r="11578" spans="16:16" x14ac:dyDescent="0.25">
      <c r="P11578" s="4"/>
    </row>
    <row r="11579" spans="16:16" x14ac:dyDescent="0.25">
      <c r="P11579" s="4"/>
    </row>
    <row r="11580" spans="16:16" x14ac:dyDescent="0.25">
      <c r="P11580" s="4"/>
    </row>
    <row r="11581" spans="16:16" x14ac:dyDescent="0.25">
      <c r="P11581" s="4"/>
    </row>
    <row r="11582" spans="16:16" x14ac:dyDescent="0.25">
      <c r="P11582" s="4"/>
    </row>
    <row r="11583" spans="16:16" x14ac:dyDescent="0.25">
      <c r="P11583" s="4"/>
    </row>
    <row r="11584" spans="16:16" x14ac:dyDescent="0.25">
      <c r="P11584" s="4"/>
    </row>
    <row r="11585" spans="16:16" x14ac:dyDescent="0.25">
      <c r="P11585" s="4"/>
    </row>
    <row r="11586" spans="16:16" x14ac:dyDescent="0.25">
      <c r="P11586" s="4"/>
    </row>
    <row r="11587" spans="16:16" x14ac:dyDescent="0.25">
      <c r="P11587" s="4"/>
    </row>
    <row r="11588" spans="16:16" x14ac:dyDescent="0.25">
      <c r="P11588" s="4"/>
    </row>
    <row r="11589" spans="16:16" x14ac:dyDescent="0.25">
      <c r="P11589" s="4"/>
    </row>
    <row r="11590" spans="16:16" x14ac:dyDescent="0.25">
      <c r="P11590" s="4"/>
    </row>
    <row r="11591" spans="16:16" x14ac:dyDescent="0.25">
      <c r="P11591" s="4"/>
    </row>
    <row r="11592" spans="16:16" x14ac:dyDescent="0.25">
      <c r="P11592" s="4"/>
    </row>
    <row r="11593" spans="16:16" x14ac:dyDescent="0.25">
      <c r="P11593" s="4"/>
    </row>
    <row r="11594" spans="16:16" x14ac:dyDescent="0.25">
      <c r="P11594" s="4"/>
    </row>
    <row r="11595" spans="16:16" x14ac:dyDescent="0.25">
      <c r="P11595" s="4"/>
    </row>
    <row r="11596" spans="16:16" x14ac:dyDescent="0.25">
      <c r="P11596" s="4"/>
    </row>
    <row r="11597" spans="16:16" x14ac:dyDescent="0.25">
      <c r="P11597" s="4"/>
    </row>
    <row r="11598" spans="16:16" x14ac:dyDescent="0.25">
      <c r="P11598" s="4"/>
    </row>
    <row r="11599" spans="16:16" x14ac:dyDescent="0.25">
      <c r="P11599" s="4"/>
    </row>
    <row r="11600" spans="16:16" x14ac:dyDescent="0.25">
      <c r="P11600" s="4"/>
    </row>
    <row r="11601" spans="16:16" x14ac:dyDescent="0.25">
      <c r="P11601" s="4"/>
    </row>
    <row r="11602" spans="16:16" x14ac:dyDescent="0.25">
      <c r="P11602" s="4"/>
    </row>
    <row r="11603" spans="16:16" x14ac:dyDescent="0.25">
      <c r="P11603" s="4"/>
    </row>
    <row r="11604" spans="16:16" x14ac:dyDescent="0.25">
      <c r="P11604" s="4"/>
    </row>
    <row r="11605" spans="16:16" x14ac:dyDescent="0.25">
      <c r="P11605" s="4"/>
    </row>
    <row r="11606" spans="16:16" x14ac:dyDescent="0.25">
      <c r="P11606" s="4"/>
    </row>
    <row r="11607" spans="16:16" x14ac:dyDescent="0.25">
      <c r="P11607" s="4"/>
    </row>
    <row r="11608" spans="16:16" x14ac:dyDescent="0.25">
      <c r="P11608" s="4"/>
    </row>
    <row r="11609" spans="16:16" x14ac:dyDescent="0.25">
      <c r="P11609" s="4"/>
    </row>
    <row r="11610" spans="16:16" x14ac:dyDescent="0.25">
      <c r="P11610" s="4"/>
    </row>
    <row r="11611" spans="16:16" x14ac:dyDescent="0.25">
      <c r="P11611" s="4"/>
    </row>
    <row r="11612" spans="16:16" x14ac:dyDescent="0.25">
      <c r="P11612" s="4"/>
    </row>
    <row r="11613" spans="16:16" x14ac:dyDescent="0.25">
      <c r="P11613" s="4"/>
    </row>
    <row r="11614" spans="16:16" x14ac:dyDescent="0.25">
      <c r="P11614" s="4"/>
    </row>
    <row r="11615" spans="16:16" x14ac:dyDescent="0.25">
      <c r="P11615" s="4"/>
    </row>
    <row r="11616" spans="16:16" x14ac:dyDescent="0.25">
      <c r="P11616" s="4"/>
    </row>
    <row r="11617" spans="16:16" x14ac:dyDescent="0.25">
      <c r="P11617" s="4"/>
    </row>
    <row r="11618" spans="16:16" x14ac:dyDescent="0.25">
      <c r="P11618" s="4"/>
    </row>
    <row r="11619" spans="16:16" x14ac:dyDescent="0.25">
      <c r="P11619" s="4"/>
    </row>
    <row r="11620" spans="16:16" x14ac:dyDescent="0.25">
      <c r="P11620" s="4"/>
    </row>
    <row r="11621" spans="16:16" x14ac:dyDescent="0.25">
      <c r="P11621" s="4"/>
    </row>
    <row r="11622" spans="16:16" x14ac:dyDescent="0.25">
      <c r="P11622" s="4"/>
    </row>
    <row r="11623" spans="16:16" x14ac:dyDescent="0.25">
      <c r="P11623" s="4"/>
    </row>
    <row r="11624" spans="16:16" x14ac:dyDescent="0.25">
      <c r="P11624" s="4"/>
    </row>
    <row r="11625" spans="16:16" x14ac:dyDescent="0.25">
      <c r="P11625" s="4"/>
    </row>
    <row r="11626" spans="16:16" x14ac:dyDescent="0.25">
      <c r="P11626" s="4"/>
    </row>
    <row r="11627" spans="16:16" x14ac:dyDescent="0.25">
      <c r="P11627" s="4"/>
    </row>
    <row r="11628" spans="16:16" x14ac:dyDescent="0.25">
      <c r="P11628" s="4"/>
    </row>
    <row r="11629" spans="16:16" x14ac:dyDescent="0.25">
      <c r="P11629" s="4"/>
    </row>
    <row r="11630" spans="16:16" x14ac:dyDescent="0.25">
      <c r="P11630" s="4"/>
    </row>
    <row r="11631" spans="16:16" x14ac:dyDescent="0.25">
      <c r="P11631" s="4"/>
    </row>
    <row r="11632" spans="16:16" x14ac:dyDescent="0.25">
      <c r="P11632" s="4"/>
    </row>
    <row r="11633" spans="16:16" x14ac:dyDescent="0.25">
      <c r="P11633" s="4"/>
    </row>
    <row r="11634" spans="16:16" x14ac:dyDescent="0.25">
      <c r="P11634" s="4"/>
    </row>
    <row r="11635" spans="16:16" x14ac:dyDescent="0.25">
      <c r="P11635" s="4"/>
    </row>
    <row r="11636" spans="16:16" x14ac:dyDescent="0.25">
      <c r="P11636" s="4"/>
    </row>
    <row r="11637" spans="16:16" x14ac:dyDescent="0.25">
      <c r="P11637" s="4"/>
    </row>
    <row r="11638" spans="16:16" x14ac:dyDescent="0.25">
      <c r="P11638" s="4"/>
    </row>
    <row r="11639" spans="16:16" x14ac:dyDescent="0.25">
      <c r="P11639" s="4"/>
    </row>
    <row r="11640" spans="16:16" x14ac:dyDescent="0.25">
      <c r="P11640" s="4"/>
    </row>
    <row r="11641" spans="16:16" x14ac:dyDescent="0.25">
      <c r="P11641" s="4"/>
    </row>
    <row r="11642" spans="16:16" x14ac:dyDescent="0.25">
      <c r="P11642" s="4"/>
    </row>
    <row r="11643" spans="16:16" x14ac:dyDescent="0.25">
      <c r="P11643" s="4"/>
    </row>
    <row r="11644" spans="16:16" x14ac:dyDescent="0.25">
      <c r="P11644" s="4"/>
    </row>
    <row r="11645" spans="16:16" x14ac:dyDescent="0.25">
      <c r="P11645" s="4"/>
    </row>
    <row r="11646" spans="16:16" x14ac:dyDescent="0.25">
      <c r="P11646" s="4"/>
    </row>
    <row r="11647" spans="16:16" x14ac:dyDescent="0.25">
      <c r="P11647" s="4"/>
    </row>
    <row r="11648" spans="16:16" x14ac:dyDescent="0.25">
      <c r="P11648" s="4"/>
    </row>
    <row r="11649" spans="16:16" x14ac:dyDescent="0.25">
      <c r="P11649" s="4"/>
    </row>
    <row r="11650" spans="16:16" x14ac:dyDescent="0.25">
      <c r="P11650" s="4"/>
    </row>
    <row r="11651" spans="16:16" x14ac:dyDescent="0.25">
      <c r="P11651" s="4"/>
    </row>
    <row r="11652" spans="16:16" x14ac:dyDescent="0.25">
      <c r="P11652" s="4"/>
    </row>
    <row r="11653" spans="16:16" x14ac:dyDescent="0.25">
      <c r="P11653" s="4"/>
    </row>
    <row r="11654" spans="16:16" x14ac:dyDescent="0.25">
      <c r="P11654" s="4"/>
    </row>
    <row r="11655" spans="16:16" x14ac:dyDescent="0.25">
      <c r="P11655" s="4"/>
    </row>
    <row r="11656" spans="16:16" x14ac:dyDescent="0.25">
      <c r="P11656" s="4"/>
    </row>
    <row r="11657" spans="16:16" x14ac:dyDescent="0.25">
      <c r="P11657" s="4"/>
    </row>
    <row r="11658" spans="16:16" x14ac:dyDescent="0.25">
      <c r="P11658" s="4"/>
    </row>
    <row r="11659" spans="16:16" x14ac:dyDescent="0.25">
      <c r="P11659" s="4"/>
    </row>
    <row r="11660" spans="16:16" x14ac:dyDescent="0.25">
      <c r="P11660" s="4"/>
    </row>
    <row r="11661" spans="16:16" x14ac:dyDescent="0.25">
      <c r="P11661" s="4"/>
    </row>
    <row r="11662" spans="16:16" x14ac:dyDescent="0.25">
      <c r="P11662" s="4"/>
    </row>
    <row r="11663" spans="16:16" x14ac:dyDescent="0.25">
      <c r="P11663" s="4"/>
    </row>
    <row r="11664" spans="16:16" x14ac:dyDescent="0.25">
      <c r="P11664" s="4"/>
    </row>
    <row r="11665" spans="16:16" x14ac:dyDescent="0.25">
      <c r="P11665" s="4"/>
    </row>
    <row r="11666" spans="16:16" x14ac:dyDescent="0.25">
      <c r="P11666" s="4"/>
    </row>
    <row r="11667" spans="16:16" x14ac:dyDescent="0.25">
      <c r="P11667" s="4"/>
    </row>
    <row r="11668" spans="16:16" x14ac:dyDescent="0.25">
      <c r="P11668" s="4"/>
    </row>
    <row r="11669" spans="16:16" x14ac:dyDescent="0.25">
      <c r="P11669" s="4"/>
    </row>
    <row r="11670" spans="16:16" x14ac:dyDescent="0.25">
      <c r="P11670" s="4"/>
    </row>
    <row r="11671" spans="16:16" x14ac:dyDescent="0.25">
      <c r="P11671" s="4"/>
    </row>
    <row r="11672" spans="16:16" x14ac:dyDescent="0.25">
      <c r="P11672" s="4"/>
    </row>
    <row r="11673" spans="16:16" x14ac:dyDescent="0.25">
      <c r="P11673" s="4"/>
    </row>
    <row r="11674" spans="16:16" x14ac:dyDescent="0.25">
      <c r="P11674" s="4"/>
    </row>
    <row r="11675" spans="16:16" x14ac:dyDescent="0.25">
      <c r="P11675" s="4"/>
    </row>
    <row r="11676" spans="16:16" x14ac:dyDescent="0.25">
      <c r="P11676" s="4"/>
    </row>
    <row r="11677" spans="16:16" x14ac:dyDescent="0.25">
      <c r="P11677" s="4"/>
    </row>
    <row r="11678" spans="16:16" x14ac:dyDescent="0.25">
      <c r="P11678" s="4"/>
    </row>
    <row r="11679" spans="16:16" x14ac:dyDescent="0.25">
      <c r="P11679" s="4"/>
    </row>
    <row r="11680" spans="16:16" x14ac:dyDescent="0.25">
      <c r="P11680" s="4"/>
    </row>
    <row r="11681" spans="16:16" x14ac:dyDescent="0.25">
      <c r="P11681" s="4"/>
    </row>
    <row r="11682" spans="16:16" x14ac:dyDescent="0.25">
      <c r="P11682" s="4"/>
    </row>
    <row r="11683" spans="16:16" x14ac:dyDescent="0.25">
      <c r="P11683" s="4"/>
    </row>
    <row r="11684" spans="16:16" x14ac:dyDescent="0.25">
      <c r="P11684" s="4"/>
    </row>
    <row r="11685" spans="16:16" x14ac:dyDescent="0.25">
      <c r="P11685" s="4"/>
    </row>
    <row r="11686" spans="16:16" x14ac:dyDescent="0.25">
      <c r="P11686" s="4"/>
    </row>
    <row r="11687" spans="16:16" x14ac:dyDescent="0.25">
      <c r="P11687" s="4"/>
    </row>
    <row r="11688" spans="16:16" x14ac:dyDescent="0.25">
      <c r="P11688" s="4"/>
    </row>
    <row r="11689" spans="16:16" x14ac:dyDescent="0.25">
      <c r="P11689" s="4"/>
    </row>
    <row r="11690" spans="16:16" x14ac:dyDescent="0.25">
      <c r="P11690" s="4"/>
    </row>
    <row r="11691" spans="16:16" x14ac:dyDescent="0.25">
      <c r="P11691" s="4"/>
    </row>
    <row r="11692" spans="16:16" x14ac:dyDescent="0.25">
      <c r="P11692" s="4"/>
    </row>
    <row r="11693" spans="16:16" x14ac:dyDescent="0.25">
      <c r="P11693" s="4"/>
    </row>
    <row r="11694" spans="16:16" x14ac:dyDescent="0.25">
      <c r="P11694" s="4"/>
    </row>
    <row r="11695" spans="16:16" x14ac:dyDescent="0.25">
      <c r="P11695" s="4"/>
    </row>
    <row r="11696" spans="16:16" x14ac:dyDescent="0.25">
      <c r="P11696" s="4"/>
    </row>
    <row r="11697" spans="16:16" x14ac:dyDescent="0.25">
      <c r="P11697" s="4"/>
    </row>
    <row r="11698" spans="16:16" x14ac:dyDescent="0.25">
      <c r="P11698" s="4"/>
    </row>
    <row r="11699" spans="16:16" x14ac:dyDescent="0.25">
      <c r="P11699" s="4"/>
    </row>
    <row r="11700" spans="16:16" x14ac:dyDescent="0.25">
      <c r="P11700" s="4"/>
    </row>
    <row r="11701" spans="16:16" x14ac:dyDescent="0.25">
      <c r="P11701" s="4"/>
    </row>
    <row r="11702" spans="16:16" x14ac:dyDescent="0.25">
      <c r="P11702" s="4"/>
    </row>
    <row r="11703" spans="16:16" x14ac:dyDescent="0.25">
      <c r="P11703" s="4"/>
    </row>
    <row r="11704" spans="16:16" x14ac:dyDescent="0.25">
      <c r="P11704" s="4"/>
    </row>
    <row r="11705" spans="16:16" x14ac:dyDescent="0.25">
      <c r="P11705" s="4"/>
    </row>
    <row r="11706" spans="16:16" x14ac:dyDescent="0.25">
      <c r="P11706" s="4"/>
    </row>
    <row r="11707" spans="16:16" x14ac:dyDescent="0.25">
      <c r="P11707" s="4"/>
    </row>
    <row r="11708" spans="16:16" x14ac:dyDescent="0.25">
      <c r="P11708" s="4"/>
    </row>
    <row r="11709" spans="16:16" x14ac:dyDescent="0.25">
      <c r="P11709" s="4"/>
    </row>
    <row r="11710" spans="16:16" x14ac:dyDescent="0.25">
      <c r="P11710" s="4"/>
    </row>
    <row r="11711" spans="16:16" x14ac:dyDescent="0.25">
      <c r="P11711" s="4"/>
    </row>
    <row r="11712" spans="16:16" x14ac:dyDescent="0.25">
      <c r="P11712" s="4"/>
    </row>
    <row r="11713" spans="16:16" x14ac:dyDescent="0.25">
      <c r="P11713" s="4"/>
    </row>
    <row r="11714" spans="16:16" x14ac:dyDescent="0.25">
      <c r="P11714" s="4"/>
    </row>
    <row r="11715" spans="16:16" x14ac:dyDescent="0.25">
      <c r="P11715" s="4"/>
    </row>
    <row r="11716" spans="16:16" x14ac:dyDescent="0.25">
      <c r="P11716" s="4"/>
    </row>
    <row r="11717" spans="16:16" x14ac:dyDescent="0.25">
      <c r="P11717" s="4"/>
    </row>
    <row r="11718" spans="16:16" x14ac:dyDescent="0.25">
      <c r="P11718" s="4"/>
    </row>
    <row r="11719" spans="16:16" x14ac:dyDescent="0.25">
      <c r="P11719" s="4"/>
    </row>
    <row r="11720" spans="16:16" x14ac:dyDescent="0.25">
      <c r="P11720" s="4"/>
    </row>
    <row r="11721" spans="16:16" x14ac:dyDescent="0.25">
      <c r="P11721" s="4"/>
    </row>
    <row r="11722" spans="16:16" x14ac:dyDescent="0.25">
      <c r="P11722" s="4"/>
    </row>
    <row r="11723" spans="16:16" x14ac:dyDescent="0.25">
      <c r="P11723" s="4"/>
    </row>
    <row r="11724" spans="16:16" x14ac:dyDescent="0.25">
      <c r="P11724" s="4"/>
    </row>
    <row r="11725" spans="16:16" x14ac:dyDescent="0.25">
      <c r="P11725" s="4"/>
    </row>
    <row r="11726" spans="16:16" x14ac:dyDescent="0.25">
      <c r="P11726" s="4"/>
    </row>
    <row r="11727" spans="16:16" x14ac:dyDescent="0.25">
      <c r="P11727" s="4"/>
    </row>
    <row r="11728" spans="16:16" x14ac:dyDescent="0.25">
      <c r="P11728" s="4"/>
    </row>
    <row r="11729" spans="16:16" x14ac:dyDescent="0.25">
      <c r="P11729" s="4"/>
    </row>
    <row r="11730" spans="16:16" x14ac:dyDescent="0.25">
      <c r="P11730" s="4"/>
    </row>
    <row r="11731" spans="16:16" x14ac:dyDescent="0.25">
      <c r="P11731" s="4"/>
    </row>
    <row r="11732" spans="16:16" x14ac:dyDescent="0.25">
      <c r="P11732" s="4"/>
    </row>
    <row r="11733" spans="16:16" x14ac:dyDescent="0.25">
      <c r="P11733" s="4"/>
    </row>
    <row r="11734" spans="16:16" x14ac:dyDescent="0.25">
      <c r="P11734" s="4"/>
    </row>
    <row r="11735" spans="16:16" x14ac:dyDescent="0.25">
      <c r="P11735" s="4"/>
    </row>
    <row r="11736" spans="16:16" x14ac:dyDescent="0.25">
      <c r="P11736" s="4"/>
    </row>
    <row r="11737" spans="16:16" x14ac:dyDescent="0.25">
      <c r="P11737" s="4"/>
    </row>
    <row r="11738" spans="16:16" x14ac:dyDescent="0.25">
      <c r="P11738" s="4"/>
    </row>
    <row r="11739" spans="16:16" x14ac:dyDescent="0.25">
      <c r="P11739" s="4"/>
    </row>
    <row r="11740" spans="16:16" x14ac:dyDescent="0.25">
      <c r="P11740" s="4"/>
    </row>
    <row r="11741" spans="16:16" x14ac:dyDescent="0.25">
      <c r="P11741" s="4"/>
    </row>
    <row r="11742" spans="16:16" x14ac:dyDescent="0.25">
      <c r="P11742" s="4"/>
    </row>
    <row r="11743" spans="16:16" x14ac:dyDescent="0.25">
      <c r="P11743" s="4"/>
    </row>
    <row r="11744" spans="16:16" x14ac:dyDescent="0.25">
      <c r="P11744" s="4"/>
    </row>
    <row r="11745" spans="16:16" x14ac:dyDescent="0.25">
      <c r="P11745" s="4"/>
    </row>
    <row r="11746" spans="16:16" x14ac:dyDescent="0.25">
      <c r="P11746" s="4"/>
    </row>
    <row r="11747" spans="16:16" x14ac:dyDescent="0.25">
      <c r="P11747" s="4"/>
    </row>
    <row r="11748" spans="16:16" x14ac:dyDescent="0.25">
      <c r="P11748" s="4"/>
    </row>
    <row r="11749" spans="16:16" x14ac:dyDescent="0.25">
      <c r="P11749" s="4"/>
    </row>
    <row r="11750" spans="16:16" x14ac:dyDescent="0.25">
      <c r="P11750" s="4"/>
    </row>
    <row r="11751" spans="16:16" x14ac:dyDescent="0.25">
      <c r="P11751" s="4"/>
    </row>
    <row r="11752" spans="16:16" x14ac:dyDescent="0.25">
      <c r="P11752" s="4"/>
    </row>
    <row r="11753" spans="16:16" x14ac:dyDescent="0.25">
      <c r="P11753" s="4"/>
    </row>
    <row r="11754" spans="16:16" x14ac:dyDescent="0.25">
      <c r="P11754" s="4"/>
    </row>
    <row r="11755" spans="16:16" x14ac:dyDescent="0.25">
      <c r="P11755" s="4"/>
    </row>
    <row r="11756" spans="16:16" x14ac:dyDescent="0.25">
      <c r="P11756" s="4"/>
    </row>
    <row r="11757" spans="16:16" x14ac:dyDescent="0.25">
      <c r="P11757" s="4"/>
    </row>
    <row r="11758" spans="16:16" x14ac:dyDescent="0.25">
      <c r="P11758" s="4"/>
    </row>
    <row r="11759" spans="16:16" x14ac:dyDescent="0.25">
      <c r="P11759" s="4"/>
    </row>
    <row r="11760" spans="16:16" x14ac:dyDescent="0.25">
      <c r="P11760" s="4"/>
    </row>
    <row r="11761" spans="16:16" x14ac:dyDescent="0.25">
      <c r="P11761" s="4"/>
    </row>
    <row r="11762" spans="16:16" x14ac:dyDescent="0.25">
      <c r="P11762" s="4"/>
    </row>
    <row r="11763" spans="16:16" x14ac:dyDescent="0.25">
      <c r="P11763" s="4"/>
    </row>
    <row r="11764" spans="16:16" x14ac:dyDescent="0.25">
      <c r="P11764" s="4"/>
    </row>
    <row r="11765" spans="16:16" x14ac:dyDescent="0.25">
      <c r="P11765" s="4"/>
    </row>
    <row r="11766" spans="16:16" x14ac:dyDescent="0.25">
      <c r="P11766" s="4"/>
    </row>
    <row r="11767" spans="16:16" x14ac:dyDescent="0.25">
      <c r="P11767" s="4"/>
    </row>
    <row r="11768" spans="16:16" x14ac:dyDescent="0.25">
      <c r="P11768" s="4"/>
    </row>
    <row r="11769" spans="16:16" x14ac:dyDescent="0.25">
      <c r="P11769" s="4"/>
    </row>
    <row r="11770" spans="16:16" x14ac:dyDescent="0.25">
      <c r="P11770" s="4"/>
    </row>
    <row r="11771" spans="16:16" x14ac:dyDescent="0.25">
      <c r="P11771" s="4"/>
    </row>
    <row r="11772" spans="16:16" x14ac:dyDescent="0.25">
      <c r="P11772" s="4"/>
    </row>
    <row r="11773" spans="16:16" x14ac:dyDescent="0.25">
      <c r="P11773" s="4"/>
    </row>
    <row r="11774" spans="16:16" x14ac:dyDescent="0.25">
      <c r="P11774" s="4"/>
    </row>
    <row r="11775" spans="16:16" x14ac:dyDescent="0.25">
      <c r="P11775" s="4"/>
    </row>
    <row r="11776" spans="16:16" x14ac:dyDescent="0.25">
      <c r="P11776" s="4"/>
    </row>
    <row r="11777" spans="16:16" x14ac:dyDescent="0.25">
      <c r="P11777" s="4"/>
    </row>
    <row r="11778" spans="16:16" x14ac:dyDescent="0.25">
      <c r="P11778" s="4"/>
    </row>
    <row r="11779" spans="16:16" x14ac:dyDescent="0.25">
      <c r="P11779" s="4"/>
    </row>
    <row r="11780" spans="16:16" x14ac:dyDescent="0.25">
      <c r="P11780" s="4"/>
    </row>
    <row r="11781" spans="16:16" x14ac:dyDescent="0.25">
      <c r="P11781" s="4"/>
    </row>
    <row r="11782" spans="16:16" x14ac:dyDescent="0.25">
      <c r="P11782" s="4"/>
    </row>
    <row r="11783" spans="16:16" x14ac:dyDescent="0.25">
      <c r="P11783" s="4"/>
    </row>
    <row r="11784" spans="16:16" x14ac:dyDescent="0.25">
      <c r="P11784" s="4"/>
    </row>
    <row r="11785" spans="16:16" x14ac:dyDescent="0.25">
      <c r="P11785" s="4"/>
    </row>
    <row r="11786" spans="16:16" x14ac:dyDescent="0.25">
      <c r="P11786" s="4"/>
    </row>
    <row r="11787" spans="16:16" x14ac:dyDescent="0.25">
      <c r="P11787" s="4"/>
    </row>
    <row r="11788" spans="16:16" x14ac:dyDescent="0.25">
      <c r="P11788" s="4"/>
    </row>
    <row r="11789" spans="16:16" x14ac:dyDescent="0.25">
      <c r="P11789" s="4"/>
    </row>
    <row r="11790" spans="16:16" x14ac:dyDescent="0.25">
      <c r="P11790" s="4"/>
    </row>
    <row r="11791" spans="16:16" x14ac:dyDescent="0.25">
      <c r="P11791" s="4"/>
    </row>
    <row r="11792" spans="16:16" x14ac:dyDescent="0.25">
      <c r="P11792" s="4"/>
    </row>
    <row r="11793" spans="16:16" x14ac:dyDescent="0.25">
      <c r="P11793" s="4"/>
    </row>
    <row r="11794" spans="16:16" x14ac:dyDescent="0.25">
      <c r="P11794" s="4"/>
    </row>
    <row r="11795" spans="16:16" x14ac:dyDescent="0.25">
      <c r="P11795" s="4"/>
    </row>
    <row r="11796" spans="16:16" x14ac:dyDescent="0.25">
      <c r="P11796" s="4"/>
    </row>
    <row r="11797" spans="16:16" x14ac:dyDescent="0.25">
      <c r="P11797" s="4"/>
    </row>
    <row r="11798" spans="16:16" x14ac:dyDescent="0.25">
      <c r="P11798" s="4"/>
    </row>
    <row r="11799" spans="16:16" x14ac:dyDescent="0.25">
      <c r="P11799" s="4"/>
    </row>
    <row r="11800" spans="16:16" x14ac:dyDescent="0.25">
      <c r="P11800" s="4"/>
    </row>
    <row r="11801" spans="16:16" x14ac:dyDescent="0.25">
      <c r="P11801" s="4"/>
    </row>
    <row r="11802" spans="16:16" x14ac:dyDescent="0.25">
      <c r="P11802" s="4"/>
    </row>
    <row r="11803" spans="16:16" x14ac:dyDescent="0.25">
      <c r="P11803" s="4"/>
    </row>
    <row r="11804" spans="16:16" x14ac:dyDescent="0.25">
      <c r="P11804" s="4"/>
    </row>
    <row r="11805" spans="16:16" x14ac:dyDescent="0.25">
      <c r="P11805" s="4"/>
    </row>
    <row r="11806" spans="16:16" x14ac:dyDescent="0.25">
      <c r="P11806" s="4"/>
    </row>
    <row r="11807" spans="16:16" x14ac:dyDescent="0.25">
      <c r="P11807" s="4"/>
    </row>
    <row r="11808" spans="16:16" x14ac:dyDescent="0.25">
      <c r="P11808" s="4"/>
    </row>
    <row r="11809" spans="16:16" x14ac:dyDescent="0.25">
      <c r="P11809" s="4"/>
    </row>
    <row r="11810" spans="16:16" x14ac:dyDescent="0.25">
      <c r="P11810" s="4"/>
    </row>
    <row r="11811" spans="16:16" x14ac:dyDescent="0.25">
      <c r="P11811" s="4"/>
    </row>
    <row r="11812" spans="16:16" x14ac:dyDescent="0.25">
      <c r="P11812" s="4"/>
    </row>
    <row r="11813" spans="16:16" x14ac:dyDescent="0.25">
      <c r="P11813" s="4"/>
    </row>
    <row r="11814" spans="16:16" x14ac:dyDescent="0.25">
      <c r="P11814" s="4"/>
    </row>
    <row r="11815" spans="16:16" x14ac:dyDescent="0.25">
      <c r="P11815" s="4"/>
    </row>
    <row r="11816" spans="16:16" x14ac:dyDescent="0.25">
      <c r="P11816" s="4"/>
    </row>
    <row r="11817" spans="16:16" x14ac:dyDescent="0.25">
      <c r="P11817" s="4"/>
    </row>
    <row r="11818" spans="16:16" x14ac:dyDescent="0.25">
      <c r="P11818" s="4"/>
    </row>
    <row r="11819" spans="16:16" x14ac:dyDescent="0.25">
      <c r="P11819" s="4"/>
    </row>
    <row r="11820" spans="16:16" x14ac:dyDescent="0.25">
      <c r="P11820" s="4"/>
    </row>
    <row r="11821" spans="16:16" x14ac:dyDescent="0.25">
      <c r="P11821" s="4"/>
    </row>
    <row r="11822" spans="16:16" x14ac:dyDescent="0.25">
      <c r="P11822" s="4"/>
    </row>
    <row r="11823" spans="16:16" x14ac:dyDescent="0.25">
      <c r="P11823" s="4"/>
    </row>
    <row r="11824" spans="16:16" x14ac:dyDescent="0.25">
      <c r="P11824" s="4"/>
    </row>
    <row r="11825" spans="16:16" x14ac:dyDescent="0.25">
      <c r="P11825" s="4"/>
    </row>
    <row r="11826" spans="16:16" x14ac:dyDescent="0.25">
      <c r="P11826" s="4"/>
    </row>
    <row r="11827" spans="16:16" x14ac:dyDescent="0.25">
      <c r="P11827" s="4"/>
    </row>
    <row r="11828" spans="16:16" x14ac:dyDescent="0.25">
      <c r="P11828" s="4"/>
    </row>
    <row r="11829" spans="16:16" x14ac:dyDescent="0.25">
      <c r="P11829" s="4"/>
    </row>
    <row r="11830" spans="16:16" x14ac:dyDescent="0.25">
      <c r="P11830" s="4"/>
    </row>
    <row r="11831" spans="16:16" x14ac:dyDescent="0.25">
      <c r="P11831" s="4"/>
    </row>
    <row r="11832" spans="16:16" x14ac:dyDescent="0.25">
      <c r="P11832" s="4"/>
    </row>
    <row r="11833" spans="16:16" x14ac:dyDescent="0.25">
      <c r="P11833" s="4"/>
    </row>
    <row r="11834" spans="16:16" x14ac:dyDescent="0.25">
      <c r="P11834" s="4"/>
    </row>
    <row r="11835" spans="16:16" x14ac:dyDescent="0.25">
      <c r="P11835" s="4"/>
    </row>
    <row r="11836" spans="16:16" x14ac:dyDescent="0.25">
      <c r="P11836" s="4"/>
    </row>
    <row r="11837" spans="16:16" x14ac:dyDescent="0.25">
      <c r="P11837" s="4"/>
    </row>
    <row r="11838" spans="16:16" x14ac:dyDescent="0.25">
      <c r="P11838" s="4"/>
    </row>
    <row r="11839" spans="16:16" x14ac:dyDescent="0.25">
      <c r="P11839" s="4"/>
    </row>
    <row r="11840" spans="16:16" x14ac:dyDescent="0.25">
      <c r="P11840" s="4"/>
    </row>
    <row r="11841" spans="16:16" x14ac:dyDescent="0.25">
      <c r="P11841" s="4"/>
    </row>
    <row r="11842" spans="16:16" x14ac:dyDescent="0.25">
      <c r="P11842" s="4"/>
    </row>
    <row r="11843" spans="16:16" x14ac:dyDescent="0.25">
      <c r="P11843" s="4"/>
    </row>
    <row r="11844" spans="16:16" x14ac:dyDescent="0.25">
      <c r="P11844" s="4"/>
    </row>
    <row r="11845" spans="16:16" x14ac:dyDescent="0.25">
      <c r="P11845" s="4"/>
    </row>
    <row r="11846" spans="16:16" x14ac:dyDescent="0.25">
      <c r="P11846" s="4"/>
    </row>
    <row r="11847" spans="16:16" x14ac:dyDescent="0.25">
      <c r="P11847" s="4"/>
    </row>
    <row r="11848" spans="16:16" x14ac:dyDescent="0.25">
      <c r="P11848" s="4"/>
    </row>
    <row r="11849" spans="16:16" x14ac:dyDescent="0.25">
      <c r="P11849" s="4"/>
    </row>
    <row r="11850" spans="16:16" x14ac:dyDescent="0.25">
      <c r="P11850" s="4"/>
    </row>
    <row r="11851" spans="16:16" x14ac:dyDescent="0.25">
      <c r="P11851" s="4"/>
    </row>
    <row r="11852" spans="16:16" x14ac:dyDescent="0.25">
      <c r="P11852" s="4"/>
    </row>
    <row r="11853" spans="16:16" x14ac:dyDescent="0.25">
      <c r="P11853" s="4"/>
    </row>
    <row r="11854" spans="16:16" x14ac:dyDescent="0.25">
      <c r="P11854" s="4"/>
    </row>
    <row r="11855" spans="16:16" x14ac:dyDescent="0.25">
      <c r="P11855" s="4"/>
    </row>
    <row r="11856" spans="16:16" x14ac:dyDescent="0.25">
      <c r="P11856" s="4"/>
    </row>
    <row r="11857" spans="16:16" x14ac:dyDescent="0.25">
      <c r="P11857" s="4"/>
    </row>
    <row r="11858" spans="16:16" x14ac:dyDescent="0.25">
      <c r="P11858" s="4"/>
    </row>
    <row r="11859" spans="16:16" x14ac:dyDescent="0.25">
      <c r="P11859" s="4"/>
    </row>
    <row r="11860" spans="16:16" x14ac:dyDescent="0.25">
      <c r="P11860" s="4"/>
    </row>
    <row r="11861" spans="16:16" x14ac:dyDescent="0.25">
      <c r="P11861" s="4"/>
    </row>
    <row r="11862" spans="16:16" x14ac:dyDescent="0.25">
      <c r="P11862" s="4"/>
    </row>
    <row r="11863" spans="16:16" x14ac:dyDescent="0.25">
      <c r="P11863" s="4"/>
    </row>
    <row r="11864" spans="16:16" x14ac:dyDescent="0.25">
      <c r="P11864" s="4"/>
    </row>
    <row r="11865" spans="16:16" x14ac:dyDescent="0.25">
      <c r="P11865" s="4"/>
    </row>
    <row r="11866" spans="16:16" x14ac:dyDescent="0.25">
      <c r="P11866" s="4"/>
    </row>
    <row r="11867" spans="16:16" x14ac:dyDescent="0.25">
      <c r="P11867" s="4"/>
    </row>
    <row r="11868" spans="16:16" x14ac:dyDescent="0.25">
      <c r="P11868" s="4"/>
    </row>
    <row r="11869" spans="16:16" x14ac:dyDescent="0.25">
      <c r="P11869" s="4"/>
    </row>
    <row r="11870" spans="16:16" x14ac:dyDescent="0.25">
      <c r="P11870" s="4"/>
    </row>
    <row r="11871" spans="16:16" x14ac:dyDescent="0.25">
      <c r="P11871" s="4"/>
    </row>
    <row r="11872" spans="16:16" x14ac:dyDescent="0.25">
      <c r="P11872" s="4"/>
    </row>
    <row r="11873" spans="16:16" x14ac:dyDescent="0.25">
      <c r="P11873" s="4"/>
    </row>
    <row r="11874" spans="16:16" x14ac:dyDescent="0.25">
      <c r="P11874" s="4"/>
    </row>
    <row r="11875" spans="16:16" x14ac:dyDescent="0.25">
      <c r="P11875" s="4"/>
    </row>
    <row r="11876" spans="16:16" x14ac:dyDescent="0.25">
      <c r="P11876" s="4"/>
    </row>
    <row r="11877" spans="16:16" x14ac:dyDescent="0.25">
      <c r="P11877" s="4"/>
    </row>
    <row r="11878" spans="16:16" x14ac:dyDescent="0.25">
      <c r="P11878" s="4"/>
    </row>
    <row r="11879" spans="16:16" x14ac:dyDescent="0.25">
      <c r="P11879" s="4"/>
    </row>
    <row r="11880" spans="16:16" x14ac:dyDescent="0.25">
      <c r="P11880" s="4"/>
    </row>
    <row r="11881" spans="16:16" x14ac:dyDescent="0.25">
      <c r="P11881" s="4"/>
    </row>
    <row r="11882" spans="16:16" x14ac:dyDescent="0.25">
      <c r="P11882" s="4"/>
    </row>
    <row r="11883" spans="16:16" x14ac:dyDescent="0.25">
      <c r="P11883" s="4"/>
    </row>
    <row r="11884" spans="16:16" x14ac:dyDescent="0.25">
      <c r="P11884" s="4"/>
    </row>
    <row r="11885" spans="16:16" x14ac:dyDescent="0.25">
      <c r="P11885" s="4"/>
    </row>
    <row r="11886" spans="16:16" x14ac:dyDescent="0.25">
      <c r="P11886" s="4"/>
    </row>
    <row r="11887" spans="16:16" x14ac:dyDescent="0.25">
      <c r="P11887" s="4"/>
    </row>
    <row r="11888" spans="16:16" x14ac:dyDescent="0.25">
      <c r="P11888" s="4"/>
    </row>
    <row r="11889" spans="16:16" x14ac:dyDescent="0.25">
      <c r="P11889" s="4"/>
    </row>
    <row r="11890" spans="16:16" x14ac:dyDescent="0.25">
      <c r="P11890" s="4"/>
    </row>
    <row r="11891" spans="16:16" x14ac:dyDescent="0.25">
      <c r="P11891" s="4"/>
    </row>
    <row r="11892" spans="16:16" x14ac:dyDescent="0.25">
      <c r="P11892" s="4"/>
    </row>
    <row r="11893" spans="16:16" x14ac:dyDescent="0.25">
      <c r="P11893" s="4"/>
    </row>
    <row r="11894" spans="16:16" x14ac:dyDescent="0.25">
      <c r="P11894" s="4"/>
    </row>
    <row r="11895" spans="16:16" x14ac:dyDescent="0.25">
      <c r="P11895" s="4"/>
    </row>
    <row r="11896" spans="16:16" x14ac:dyDescent="0.25">
      <c r="P11896" s="4"/>
    </row>
    <row r="11897" spans="16:16" x14ac:dyDescent="0.25">
      <c r="P11897" s="4"/>
    </row>
    <row r="11898" spans="16:16" x14ac:dyDescent="0.25">
      <c r="P11898" s="4"/>
    </row>
    <row r="11899" spans="16:16" x14ac:dyDescent="0.25">
      <c r="P11899" s="4"/>
    </row>
    <row r="11900" spans="16:16" x14ac:dyDescent="0.25">
      <c r="P11900" s="4"/>
    </row>
    <row r="11901" spans="16:16" x14ac:dyDescent="0.25">
      <c r="P11901" s="4"/>
    </row>
    <row r="11902" spans="16:16" x14ac:dyDescent="0.25">
      <c r="P11902" s="4"/>
    </row>
    <row r="11903" spans="16:16" x14ac:dyDescent="0.25">
      <c r="P11903" s="4"/>
    </row>
    <row r="11904" spans="16:16" x14ac:dyDescent="0.25">
      <c r="P11904" s="4"/>
    </row>
    <row r="11905" spans="16:16" x14ac:dyDescent="0.25">
      <c r="P11905" s="4"/>
    </row>
    <row r="11906" spans="16:16" x14ac:dyDescent="0.25">
      <c r="P11906" s="4"/>
    </row>
    <row r="11907" spans="16:16" x14ac:dyDescent="0.25">
      <c r="P11907" s="4"/>
    </row>
    <row r="11908" spans="16:16" x14ac:dyDescent="0.25">
      <c r="P11908" s="4"/>
    </row>
    <row r="11909" spans="16:16" x14ac:dyDescent="0.25">
      <c r="P11909" s="4"/>
    </row>
    <row r="11910" spans="16:16" x14ac:dyDescent="0.25">
      <c r="P11910" s="4"/>
    </row>
    <row r="11911" spans="16:16" x14ac:dyDescent="0.25">
      <c r="P11911" s="4"/>
    </row>
    <row r="11912" spans="16:16" x14ac:dyDescent="0.25">
      <c r="P11912" s="4"/>
    </row>
    <row r="11913" spans="16:16" x14ac:dyDescent="0.25">
      <c r="P11913" s="4"/>
    </row>
    <row r="11914" spans="16:16" x14ac:dyDescent="0.25">
      <c r="P11914" s="4"/>
    </row>
    <row r="11915" spans="16:16" x14ac:dyDescent="0.25">
      <c r="P11915" s="4"/>
    </row>
    <row r="11916" spans="16:16" x14ac:dyDescent="0.25">
      <c r="P11916" s="4"/>
    </row>
    <row r="11917" spans="16:16" x14ac:dyDescent="0.25">
      <c r="P11917" s="4"/>
    </row>
    <row r="11918" spans="16:16" x14ac:dyDescent="0.25">
      <c r="P11918" s="4"/>
    </row>
    <row r="11919" spans="16:16" x14ac:dyDescent="0.25">
      <c r="P11919" s="4"/>
    </row>
    <row r="11920" spans="16:16" x14ac:dyDescent="0.25">
      <c r="P11920" s="4"/>
    </row>
    <row r="11921" spans="16:16" x14ac:dyDescent="0.25">
      <c r="P11921" s="4"/>
    </row>
    <row r="11922" spans="16:16" x14ac:dyDescent="0.25">
      <c r="P11922" s="4"/>
    </row>
    <row r="11923" spans="16:16" x14ac:dyDescent="0.25">
      <c r="P11923" s="4"/>
    </row>
    <row r="11924" spans="16:16" x14ac:dyDescent="0.25">
      <c r="P11924" s="4"/>
    </row>
    <row r="11925" spans="16:16" x14ac:dyDescent="0.25">
      <c r="P11925" s="4"/>
    </row>
    <row r="11926" spans="16:16" x14ac:dyDescent="0.25">
      <c r="P11926" s="4"/>
    </row>
    <row r="11927" spans="16:16" x14ac:dyDescent="0.25">
      <c r="P11927" s="4"/>
    </row>
    <row r="11928" spans="16:16" x14ac:dyDescent="0.25">
      <c r="P11928" s="4"/>
    </row>
    <row r="11929" spans="16:16" x14ac:dyDescent="0.25">
      <c r="P11929" s="4"/>
    </row>
    <row r="11930" spans="16:16" x14ac:dyDescent="0.25">
      <c r="P11930" s="4"/>
    </row>
    <row r="11931" spans="16:16" x14ac:dyDescent="0.25">
      <c r="P11931" s="4"/>
    </row>
    <row r="11932" spans="16:16" x14ac:dyDescent="0.25">
      <c r="P11932" s="4"/>
    </row>
    <row r="11933" spans="16:16" x14ac:dyDescent="0.25">
      <c r="P11933" s="4"/>
    </row>
    <row r="11934" spans="16:16" x14ac:dyDescent="0.25">
      <c r="P11934" s="4"/>
    </row>
    <row r="11935" spans="16:16" x14ac:dyDescent="0.25">
      <c r="P11935" s="4"/>
    </row>
    <row r="11936" spans="16:16" x14ac:dyDescent="0.25">
      <c r="P11936" s="4"/>
    </row>
    <row r="11937" spans="16:16" x14ac:dyDescent="0.25">
      <c r="P11937" s="4"/>
    </row>
    <row r="11938" spans="16:16" x14ac:dyDescent="0.25">
      <c r="P11938" s="4"/>
    </row>
    <row r="11939" spans="16:16" x14ac:dyDescent="0.25">
      <c r="P11939" s="4"/>
    </row>
    <row r="11940" spans="16:16" x14ac:dyDescent="0.25">
      <c r="P11940" s="4"/>
    </row>
    <row r="11941" spans="16:16" x14ac:dyDescent="0.25">
      <c r="P11941" s="4"/>
    </row>
    <row r="11942" spans="16:16" x14ac:dyDescent="0.25">
      <c r="P11942" s="4"/>
    </row>
    <row r="11943" spans="16:16" x14ac:dyDescent="0.25">
      <c r="P11943" s="4"/>
    </row>
    <row r="11944" spans="16:16" x14ac:dyDescent="0.25">
      <c r="P11944" s="4"/>
    </row>
    <row r="11945" spans="16:16" x14ac:dyDescent="0.25">
      <c r="P11945" s="4"/>
    </row>
    <row r="11946" spans="16:16" x14ac:dyDescent="0.25">
      <c r="P11946" s="4"/>
    </row>
    <row r="11947" spans="16:16" x14ac:dyDescent="0.25">
      <c r="P11947" s="4"/>
    </row>
    <row r="11948" spans="16:16" x14ac:dyDescent="0.25">
      <c r="P11948" s="4"/>
    </row>
    <row r="11949" spans="16:16" x14ac:dyDescent="0.25">
      <c r="P11949" s="4"/>
    </row>
    <row r="11950" spans="16:16" x14ac:dyDescent="0.25">
      <c r="P11950" s="4"/>
    </row>
    <row r="11951" spans="16:16" x14ac:dyDescent="0.25">
      <c r="P11951" s="4"/>
    </row>
    <row r="11952" spans="16:16" x14ac:dyDescent="0.25">
      <c r="P11952" s="4"/>
    </row>
    <row r="11953" spans="16:16" x14ac:dyDescent="0.25">
      <c r="P11953" s="4"/>
    </row>
    <row r="11954" spans="16:16" x14ac:dyDescent="0.25">
      <c r="P11954" s="4"/>
    </row>
    <row r="11955" spans="16:16" x14ac:dyDescent="0.25">
      <c r="P11955" s="4"/>
    </row>
    <row r="11956" spans="16:16" x14ac:dyDescent="0.25">
      <c r="P11956" s="4"/>
    </row>
    <row r="11957" spans="16:16" x14ac:dyDescent="0.25">
      <c r="P11957" s="4"/>
    </row>
    <row r="11958" spans="16:16" x14ac:dyDescent="0.25">
      <c r="P11958" s="4"/>
    </row>
    <row r="11959" spans="16:16" x14ac:dyDescent="0.25">
      <c r="P11959" s="4"/>
    </row>
    <row r="11960" spans="16:16" x14ac:dyDescent="0.25">
      <c r="P11960" s="4"/>
    </row>
    <row r="11961" spans="16:16" x14ac:dyDescent="0.25">
      <c r="P11961" s="4"/>
    </row>
    <row r="11962" spans="16:16" x14ac:dyDescent="0.25">
      <c r="P11962" s="4"/>
    </row>
    <row r="11963" spans="16:16" x14ac:dyDescent="0.25">
      <c r="P11963" s="4"/>
    </row>
    <row r="11964" spans="16:16" x14ac:dyDescent="0.25">
      <c r="P11964" s="4"/>
    </row>
    <row r="11965" spans="16:16" x14ac:dyDescent="0.25">
      <c r="P11965" s="4"/>
    </row>
    <row r="11966" spans="16:16" x14ac:dyDescent="0.25">
      <c r="P11966" s="4"/>
    </row>
    <row r="11967" spans="16:16" x14ac:dyDescent="0.25">
      <c r="P11967" s="4"/>
    </row>
    <row r="11968" spans="16:16" x14ac:dyDescent="0.25">
      <c r="P11968" s="4"/>
    </row>
    <row r="11969" spans="16:16" x14ac:dyDescent="0.25">
      <c r="P11969" s="4"/>
    </row>
    <row r="11970" spans="16:16" x14ac:dyDescent="0.25">
      <c r="P11970" s="4"/>
    </row>
    <row r="11971" spans="16:16" x14ac:dyDescent="0.25">
      <c r="P11971" s="4"/>
    </row>
    <row r="11972" spans="16:16" x14ac:dyDescent="0.25">
      <c r="P11972" s="4"/>
    </row>
    <row r="11973" spans="16:16" x14ac:dyDescent="0.25">
      <c r="P11973" s="4"/>
    </row>
    <row r="11974" spans="16:16" x14ac:dyDescent="0.25">
      <c r="P11974" s="4"/>
    </row>
    <row r="11975" spans="16:16" x14ac:dyDescent="0.25">
      <c r="P11975" s="4"/>
    </row>
    <row r="11976" spans="16:16" x14ac:dyDescent="0.25">
      <c r="P11976" s="4"/>
    </row>
    <row r="11977" spans="16:16" x14ac:dyDescent="0.25">
      <c r="P11977" s="4"/>
    </row>
    <row r="11978" spans="16:16" x14ac:dyDescent="0.25">
      <c r="P11978" s="4"/>
    </row>
    <row r="11979" spans="16:16" x14ac:dyDescent="0.25">
      <c r="P11979" s="4"/>
    </row>
    <row r="11980" spans="16:16" x14ac:dyDescent="0.25">
      <c r="P11980" s="4"/>
    </row>
    <row r="11981" spans="16:16" x14ac:dyDescent="0.25">
      <c r="P11981" s="4"/>
    </row>
    <row r="11982" spans="16:16" x14ac:dyDescent="0.25">
      <c r="P11982" s="4"/>
    </row>
    <row r="11983" spans="16:16" x14ac:dyDescent="0.25">
      <c r="P11983" s="4"/>
    </row>
    <row r="11984" spans="16:16" x14ac:dyDescent="0.25">
      <c r="P11984" s="4"/>
    </row>
    <row r="11985" spans="16:16" x14ac:dyDescent="0.25">
      <c r="P11985" s="4"/>
    </row>
    <row r="11986" spans="16:16" x14ac:dyDescent="0.25">
      <c r="P11986" s="4"/>
    </row>
    <row r="11987" spans="16:16" x14ac:dyDescent="0.25">
      <c r="P11987" s="4"/>
    </row>
    <row r="11988" spans="16:16" x14ac:dyDescent="0.25">
      <c r="P11988" s="4"/>
    </row>
    <row r="11989" spans="16:16" x14ac:dyDescent="0.25">
      <c r="P11989" s="4"/>
    </row>
    <row r="11990" spans="16:16" x14ac:dyDescent="0.25">
      <c r="P11990" s="4"/>
    </row>
    <row r="11991" spans="16:16" x14ac:dyDescent="0.25">
      <c r="P11991" s="4"/>
    </row>
    <row r="11992" spans="16:16" x14ac:dyDescent="0.25">
      <c r="P11992" s="4"/>
    </row>
    <row r="11993" spans="16:16" x14ac:dyDescent="0.25">
      <c r="P11993" s="4"/>
    </row>
    <row r="11994" spans="16:16" x14ac:dyDescent="0.25">
      <c r="P11994" s="4"/>
    </row>
    <row r="11995" spans="16:16" x14ac:dyDescent="0.25">
      <c r="P11995" s="4"/>
    </row>
    <row r="11996" spans="16:16" x14ac:dyDescent="0.25">
      <c r="P11996" s="4"/>
    </row>
    <row r="11997" spans="16:16" x14ac:dyDescent="0.25">
      <c r="P11997" s="4"/>
    </row>
    <row r="11998" spans="16:16" x14ac:dyDescent="0.25">
      <c r="P11998" s="4"/>
    </row>
    <row r="11999" spans="16:16" x14ac:dyDescent="0.25">
      <c r="P11999" s="4"/>
    </row>
    <row r="12000" spans="16:16" x14ac:dyDescent="0.25">
      <c r="P12000" s="4"/>
    </row>
    <row r="12001" spans="16:16" x14ac:dyDescent="0.25">
      <c r="P12001" s="4"/>
    </row>
    <row r="12002" spans="16:16" x14ac:dyDescent="0.25">
      <c r="P12002" s="4"/>
    </row>
    <row r="12003" spans="16:16" x14ac:dyDescent="0.25">
      <c r="P12003" s="4"/>
    </row>
    <row r="12004" spans="16:16" x14ac:dyDescent="0.25">
      <c r="P12004" s="4"/>
    </row>
    <row r="12005" spans="16:16" x14ac:dyDescent="0.25">
      <c r="P12005" s="4"/>
    </row>
    <row r="12006" spans="16:16" x14ac:dyDescent="0.25">
      <c r="P12006" s="4"/>
    </row>
    <row r="12007" spans="16:16" x14ac:dyDescent="0.25">
      <c r="P12007" s="4"/>
    </row>
    <row r="12008" spans="16:16" x14ac:dyDescent="0.25">
      <c r="P12008" s="4"/>
    </row>
    <row r="12009" spans="16:16" x14ac:dyDescent="0.25">
      <c r="P12009" s="4"/>
    </row>
    <row r="12010" spans="16:16" x14ac:dyDescent="0.25">
      <c r="P12010" s="4"/>
    </row>
    <row r="12011" spans="16:16" x14ac:dyDescent="0.25">
      <c r="P12011" s="4"/>
    </row>
    <row r="12012" spans="16:16" x14ac:dyDescent="0.25">
      <c r="P12012" s="4"/>
    </row>
    <row r="12013" spans="16:16" x14ac:dyDescent="0.25">
      <c r="P12013" s="4"/>
    </row>
    <row r="12014" spans="16:16" x14ac:dyDescent="0.25">
      <c r="P12014" s="4"/>
    </row>
    <row r="12015" spans="16:16" x14ac:dyDescent="0.25">
      <c r="P12015" s="4"/>
    </row>
    <row r="12016" spans="16:16" x14ac:dyDescent="0.25">
      <c r="P12016" s="4"/>
    </row>
    <row r="12017" spans="16:16" x14ac:dyDescent="0.25">
      <c r="P12017" s="4"/>
    </row>
    <row r="12018" spans="16:16" x14ac:dyDescent="0.25">
      <c r="P12018" s="4"/>
    </row>
    <row r="12019" spans="16:16" x14ac:dyDescent="0.25">
      <c r="P12019" s="4"/>
    </row>
    <row r="12020" spans="16:16" x14ac:dyDescent="0.25">
      <c r="P12020" s="4"/>
    </row>
    <row r="12021" spans="16:16" x14ac:dyDescent="0.25">
      <c r="P12021" s="4"/>
    </row>
    <row r="12022" spans="16:16" x14ac:dyDescent="0.25">
      <c r="P12022" s="4"/>
    </row>
    <row r="12023" spans="16:16" x14ac:dyDescent="0.25">
      <c r="P12023" s="4"/>
    </row>
    <row r="12024" spans="16:16" x14ac:dyDescent="0.25">
      <c r="P12024" s="4"/>
    </row>
    <row r="12025" spans="16:16" x14ac:dyDescent="0.25">
      <c r="P12025" s="4"/>
    </row>
    <row r="12026" spans="16:16" x14ac:dyDescent="0.25">
      <c r="P12026" s="4"/>
    </row>
    <row r="12027" spans="16:16" x14ac:dyDescent="0.25">
      <c r="P12027" s="4"/>
    </row>
    <row r="12028" spans="16:16" x14ac:dyDescent="0.25">
      <c r="P12028" s="4"/>
    </row>
    <row r="12029" spans="16:16" x14ac:dyDescent="0.25">
      <c r="P12029" s="4"/>
    </row>
    <row r="12030" spans="16:16" x14ac:dyDescent="0.25">
      <c r="P12030" s="4"/>
    </row>
    <row r="12031" spans="16:16" x14ac:dyDescent="0.25">
      <c r="P12031" s="4"/>
    </row>
    <row r="12032" spans="16:16" x14ac:dyDescent="0.25">
      <c r="P12032" s="4"/>
    </row>
    <row r="12033" spans="16:16" x14ac:dyDescent="0.25">
      <c r="P12033" s="4"/>
    </row>
    <row r="12034" spans="16:16" x14ac:dyDescent="0.25">
      <c r="P12034" s="4"/>
    </row>
    <row r="12035" spans="16:16" x14ac:dyDescent="0.25">
      <c r="P12035" s="4"/>
    </row>
    <row r="12036" spans="16:16" x14ac:dyDescent="0.25">
      <c r="P12036" s="4"/>
    </row>
    <row r="12037" spans="16:16" x14ac:dyDescent="0.25">
      <c r="P12037" s="4"/>
    </row>
    <row r="12038" spans="16:16" x14ac:dyDescent="0.25">
      <c r="P12038" s="4"/>
    </row>
    <row r="12039" spans="16:16" x14ac:dyDescent="0.25">
      <c r="P12039" s="4"/>
    </row>
    <row r="12040" spans="16:16" x14ac:dyDescent="0.25">
      <c r="P12040" s="4"/>
    </row>
    <row r="12041" spans="16:16" x14ac:dyDescent="0.25">
      <c r="P12041" s="4"/>
    </row>
    <row r="12042" spans="16:16" x14ac:dyDescent="0.25">
      <c r="P12042" s="4"/>
    </row>
    <row r="12043" spans="16:16" x14ac:dyDescent="0.25">
      <c r="P12043" s="4"/>
    </row>
    <row r="12044" spans="16:16" x14ac:dyDescent="0.25">
      <c r="P12044" s="4"/>
    </row>
    <row r="12045" spans="16:16" x14ac:dyDescent="0.25">
      <c r="P12045" s="4"/>
    </row>
    <row r="12046" spans="16:16" x14ac:dyDescent="0.25">
      <c r="P12046" s="4"/>
    </row>
    <row r="12047" spans="16:16" x14ac:dyDescent="0.25">
      <c r="P12047" s="4"/>
    </row>
    <row r="12048" spans="16:16" x14ac:dyDescent="0.25">
      <c r="P12048" s="4"/>
    </row>
    <row r="12049" spans="16:16" x14ac:dyDescent="0.25">
      <c r="P12049" s="4"/>
    </row>
    <row r="12050" spans="16:16" x14ac:dyDescent="0.25">
      <c r="P12050" s="4"/>
    </row>
    <row r="12051" spans="16:16" x14ac:dyDescent="0.25">
      <c r="P12051" s="4"/>
    </row>
    <row r="12052" spans="16:16" x14ac:dyDescent="0.25">
      <c r="P12052" s="4"/>
    </row>
    <row r="12053" spans="16:16" x14ac:dyDescent="0.25">
      <c r="P12053" s="4"/>
    </row>
    <row r="12054" spans="16:16" x14ac:dyDescent="0.25">
      <c r="P12054" s="4"/>
    </row>
    <row r="12055" spans="16:16" x14ac:dyDescent="0.25">
      <c r="P12055" s="4"/>
    </row>
    <row r="12056" spans="16:16" x14ac:dyDescent="0.25">
      <c r="P12056" s="4"/>
    </row>
    <row r="12057" spans="16:16" x14ac:dyDescent="0.25">
      <c r="P12057" s="4"/>
    </row>
    <row r="12058" spans="16:16" x14ac:dyDescent="0.25">
      <c r="P12058" s="4"/>
    </row>
    <row r="12059" spans="16:16" x14ac:dyDescent="0.25">
      <c r="P12059" s="4"/>
    </row>
    <row r="12060" spans="16:16" x14ac:dyDescent="0.25">
      <c r="P12060" s="4"/>
    </row>
    <row r="12061" spans="16:16" x14ac:dyDescent="0.25">
      <c r="P12061" s="4"/>
    </row>
    <row r="12062" spans="16:16" x14ac:dyDescent="0.25">
      <c r="P12062" s="4"/>
    </row>
    <row r="12063" spans="16:16" x14ac:dyDescent="0.25">
      <c r="P12063" s="4"/>
    </row>
    <row r="12064" spans="16:16" x14ac:dyDescent="0.25">
      <c r="P12064" s="4"/>
    </row>
    <row r="12065" spans="16:16" x14ac:dyDescent="0.25">
      <c r="P12065" s="4"/>
    </row>
    <row r="12066" spans="16:16" x14ac:dyDescent="0.25">
      <c r="P12066" s="4"/>
    </row>
    <row r="12067" spans="16:16" x14ac:dyDescent="0.25">
      <c r="P12067" s="4"/>
    </row>
    <row r="12068" spans="16:16" x14ac:dyDescent="0.25">
      <c r="P12068" s="4"/>
    </row>
    <row r="12069" spans="16:16" x14ac:dyDescent="0.25">
      <c r="P12069" s="4"/>
    </row>
    <row r="12070" spans="16:16" x14ac:dyDescent="0.25">
      <c r="P12070" s="4"/>
    </row>
    <row r="12071" spans="16:16" x14ac:dyDescent="0.25">
      <c r="P12071" s="4"/>
    </row>
    <row r="12072" spans="16:16" x14ac:dyDescent="0.25">
      <c r="P12072" s="4"/>
    </row>
    <row r="12073" spans="16:16" x14ac:dyDescent="0.25">
      <c r="P12073" s="4"/>
    </row>
    <row r="12074" spans="16:16" x14ac:dyDescent="0.25">
      <c r="P12074" s="4"/>
    </row>
    <row r="12075" spans="16:16" x14ac:dyDescent="0.25">
      <c r="P12075" s="4"/>
    </row>
    <row r="12076" spans="16:16" x14ac:dyDescent="0.25">
      <c r="P12076" s="4"/>
    </row>
    <row r="12077" spans="16:16" x14ac:dyDescent="0.25">
      <c r="P12077" s="4"/>
    </row>
    <row r="12078" spans="16:16" x14ac:dyDescent="0.25">
      <c r="P12078" s="4"/>
    </row>
    <row r="12079" spans="16:16" x14ac:dyDescent="0.25">
      <c r="P12079" s="4"/>
    </row>
    <row r="12080" spans="16:16" x14ac:dyDescent="0.25">
      <c r="P12080" s="4"/>
    </row>
    <row r="12081" spans="16:16" x14ac:dyDescent="0.25">
      <c r="P12081" s="4"/>
    </row>
    <row r="12082" spans="16:16" x14ac:dyDescent="0.25">
      <c r="P12082" s="4"/>
    </row>
    <row r="12083" spans="16:16" x14ac:dyDescent="0.25">
      <c r="P12083" s="4"/>
    </row>
    <row r="12084" spans="16:16" x14ac:dyDescent="0.25">
      <c r="P12084" s="4"/>
    </row>
    <row r="12085" spans="16:16" x14ac:dyDescent="0.25">
      <c r="P12085" s="4"/>
    </row>
    <row r="12086" spans="16:16" x14ac:dyDescent="0.25">
      <c r="P12086" s="4"/>
    </row>
    <row r="12087" spans="16:16" x14ac:dyDescent="0.25">
      <c r="P12087" s="4"/>
    </row>
    <row r="12088" spans="16:16" x14ac:dyDescent="0.25">
      <c r="P12088" s="4"/>
    </row>
    <row r="12089" spans="16:16" x14ac:dyDescent="0.25">
      <c r="P12089" s="4"/>
    </row>
    <row r="12090" spans="16:16" x14ac:dyDescent="0.25">
      <c r="P12090" s="4"/>
    </row>
    <row r="12091" spans="16:16" x14ac:dyDescent="0.25">
      <c r="P12091" s="4"/>
    </row>
    <row r="12092" spans="16:16" x14ac:dyDescent="0.25">
      <c r="P12092" s="4"/>
    </row>
    <row r="12093" spans="16:16" x14ac:dyDescent="0.25">
      <c r="P12093" s="4"/>
    </row>
    <row r="12094" spans="16:16" x14ac:dyDescent="0.25">
      <c r="P12094" s="4"/>
    </row>
    <row r="12095" spans="16:16" x14ac:dyDescent="0.25">
      <c r="P12095" s="4"/>
    </row>
    <row r="12096" spans="16:16" x14ac:dyDescent="0.25">
      <c r="P12096" s="4"/>
    </row>
    <row r="12097" spans="16:16" x14ac:dyDescent="0.25">
      <c r="P12097" s="4"/>
    </row>
    <row r="12098" spans="16:16" x14ac:dyDescent="0.25">
      <c r="P12098" s="4"/>
    </row>
    <row r="12099" spans="16:16" x14ac:dyDescent="0.25">
      <c r="P12099" s="4"/>
    </row>
    <row r="12100" spans="16:16" x14ac:dyDescent="0.25">
      <c r="P12100" s="4"/>
    </row>
    <row r="12101" spans="16:16" x14ac:dyDescent="0.25">
      <c r="P12101" s="4"/>
    </row>
    <row r="12102" spans="16:16" x14ac:dyDescent="0.25">
      <c r="P12102" s="4"/>
    </row>
    <row r="12103" spans="16:16" x14ac:dyDescent="0.25">
      <c r="P12103" s="4"/>
    </row>
    <row r="12104" spans="16:16" x14ac:dyDescent="0.25">
      <c r="P12104" s="4"/>
    </row>
    <row r="12105" spans="16:16" x14ac:dyDescent="0.25">
      <c r="P12105" s="4"/>
    </row>
    <row r="12106" spans="16:16" x14ac:dyDescent="0.25">
      <c r="P12106" s="4"/>
    </row>
    <row r="12107" spans="16:16" x14ac:dyDescent="0.25">
      <c r="P12107" s="4"/>
    </row>
    <row r="12108" spans="16:16" x14ac:dyDescent="0.25">
      <c r="P12108" s="4"/>
    </row>
    <row r="12109" spans="16:16" x14ac:dyDescent="0.25">
      <c r="P12109" s="4"/>
    </row>
    <row r="12110" spans="16:16" x14ac:dyDescent="0.25">
      <c r="P12110" s="4"/>
    </row>
    <row r="12111" spans="16:16" x14ac:dyDescent="0.25">
      <c r="P12111" s="4"/>
    </row>
    <row r="12112" spans="16:16" x14ac:dyDescent="0.25">
      <c r="P12112" s="4"/>
    </row>
    <row r="12113" spans="16:16" x14ac:dyDescent="0.25">
      <c r="P12113" s="4"/>
    </row>
    <row r="12114" spans="16:16" x14ac:dyDescent="0.25">
      <c r="P12114" s="4"/>
    </row>
    <row r="12115" spans="16:16" x14ac:dyDescent="0.25">
      <c r="P12115" s="4"/>
    </row>
    <row r="12116" spans="16:16" x14ac:dyDescent="0.25">
      <c r="P12116" s="4"/>
    </row>
    <row r="12117" spans="16:16" x14ac:dyDescent="0.25">
      <c r="P12117" s="4"/>
    </row>
    <row r="12118" spans="16:16" x14ac:dyDescent="0.25">
      <c r="P12118" s="4"/>
    </row>
    <row r="12119" spans="16:16" x14ac:dyDescent="0.25">
      <c r="P12119" s="4"/>
    </row>
    <row r="12120" spans="16:16" x14ac:dyDescent="0.25">
      <c r="P12120" s="4"/>
    </row>
    <row r="12121" spans="16:16" x14ac:dyDescent="0.25">
      <c r="P12121" s="4"/>
    </row>
    <row r="12122" spans="16:16" x14ac:dyDescent="0.25">
      <c r="P12122" s="4"/>
    </row>
    <row r="12123" spans="16:16" x14ac:dyDescent="0.25">
      <c r="P12123" s="4"/>
    </row>
    <row r="12124" spans="16:16" x14ac:dyDescent="0.25">
      <c r="P12124" s="4"/>
    </row>
    <row r="12125" spans="16:16" x14ac:dyDescent="0.25">
      <c r="P12125" s="4"/>
    </row>
    <row r="12126" spans="16:16" x14ac:dyDescent="0.25">
      <c r="P12126" s="4"/>
    </row>
    <row r="12127" spans="16:16" x14ac:dyDescent="0.25">
      <c r="P12127" s="4"/>
    </row>
    <row r="12128" spans="16:16" x14ac:dyDescent="0.25">
      <c r="P12128" s="4"/>
    </row>
    <row r="12129" spans="16:16" x14ac:dyDescent="0.25">
      <c r="P12129" s="4"/>
    </row>
    <row r="12130" spans="16:16" x14ac:dyDescent="0.25">
      <c r="P12130" s="4"/>
    </row>
    <row r="12131" spans="16:16" x14ac:dyDescent="0.25">
      <c r="P12131" s="4"/>
    </row>
    <row r="12132" spans="16:16" x14ac:dyDescent="0.25">
      <c r="P12132" s="4"/>
    </row>
    <row r="12133" spans="16:16" x14ac:dyDescent="0.25">
      <c r="P12133" s="4"/>
    </row>
    <row r="12134" spans="16:16" x14ac:dyDescent="0.25">
      <c r="P12134" s="4"/>
    </row>
    <row r="12135" spans="16:16" x14ac:dyDescent="0.25">
      <c r="P12135" s="4"/>
    </row>
    <row r="12136" spans="16:16" x14ac:dyDescent="0.25">
      <c r="P12136" s="4"/>
    </row>
    <row r="12137" spans="16:16" x14ac:dyDescent="0.25">
      <c r="P12137" s="4"/>
    </row>
    <row r="12138" spans="16:16" x14ac:dyDescent="0.25">
      <c r="P12138" s="4"/>
    </row>
    <row r="12139" spans="16:16" x14ac:dyDescent="0.25">
      <c r="P12139" s="4"/>
    </row>
    <row r="12140" spans="16:16" x14ac:dyDescent="0.25">
      <c r="P12140" s="4"/>
    </row>
    <row r="12141" spans="16:16" x14ac:dyDescent="0.25">
      <c r="P12141" s="4"/>
    </row>
    <row r="12142" spans="16:16" x14ac:dyDescent="0.25">
      <c r="P12142" s="4"/>
    </row>
    <row r="12143" spans="16:16" x14ac:dyDescent="0.25">
      <c r="P12143" s="4"/>
    </row>
    <row r="12144" spans="16:16" x14ac:dyDescent="0.25">
      <c r="P12144" s="4"/>
    </row>
    <row r="12145" spans="16:16" x14ac:dyDescent="0.25">
      <c r="P12145" s="4"/>
    </row>
    <row r="12146" spans="16:16" x14ac:dyDescent="0.25">
      <c r="P12146" s="4"/>
    </row>
    <row r="12147" spans="16:16" x14ac:dyDescent="0.25">
      <c r="P12147" s="4"/>
    </row>
    <row r="12148" spans="16:16" x14ac:dyDescent="0.25">
      <c r="P12148" s="4"/>
    </row>
    <row r="12149" spans="16:16" x14ac:dyDescent="0.25">
      <c r="P12149" s="4"/>
    </row>
    <row r="12150" spans="16:16" x14ac:dyDescent="0.25">
      <c r="P12150" s="4"/>
    </row>
    <row r="12151" spans="16:16" x14ac:dyDescent="0.25">
      <c r="P12151" s="4"/>
    </row>
    <row r="12152" spans="16:16" x14ac:dyDescent="0.25">
      <c r="P12152" s="4"/>
    </row>
    <row r="12153" spans="16:16" x14ac:dyDescent="0.25">
      <c r="P12153" s="4"/>
    </row>
    <row r="12154" spans="16:16" x14ac:dyDescent="0.25">
      <c r="P12154" s="4"/>
    </row>
    <row r="12155" spans="16:16" x14ac:dyDescent="0.25">
      <c r="P12155" s="4"/>
    </row>
    <row r="12156" spans="16:16" x14ac:dyDescent="0.25">
      <c r="P12156" s="4"/>
    </row>
    <row r="12157" spans="16:16" x14ac:dyDescent="0.25">
      <c r="P12157" s="4"/>
    </row>
    <row r="12158" spans="16:16" x14ac:dyDescent="0.25">
      <c r="P12158" s="4"/>
    </row>
    <row r="12159" spans="16:16" x14ac:dyDescent="0.25">
      <c r="P12159" s="4"/>
    </row>
    <row r="12160" spans="16:16" x14ac:dyDescent="0.25">
      <c r="P12160" s="4"/>
    </row>
    <row r="12161" spans="16:16" x14ac:dyDescent="0.25">
      <c r="P12161" s="4"/>
    </row>
    <row r="12162" spans="16:16" x14ac:dyDescent="0.25">
      <c r="P12162" s="4"/>
    </row>
    <row r="12163" spans="16:16" x14ac:dyDescent="0.25">
      <c r="P12163" s="4"/>
    </row>
    <row r="12164" spans="16:16" x14ac:dyDescent="0.25">
      <c r="P12164" s="4"/>
    </row>
    <row r="12165" spans="16:16" x14ac:dyDescent="0.25">
      <c r="P12165" s="4"/>
    </row>
    <row r="12166" spans="16:16" x14ac:dyDescent="0.25">
      <c r="P12166" s="4"/>
    </row>
    <row r="12167" spans="16:16" x14ac:dyDescent="0.25">
      <c r="P12167" s="4"/>
    </row>
    <row r="12168" spans="16:16" x14ac:dyDescent="0.25">
      <c r="P12168" s="4"/>
    </row>
    <row r="12169" spans="16:16" x14ac:dyDescent="0.25">
      <c r="P12169" s="4"/>
    </row>
    <row r="12170" spans="16:16" x14ac:dyDescent="0.25">
      <c r="P12170" s="4"/>
    </row>
    <row r="12171" spans="16:16" x14ac:dyDescent="0.25">
      <c r="P12171" s="4"/>
    </row>
    <row r="12172" spans="16:16" x14ac:dyDescent="0.25">
      <c r="P12172" s="4"/>
    </row>
    <row r="12173" spans="16:16" x14ac:dyDescent="0.25">
      <c r="P12173" s="4"/>
    </row>
    <row r="12174" spans="16:16" x14ac:dyDescent="0.25">
      <c r="P12174" s="4"/>
    </row>
    <row r="12175" spans="16:16" x14ac:dyDescent="0.25">
      <c r="P12175" s="4"/>
    </row>
    <row r="12176" spans="16:16" x14ac:dyDescent="0.25">
      <c r="P12176" s="4"/>
    </row>
    <row r="12177" spans="16:16" x14ac:dyDescent="0.25">
      <c r="P12177" s="4"/>
    </row>
    <row r="12178" spans="16:16" x14ac:dyDescent="0.25">
      <c r="P12178" s="4"/>
    </row>
    <row r="12179" spans="16:16" x14ac:dyDescent="0.25">
      <c r="P12179" s="4"/>
    </row>
    <row r="12180" spans="16:16" x14ac:dyDescent="0.25">
      <c r="P12180" s="4"/>
    </row>
    <row r="12181" spans="16:16" x14ac:dyDescent="0.25">
      <c r="P12181" s="4"/>
    </row>
    <row r="12182" spans="16:16" x14ac:dyDescent="0.25">
      <c r="P12182" s="4"/>
    </row>
    <row r="12183" spans="16:16" x14ac:dyDescent="0.25">
      <c r="P12183" s="4"/>
    </row>
    <row r="12184" spans="16:16" x14ac:dyDescent="0.25">
      <c r="P12184" s="4"/>
    </row>
    <row r="12185" spans="16:16" x14ac:dyDescent="0.25">
      <c r="P12185" s="4"/>
    </row>
    <row r="12186" spans="16:16" x14ac:dyDescent="0.25">
      <c r="P12186" s="4"/>
    </row>
    <row r="12187" spans="16:16" x14ac:dyDescent="0.25">
      <c r="P12187" s="4"/>
    </row>
    <row r="12188" spans="16:16" x14ac:dyDescent="0.25">
      <c r="P12188" s="4"/>
    </row>
    <row r="12189" spans="16:16" x14ac:dyDescent="0.25">
      <c r="P12189" s="4"/>
    </row>
    <row r="12190" spans="16:16" x14ac:dyDescent="0.25">
      <c r="P12190" s="4"/>
    </row>
    <row r="12191" spans="16:16" x14ac:dyDescent="0.25">
      <c r="P12191" s="4"/>
    </row>
    <row r="12192" spans="16:16" x14ac:dyDescent="0.25">
      <c r="P12192" s="4"/>
    </row>
    <row r="12193" spans="16:16" x14ac:dyDescent="0.25">
      <c r="P12193" s="4"/>
    </row>
    <row r="12194" spans="16:16" x14ac:dyDescent="0.25">
      <c r="P12194" s="4"/>
    </row>
    <row r="12195" spans="16:16" x14ac:dyDescent="0.25">
      <c r="P12195" s="4"/>
    </row>
    <row r="12196" spans="16:16" x14ac:dyDescent="0.25">
      <c r="P12196" s="4"/>
    </row>
    <row r="12197" spans="16:16" x14ac:dyDescent="0.25">
      <c r="P12197" s="4"/>
    </row>
    <row r="12198" spans="16:16" x14ac:dyDescent="0.25">
      <c r="P12198" s="4"/>
    </row>
    <row r="12199" spans="16:16" x14ac:dyDescent="0.25">
      <c r="P12199" s="4"/>
    </row>
    <row r="12200" spans="16:16" x14ac:dyDescent="0.25">
      <c r="P12200" s="4"/>
    </row>
    <row r="12201" spans="16:16" x14ac:dyDescent="0.25">
      <c r="P12201" s="4"/>
    </row>
    <row r="12202" spans="16:16" x14ac:dyDescent="0.25">
      <c r="P12202" s="4"/>
    </row>
    <row r="12203" spans="16:16" x14ac:dyDescent="0.25">
      <c r="P12203" s="4"/>
    </row>
    <row r="12204" spans="16:16" x14ac:dyDescent="0.25">
      <c r="P12204" s="4"/>
    </row>
    <row r="12205" spans="16:16" x14ac:dyDescent="0.25">
      <c r="P12205" s="4"/>
    </row>
    <row r="12206" spans="16:16" x14ac:dyDescent="0.25">
      <c r="P12206" s="4"/>
    </row>
    <row r="12207" spans="16:16" x14ac:dyDescent="0.25">
      <c r="P12207" s="4"/>
    </row>
    <row r="12208" spans="16:16" x14ac:dyDescent="0.25">
      <c r="P12208" s="4"/>
    </row>
    <row r="12209" spans="16:16" x14ac:dyDescent="0.25">
      <c r="P12209" s="4"/>
    </row>
    <row r="12210" spans="16:16" x14ac:dyDescent="0.25">
      <c r="P12210" s="4"/>
    </row>
    <row r="12211" spans="16:16" x14ac:dyDescent="0.25">
      <c r="P12211" s="4"/>
    </row>
    <row r="12212" spans="16:16" x14ac:dyDescent="0.25">
      <c r="P12212" s="4"/>
    </row>
    <row r="12213" spans="16:16" x14ac:dyDescent="0.25">
      <c r="P12213" s="4"/>
    </row>
    <row r="12214" spans="16:16" x14ac:dyDescent="0.25">
      <c r="P12214" s="4"/>
    </row>
    <row r="12215" spans="16:16" x14ac:dyDescent="0.25">
      <c r="P12215" s="4"/>
    </row>
    <row r="12216" spans="16:16" x14ac:dyDescent="0.25">
      <c r="P12216" s="4"/>
    </row>
    <row r="12217" spans="16:16" x14ac:dyDescent="0.25">
      <c r="P12217" s="4"/>
    </row>
    <row r="12218" spans="16:16" x14ac:dyDescent="0.25">
      <c r="P12218" s="4"/>
    </row>
    <row r="12219" spans="16:16" x14ac:dyDescent="0.25">
      <c r="P12219" s="4"/>
    </row>
    <row r="12220" spans="16:16" x14ac:dyDescent="0.25">
      <c r="P12220" s="4"/>
    </row>
    <row r="12221" spans="16:16" x14ac:dyDescent="0.25">
      <c r="P12221" s="4"/>
    </row>
    <row r="12222" spans="16:16" x14ac:dyDescent="0.25">
      <c r="P12222" s="4"/>
    </row>
    <row r="12223" spans="16:16" x14ac:dyDescent="0.25">
      <c r="P12223" s="4"/>
    </row>
    <row r="12224" spans="16:16" x14ac:dyDescent="0.25">
      <c r="P12224" s="4"/>
    </row>
    <row r="12225" spans="16:16" x14ac:dyDescent="0.25">
      <c r="P12225" s="4"/>
    </row>
    <row r="12226" spans="16:16" x14ac:dyDescent="0.25">
      <c r="P12226" s="4"/>
    </row>
    <row r="12227" spans="16:16" x14ac:dyDescent="0.25">
      <c r="P12227" s="4"/>
    </row>
    <row r="12228" spans="16:16" x14ac:dyDescent="0.25">
      <c r="P12228" s="4"/>
    </row>
    <row r="12229" spans="16:16" x14ac:dyDescent="0.25">
      <c r="P12229" s="4"/>
    </row>
    <row r="12230" spans="16:16" x14ac:dyDescent="0.25">
      <c r="P12230" s="4"/>
    </row>
    <row r="12231" spans="16:16" x14ac:dyDescent="0.25">
      <c r="P12231" s="4"/>
    </row>
    <row r="12232" spans="16:16" x14ac:dyDescent="0.25">
      <c r="P12232" s="4"/>
    </row>
    <row r="12233" spans="16:16" x14ac:dyDescent="0.25">
      <c r="P12233" s="4"/>
    </row>
    <row r="12234" spans="16:16" x14ac:dyDescent="0.25">
      <c r="P12234" s="4"/>
    </row>
    <row r="12235" spans="16:16" x14ac:dyDescent="0.25">
      <c r="P12235" s="4"/>
    </row>
    <row r="12236" spans="16:16" x14ac:dyDescent="0.25">
      <c r="P12236" s="4"/>
    </row>
    <row r="12237" spans="16:16" x14ac:dyDescent="0.25">
      <c r="P12237" s="4"/>
    </row>
    <row r="12238" spans="16:16" x14ac:dyDescent="0.25">
      <c r="P12238" s="4"/>
    </row>
    <row r="12239" spans="16:16" x14ac:dyDescent="0.25">
      <c r="P12239" s="4"/>
    </row>
    <row r="12240" spans="16:16" x14ac:dyDescent="0.25">
      <c r="P12240" s="4"/>
    </row>
    <row r="12241" spans="16:16" x14ac:dyDescent="0.25">
      <c r="P12241" s="4"/>
    </row>
    <row r="12242" spans="16:16" x14ac:dyDescent="0.25">
      <c r="P12242" s="4"/>
    </row>
    <row r="12243" spans="16:16" x14ac:dyDescent="0.25">
      <c r="P12243" s="4"/>
    </row>
    <row r="12244" spans="16:16" x14ac:dyDescent="0.25">
      <c r="P12244" s="4"/>
    </row>
    <row r="12245" spans="16:16" x14ac:dyDescent="0.25">
      <c r="P12245" s="4"/>
    </row>
    <row r="12246" spans="16:16" x14ac:dyDescent="0.25">
      <c r="P12246" s="4"/>
    </row>
    <row r="12247" spans="16:16" x14ac:dyDescent="0.25">
      <c r="P12247" s="4"/>
    </row>
    <row r="12248" spans="16:16" x14ac:dyDescent="0.25">
      <c r="P12248" s="4"/>
    </row>
    <row r="12249" spans="16:16" x14ac:dyDescent="0.25">
      <c r="P12249" s="4"/>
    </row>
    <row r="12250" spans="16:16" x14ac:dyDescent="0.25">
      <c r="P12250" s="4"/>
    </row>
    <row r="12251" spans="16:16" x14ac:dyDescent="0.25">
      <c r="P12251" s="4"/>
    </row>
    <row r="12252" spans="16:16" x14ac:dyDescent="0.25">
      <c r="P12252" s="4"/>
    </row>
    <row r="12253" spans="16:16" x14ac:dyDescent="0.25">
      <c r="P12253" s="4"/>
    </row>
    <row r="12254" spans="16:16" x14ac:dyDescent="0.25">
      <c r="P12254" s="4"/>
    </row>
    <row r="12255" spans="16:16" x14ac:dyDescent="0.25">
      <c r="P12255" s="4"/>
    </row>
    <row r="12256" spans="16:16" x14ac:dyDescent="0.25">
      <c r="P12256" s="4"/>
    </row>
    <row r="12257" spans="16:16" x14ac:dyDescent="0.25">
      <c r="P12257" s="4"/>
    </row>
    <row r="12258" spans="16:16" x14ac:dyDescent="0.25">
      <c r="P12258" s="4"/>
    </row>
    <row r="12259" spans="16:16" x14ac:dyDescent="0.25">
      <c r="P12259" s="4"/>
    </row>
    <row r="12260" spans="16:16" x14ac:dyDescent="0.25">
      <c r="P12260" s="4"/>
    </row>
    <row r="12261" spans="16:16" x14ac:dyDescent="0.25">
      <c r="P12261" s="4"/>
    </row>
    <row r="12262" spans="16:16" x14ac:dyDescent="0.25">
      <c r="P12262" s="4"/>
    </row>
    <row r="12263" spans="16:16" x14ac:dyDescent="0.25">
      <c r="P12263" s="4"/>
    </row>
    <row r="12264" spans="16:16" x14ac:dyDescent="0.25">
      <c r="P12264" s="4"/>
    </row>
    <row r="12265" spans="16:16" x14ac:dyDescent="0.25">
      <c r="P12265" s="4"/>
    </row>
    <row r="12266" spans="16:16" x14ac:dyDescent="0.25">
      <c r="P12266" s="4"/>
    </row>
    <row r="12267" spans="16:16" x14ac:dyDescent="0.25">
      <c r="P12267" s="4"/>
    </row>
    <row r="12268" spans="16:16" x14ac:dyDescent="0.25">
      <c r="P12268" s="4"/>
    </row>
    <row r="12269" spans="16:16" x14ac:dyDescent="0.25">
      <c r="P12269" s="4"/>
    </row>
    <row r="12270" spans="16:16" x14ac:dyDescent="0.25">
      <c r="P12270" s="4"/>
    </row>
    <row r="12271" spans="16:16" x14ac:dyDescent="0.25">
      <c r="P12271" s="4"/>
    </row>
    <row r="12272" spans="16:16" x14ac:dyDescent="0.25">
      <c r="P12272" s="4"/>
    </row>
    <row r="12273" spans="16:16" x14ac:dyDescent="0.25">
      <c r="P12273" s="4"/>
    </row>
    <row r="12274" spans="16:16" x14ac:dyDescent="0.25">
      <c r="P12274" s="4"/>
    </row>
    <row r="12275" spans="16:16" x14ac:dyDescent="0.25">
      <c r="P12275" s="4"/>
    </row>
    <row r="12276" spans="16:16" x14ac:dyDescent="0.25">
      <c r="P12276" s="4"/>
    </row>
    <row r="12277" spans="16:16" x14ac:dyDescent="0.25">
      <c r="P12277" s="4"/>
    </row>
    <row r="12278" spans="16:16" x14ac:dyDescent="0.25">
      <c r="P12278" s="4"/>
    </row>
    <row r="12279" spans="16:16" x14ac:dyDescent="0.25">
      <c r="P12279" s="4"/>
    </row>
    <row r="12280" spans="16:16" x14ac:dyDescent="0.25">
      <c r="P12280" s="4"/>
    </row>
    <row r="12281" spans="16:16" x14ac:dyDescent="0.25">
      <c r="P12281" s="4"/>
    </row>
    <row r="12282" spans="16:16" x14ac:dyDescent="0.25">
      <c r="P12282" s="4"/>
    </row>
    <row r="12283" spans="16:16" x14ac:dyDescent="0.25">
      <c r="P12283" s="4"/>
    </row>
    <row r="12284" spans="16:16" x14ac:dyDescent="0.25">
      <c r="P12284" s="4"/>
    </row>
    <row r="12285" spans="16:16" x14ac:dyDescent="0.25">
      <c r="P12285" s="4"/>
    </row>
    <row r="12286" spans="16:16" x14ac:dyDescent="0.25">
      <c r="P12286" s="4"/>
    </row>
    <row r="12287" spans="16:16" x14ac:dyDescent="0.25">
      <c r="P12287" s="4"/>
    </row>
    <row r="12288" spans="16:16" x14ac:dyDescent="0.25">
      <c r="P12288" s="4"/>
    </row>
    <row r="12289" spans="16:16" x14ac:dyDescent="0.25">
      <c r="P12289" s="4"/>
    </row>
    <row r="12290" spans="16:16" x14ac:dyDescent="0.25">
      <c r="P12290" s="4"/>
    </row>
    <row r="12291" spans="16:16" x14ac:dyDescent="0.25">
      <c r="P12291" s="4"/>
    </row>
    <row r="12292" spans="16:16" x14ac:dyDescent="0.25">
      <c r="P12292" s="4"/>
    </row>
    <row r="12293" spans="16:16" x14ac:dyDescent="0.25">
      <c r="P12293" s="4"/>
    </row>
    <row r="12294" spans="16:16" x14ac:dyDescent="0.25">
      <c r="P12294" s="4"/>
    </row>
    <row r="12295" spans="16:16" x14ac:dyDescent="0.25">
      <c r="P12295" s="4"/>
    </row>
    <row r="12296" spans="16:16" x14ac:dyDescent="0.25">
      <c r="P12296" s="4"/>
    </row>
    <row r="12297" spans="16:16" x14ac:dyDescent="0.25">
      <c r="P12297" s="4"/>
    </row>
    <row r="12298" spans="16:16" x14ac:dyDescent="0.25">
      <c r="P12298" s="4"/>
    </row>
    <row r="12299" spans="16:16" x14ac:dyDescent="0.25">
      <c r="P12299" s="4"/>
    </row>
    <row r="12300" spans="16:16" x14ac:dyDescent="0.25">
      <c r="P12300" s="4"/>
    </row>
    <row r="12301" spans="16:16" x14ac:dyDescent="0.25">
      <c r="P12301" s="4"/>
    </row>
    <row r="12302" spans="16:16" x14ac:dyDescent="0.25">
      <c r="P12302" s="4"/>
    </row>
    <row r="12303" spans="16:16" x14ac:dyDescent="0.25">
      <c r="P12303" s="4"/>
    </row>
    <row r="12304" spans="16:16" x14ac:dyDescent="0.25">
      <c r="P12304" s="4"/>
    </row>
    <row r="12305" spans="16:16" x14ac:dyDescent="0.25">
      <c r="P12305" s="4"/>
    </row>
    <row r="12306" spans="16:16" x14ac:dyDescent="0.25">
      <c r="P12306" s="4"/>
    </row>
    <row r="12307" spans="16:16" x14ac:dyDescent="0.25">
      <c r="P12307" s="4"/>
    </row>
    <row r="12308" spans="16:16" x14ac:dyDescent="0.25">
      <c r="P12308" s="4"/>
    </row>
    <row r="12309" spans="16:16" x14ac:dyDescent="0.25">
      <c r="P12309" s="4"/>
    </row>
    <row r="12310" spans="16:16" x14ac:dyDescent="0.25">
      <c r="P12310" s="4"/>
    </row>
    <row r="12311" spans="16:16" x14ac:dyDescent="0.25">
      <c r="P12311" s="4"/>
    </row>
    <row r="12312" spans="16:16" x14ac:dyDescent="0.25">
      <c r="P12312" s="4"/>
    </row>
    <row r="12313" spans="16:16" x14ac:dyDescent="0.25">
      <c r="P12313" s="4"/>
    </row>
    <row r="12314" spans="16:16" x14ac:dyDescent="0.25">
      <c r="P12314" s="4"/>
    </row>
    <row r="12315" spans="16:16" x14ac:dyDescent="0.25">
      <c r="P12315" s="4"/>
    </row>
    <row r="12316" spans="16:16" x14ac:dyDescent="0.25">
      <c r="P12316" s="4"/>
    </row>
    <row r="12317" spans="16:16" x14ac:dyDescent="0.25">
      <c r="P12317" s="4"/>
    </row>
    <row r="12318" spans="16:16" x14ac:dyDescent="0.25">
      <c r="P12318" s="4"/>
    </row>
    <row r="12319" spans="16:16" x14ac:dyDescent="0.25">
      <c r="P12319" s="4"/>
    </row>
    <row r="12320" spans="16:16" x14ac:dyDescent="0.25">
      <c r="P12320" s="4"/>
    </row>
    <row r="12321" spans="16:16" x14ac:dyDescent="0.25">
      <c r="P12321" s="4"/>
    </row>
    <row r="12322" spans="16:16" x14ac:dyDescent="0.25">
      <c r="P12322" s="4"/>
    </row>
    <row r="12323" spans="16:16" x14ac:dyDescent="0.25">
      <c r="P12323" s="4"/>
    </row>
    <row r="12324" spans="16:16" x14ac:dyDescent="0.25">
      <c r="P12324" s="4"/>
    </row>
    <row r="12325" spans="16:16" x14ac:dyDescent="0.25">
      <c r="P12325" s="4"/>
    </row>
    <row r="12326" spans="16:16" x14ac:dyDescent="0.25">
      <c r="P12326" s="4"/>
    </row>
    <row r="12327" spans="16:16" x14ac:dyDescent="0.25">
      <c r="P12327" s="4"/>
    </row>
    <row r="12328" spans="16:16" x14ac:dyDescent="0.25">
      <c r="P12328" s="4"/>
    </row>
    <row r="12329" spans="16:16" x14ac:dyDescent="0.25">
      <c r="P12329" s="4"/>
    </row>
    <row r="12330" spans="16:16" x14ac:dyDescent="0.25">
      <c r="P12330" s="4"/>
    </row>
    <row r="12331" spans="16:16" x14ac:dyDescent="0.25">
      <c r="P12331" s="4"/>
    </row>
    <row r="12332" spans="16:16" x14ac:dyDescent="0.25">
      <c r="P12332" s="4"/>
    </row>
    <row r="12333" spans="16:16" x14ac:dyDescent="0.25">
      <c r="P12333" s="4"/>
    </row>
    <row r="12334" spans="16:16" x14ac:dyDescent="0.25">
      <c r="P12334" s="4"/>
    </row>
    <row r="12335" spans="16:16" x14ac:dyDescent="0.25">
      <c r="P12335" s="4"/>
    </row>
    <row r="12336" spans="16:16" x14ac:dyDescent="0.25">
      <c r="P12336" s="4"/>
    </row>
    <row r="12337" spans="16:16" x14ac:dyDescent="0.25">
      <c r="P12337" s="4"/>
    </row>
    <row r="12338" spans="16:16" x14ac:dyDescent="0.25">
      <c r="P12338" s="4"/>
    </row>
    <row r="12339" spans="16:16" x14ac:dyDescent="0.25">
      <c r="P12339" s="4"/>
    </row>
    <row r="12340" spans="16:16" x14ac:dyDescent="0.25">
      <c r="P12340" s="4"/>
    </row>
    <row r="12341" spans="16:16" x14ac:dyDescent="0.25">
      <c r="P12341" s="4"/>
    </row>
    <row r="12342" spans="16:16" x14ac:dyDescent="0.25">
      <c r="P12342" s="4"/>
    </row>
    <row r="12343" spans="16:16" x14ac:dyDescent="0.25">
      <c r="P12343" s="4"/>
    </row>
    <row r="12344" spans="16:16" x14ac:dyDescent="0.25">
      <c r="P12344" s="4"/>
    </row>
    <row r="12345" spans="16:16" x14ac:dyDescent="0.25">
      <c r="P12345" s="4"/>
    </row>
    <row r="12346" spans="16:16" x14ac:dyDescent="0.25">
      <c r="P12346" s="4"/>
    </row>
    <row r="12347" spans="16:16" x14ac:dyDescent="0.25">
      <c r="P12347" s="4"/>
    </row>
    <row r="12348" spans="16:16" x14ac:dyDescent="0.25">
      <c r="P12348" s="4"/>
    </row>
    <row r="12349" spans="16:16" x14ac:dyDescent="0.25">
      <c r="P12349" s="4"/>
    </row>
    <row r="12350" spans="16:16" x14ac:dyDescent="0.25">
      <c r="P12350" s="4"/>
    </row>
    <row r="12351" spans="16:16" x14ac:dyDescent="0.25">
      <c r="P12351" s="4"/>
    </row>
    <row r="12352" spans="16:16" x14ac:dyDescent="0.25">
      <c r="P12352" s="4"/>
    </row>
    <row r="12353" spans="16:16" x14ac:dyDescent="0.25">
      <c r="P12353" s="4"/>
    </row>
    <row r="12354" spans="16:16" x14ac:dyDescent="0.25">
      <c r="P12354" s="4"/>
    </row>
    <row r="12355" spans="16:16" x14ac:dyDescent="0.25">
      <c r="P12355" s="4"/>
    </row>
    <row r="12356" spans="16:16" x14ac:dyDescent="0.25">
      <c r="P12356" s="4"/>
    </row>
    <row r="12357" spans="16:16" x14ac:dyDescent="0.25">
      <c r="P12357" s="4"/>
    </row>
    <row r="12358" spans="16:16" x14ac:dyDescent="0.25">
      <c r="P12358" s="4"/>
    </row>
    <row r="12359" spans="16:16" x14ac:dyDescent="0.25">
      <c r="P12359" s="4"/>
    </row>
    <row r="12360" spans="16:16" x14ac:dyDescent="0.25">
      <c r="P12360" s="4"/>
    </row>
    <row r="12361" spans="16:16" x14ac:dyDescent="0.25">
      <c r="P12361" s="4"/>
    </row>
    <row r="12362" spans="16:16" x14ac:dyDescent="0.25">
      <c r="P12362" s="4"/>
    </row>
    <row r="12363" spans="16:16" x14ac:dyDescent="0.25">
      <c r="P12363" s="4"/>
    </row>
    <row r="12364" spans="16:16" x14ac:dyDescent="0.25">
      <c r="P12364" s="4"/>
    </row>
    <row r="12365" spans="16:16" x14ac:dyDescent="0.25">
      <c r="P12365" s="4"/>
    </row>
    <row r="12366" spans="16:16" x14ac:dyDescent="0.25">
      <c r="P12366" s="4"/>
    </row>
    <row r="12367" spans="16:16" x14ac:dyDescent="0.25">
      <c r="P12367" s="4"/>
    </row>
    <row r="12368" spans="16:16" x14ac:dyDescent="0.25">
      <c r="P12368" s="4"/>
    </row>
    <row r="12369" spans="16:16" x14ac:dyDescent="0.25">
      <c r="P12369" s="4"/>
    </row>
    <row r="12370" spans="16:16" x14ac:dyDescent="0.25">
      <c r="P12370" s="4"/>
    </row>
    <row r="12371" spans="16:16" x14ac:dyDescent="0.25">
      <c r="P12371" s="4"/>
    </row>
    <row r="12372" spans="16:16" x14ac:dyDescent="0.25">
      <c r="P12372" s="4"/>
    </row>
    <row r="12373" spans="16:16" x14ac:dyDescent="0.25">
      <c r="P12373" s="4"/>
    </row>
    <row r="12374" spans="16:16" x14ac:dyDescent="0.25">
      <c r="P12374" s="4"/>
    </row>
    <row r="12375" spans="16:16" x14ac:dyDescent="0.25">
      <c r="P12375" s="4"/>
    </row>
    <row r="12376" spans="16:16" x14ac:dyDescent="0.25">
      <c r="P12376" s="4"/>
    </row>
    <row r="12377" spans="16:16" x14ac:dyDescent="0.25">
      <c r="P12377" s="4"/>
    </row>
    <row r="12378" spans="16:16" x14ac:dyDescent="0.25">
      <c r="P12378" s="4"/>
    </row>
    <row r="12379" spans="16:16" x14ac:dyDescent="0.25">
      <c r="P12379" s="4"/>
    </row>
    <row r="12380" spans="16:16" x14ac:dyDescent="0.25">
      <c r="P12380" s="4"/>
    </row>
    <row r="12381" spans="16:16" x14ac:dyDescent="0.25">
      <c r="P12381" s="4"/>
    </row>
    <row r="12382" spans="16:16" x14ac:dyDescent="0.25">
      <c r="P12382" s="4"/>
    </row>
    <row r="12383" spans="16:16" x14ac:dyDescent="0.25">
      <c r="P12383" s="4"/>
    </row>
    <row r="12384" spans="16:16" x14ac:dyDescent="0.25">
      <c r="P12384" s="4"/>
    </row>
    <row r="12385" spans="16:16" x14ac:dyDescent="0.25">
      <c r="P12385" s="4"/>
    </row>
    <row r="12386" spans="16:16" x14ac:dyDescent="0.25">
      <c r="P12386" s="4"/>
    </row>
    <row r="12387" spans="16:16" x14ac:dyDescent="0.25">
      <c r="P12387" s="4"/>
    </row>
    <row r="12388" spans="16:16" x14ac:dyDescent="0.25">
      <c r="P12388" s="4"/>
    </row>
    <row r="12389" spans="16:16" x14ac:dyDescent="0.25">
      <c r="P12389" s="4"/>
    </row>
    <row r="12390" spans="16:16" x14ac:dyDescent="0.25">
      <c r="P12390" s="4"/>
    </row>
    <row r="12391" spans="16:16" x14ac:dyDescent="0.25">
      <c r="P12391" s="4"/>
    </row>
    <row r="12392" spans="16:16" x14ac:dyDescent="0.25">
      <c r="P12392" s="4"/>
    </row>
    <row r="12393" spans="16:16" x14ac:dyDescent="0.25">
      <c r="P12393" s="4"/>
    </row>
    <row r="12394" spans="16:16" x14ac:dyDescent="0.25">
      <c r="P12394" s="4"/>
    </row>
    <row r="12395" spans="16:16" x14ac:dyDescent="0.25">
      <c r="P12395" s="4"/>
    </row>
    <row r="12396" spans="16:16" x14ac:dyDescent="0.25">
      <c r="P12396" s="4"/>
    </row>
    <row r="12397" spans="16:16" x14ac:dyDescent="0.25">
      <c r="P12397" s="4"/>
    </row>
    <row r="12398" spans="16:16" x14ac:dyDescent="0.25">
      <c r="P12398" s="4"/>
    </row>
    <row r="12399" spans="16:16" x14ac:dyDescent="0.25">
      <c r="P12399" s="4"/>
    </row>
    <row r="12400" spans="16:16" x14ac:dyDescent="0.25">
      <c r="P12400" s="4"/>
    </row>
    <row r="12401" spans="16:16" x14ac:dyDescent="0.25">
      <c r="P12401" s="4"/>
    </row>
    <row r="12402" spans="16:16" x14ac:dyDescent="0.25">
      <c r="P12402" s="4"/>
    </row>
    <row r="12403" spans="16:16" x14ac:dyDescent="0.25">
      <c r="P12403" s="4"/>
    </row>
    <row r="12404" spans="16:16" x14ac:dyDescent="0.25">
      <c r="P12404" s="4"/>
    </row>
    <row r="12405" spans="16:16" x14ac:dyDescent="0.25">
      <c r="P12405" s="4"/>
    </row>
    <row r="12406" spans="16:16" x14ac:dyDescent="0.25">
      <c r="P12406" s="4"/>
    </row>
    <row r="12407" spans="16:16" x14ac:dyDescent="0.25">
      <c r="P12407" s="4"/>
    </row>
    <row r="12408" spans="16:16" x14ac:dyDescent="0.25">
      <c r="P12408" s="4"/>
    </row>
    <row r="12409" spans="16:16" x14ac:dyDescent="0.25">
      <c r="P12409" s="4"/>
    </row>
    <row r="12410" spans="16:16" x14ac:dyDescent="0.25">
      <c r="P12410" s="4"/>
    </row>
    <row r="12411" spans="16:16" x14ac:dyDescent="0.25">
      <c r="P12411" s="4"/>
    </row>
    <row r="12412" spans="16:16" x14ac:dyDescent="0.25">
      <c r="P12412" s="4"/>
    </row>
    <row r="12413" spans="16:16" x14ac:dyDescent="0.25">
      <c r="P12413" s="4"/>
    </row>
    <row r="12414" spans="16:16" x14ac:dyDescent="0.25">
      <c r="P12414" s="4"/>
    </row>
    <row r="12415" spans="16:16" x14ac:dyDescent="0.25">
      <c r="P12415" s="4"/>
    </row>
    <row r="12416" spans="16:16" x14ac:dyDescent="0.25">
      <c r="P12416" s="4"/>
    </row>
    <row r="12417" spans="16:16" x14ac:dyDescent="0.25">
      <c r="P12417" s="4"/>
    </row>
    <row r="12418" spans="16:16" x14ac:dyDescent="0.25">
      <c r="P12418" s="4"/>
    </row>
    <row r="12419" spans="16:16" x14ac:dyDescent="0.25">
      <c r="P12419" s="4"/>
    </row>
    <row r="12420" spans="16:16" x14ac:dyDescent="0.25">
      <c r="P12420" s="4"/>
    </row>
    <row r="12421" spans="16:16" x14ac:dyDescent="0.25">
      <c r="P12421" s="4"/>
    </row>
    <row r="12422" spans="16:16" x14ac:dyDescent="0.25">
      <c r="P12422" s="4"/>
    </row>
    <row r="12423" spans="16:16" x14ac:dyDescent="0.25">
      <c r="P12423" s="4"/>
    </row>
    <row r="12424" spans="16:16" x14ac:dyDescent="0.25">
      <c r="P12424" s="4"/>
    </row>
    <row r="12425" spans="16:16" x14ac:dyDescent="0.25">
      <c r="P12425" s="4"/>
    </row>
    <row r="12426" spans="16:16" x14ac:dyDescent="0.25">
      <c r="P12426" s="4"/>
    </row>
    <row r="12427" spans="16:16" x14ac:dyDescent="0.25">
      <c r="P12427" s="4"/>
    </row>
    <row r="12428" spans="16:16" x14ac:dyDescent="0.25">
      <c r="P12428" s="4"/>
    </row>
    <row r="12429" spans="16:16" x14ac:dyDescent="0.25">
      <c r="P12429" s="4"/>
    </row>
    <row r="12430" spans="16:16" x14ac:dyDescent="0.25">
      <c r="P12430" s="4"/>
    </row>
    <row r="12431" spans="16:16" x14ac:dyDescent="0.25">
      <c r="P12431" s="4"/>
    </row>
    <row r="12432" spans="16:16" x14ac:dyDescent="0.25">
      <c r="P12432" s="4"/>
    </row>
    <row r="12433" spans="16:16" x14ac:dyDescent="0.25">
      <c r="P12433" s="4"/>
    </row>
    <row r="12434" spans="16:16" x14ac:dyDescent="0.25">
      <c r="P12434" s="4"/>
    </row>
    <row r="12435" spans="16:16" x14ac:dyDescent="0.25">
      <c r="P12435" s="4"/>
    </row>
    <row r="12436" spans="16:16" x14ac:dyDescent="0.25">
      <c r="P12436" s="4"/>
    </row>
    <row r="12437" spans="16:16" x14ac:dyDescent="0.25">
      <c r="P12437" s="4"/>
    </row>
    <row r="12438" spans="16:16" x14ac:dyDescent="0.25">
      <c r="P12438" s="4"/>
    </row>
    <row r="12439" spans="16:16" x14ac:dyDescent="0.25">
      <c r="P12439" s="4"/>
    </row>
    <row r="12440" spans="16:16" x14ac:dyDescent="0.25">
      <c r="P12440" s="4"/>
    </row>
    <row r="12441" spans="16:16" x14ac:dyDescent="0.25">
      <c r="P12441" s="4"/>
    </row>
    <row r="12442" spans="16:16" x14ac:dyDescent="0.25">
      <c r="P12442" s="4"/>
    </row>
    <row r="12443" spans="16:16" x14ac:dyDescent="0.25">
      <c r="P12443" s="4"/>
    </row>
    <row r="12444" spans="16:16" x14ac:dyDescent="0.25">
      <c r="P12444" s="4"/>
    </row>
    <row r="12445" spans="16:16" x14ac:dyDescent="0.25">
      <c r="P12445" s="4"/>
    </row>
    <row r="12446" spans="16:16" x14ac:dyDescent="0.25">
      <c r="P12446" s="4"/>
    </row>
    <row r="12447" spans="16:16" x14ac:dyDescent="0.25">
      <c r="P12447" s="4"/>
    </row>
    <row r="12448" spans="16:16" x14ac:dyDescent="0.25">
      <c r="P12448" s="4"/>
    </row>
    <row r="12449" spans="16:16" x14ac:dyDescent="0.25">
      <c r="P12449" s="4"/>
    </row>
    <row r="12450" spans="16:16" x14ac:dyDescent="0.25">
      <c r="P12450" s="4"/>
    </row>
    <row r="12451" spans="16:16" x14ac:dyDescent="0.25">
      <c r="P12451" s="4"/>
    </row>
    <row r="12452" spans="16:16" x14ac:dyDescent="0.25">
      <c r="P12452" s="4"/>
    </row>
    <row r="12453" spans="16:16" x14ac:dyDescent="0.25">
      <c r="P12453" s="4"/>
    </row>
    <row r="12454" spans="16:16" x14ac:dyDescent="0.25">
      <c r="P12454" s="4"/>
    </row>
    <row r="12455" spans="16:16" x14ac:dyDescent="0.25">
      <c r="P12455" s="4"/>
    </row>
    <row r="12456" spans="16:16" x14ac:dyDescent="0.25">
      <c r="P12456" s="4"/>
    </row>
    <row r="12457" spans="16:16" x14ac:dyDescent="0.25">
      <c r="P12457" s="4"/>
    </row>
    <row r="12458" spans="16:16" x14ac:dyDescent="0.25">
      <c r="P12458" s="4"/>
    </row>
    <row r="12459" spans="16:16" x14ac:dyDescent="0.25">
      <c r="P12459" s="4"/>
    </row>
    <row r="12460" spans="16:16" x14ac:dyDescent="0.25">
      <c r="P12460" s="4"/>
    </row>
    <row r="12461" spans="16:16" x14ac:dyDescent="0.25">
      <c r="P12461" s="4"/>
    </row>
    <row r="12462" spans="16:16" x14ac:dyDescent="0.25">
      <c r="P12462" s="4"/>
    </row>
    <row r="12463" spans="16:16" x14ac:dyDescent="0.25">
      <c r="P12463" s="4"/>
    </row>
    <row r="12464" spans="16:16" x14ac:dyDescent="0.25">
      <c r="P12464" s="4"/>
    </row>
    <row r="12465" spans="16:16" x14ac:dyDescent="0.25">
      <c r="P12465" s="4"/>
    </row>
    <row r="12466" spans="16:16" x14ac:dyDescent="0.25">
      <c r="P12466" s="4"/>
    </row>
    <row r="12467" spans="16:16" x14ac:dyDescent="0.25">
      <c r="P12467" s="4"/>
    </row>
    <row r="12468" spans="16:16" x14ac:dyDescent="0.25">
      <c r="P12468" s="4"/>
    </row>
    <row r="12469" spans="16:16" x14ac:dyDescent="0.25">
      <c r="P12469" s="4"/>
    </row>
    <row r="12470" spans="16:16" x14ac:dyDescent="0.25">
      <c r="P12470" s="4"/>
    </row>
    <row r="12471" spans="16:16" x14ac:dyDescent="0.25">
      <c r="P12471" s="4"/>
    </row>
    <row r="12472" spans="16:16" x14ac:dyDescent="0.25">
      <c r="P12472" s="4"/>
    </row>
    <row r="12473" spans="16:16" x14ac:dyDescent="0.25">
      <c r="P12473" s="4"/>
    </row>
    <row r="12474" spans="16:16" x14ac:dyDescent="0.25">
      <c r="P12474" s="4"/>
    </row>
    <row r="12475" spans="16:16" x14ac:dyDescent="0.25">
      <c r="P12475" s="4"/>
    </row>
    <row r="12476" spans="16:16" x14ac:dyDescent="0.25">
      <c r="P12476" s="4"/>
    </row>
    <row r="12477" spans="16:16" x14ac:dyDescent="0.25">
      <c r="P12477" s="4"/>
    </row>
    <row r="12478" spans="16:16" x14ac:dyDescent="0.25">
      <c r="P12478" s="4"/>
    </row>
    <row r="12479" spans="16:16" x14ac:dyDescent="0.25">
      <c r="P12479" s="4"/>
    </row>
    <row r="12480" spans="16:16" x14ac:dyDescent="0.25">
      <c r="P12480" s="4"/>
    </row>
    <row r="12481" spans="16:16" x14ac:dyDescent="0.25">
      <c r="P12481" s="4"/>
    </row>
    <row r="12482" spans="16:16" x14ac:dyDescent="0.25">
      <c r="P12482" s="4"/>
    </row>
    <row r="12483" spans="16:16" x14ac:dyDescent="0.25">
      <c r="P12483" s="4"/>
    </row>
    <row r="12484" spans="16:16" x14ac:dyDescent="0.25">
      <c r="P12484" s="4"/>
    </row>
    <row r="12485" spans="16:16" x14ac:dyDescent="0.25">
      <c r="P12485" s="4"/>
    </row>
    <row r="12486" spans="16:16" x14ac:dyDescent="0.25">
      <c r="P12486" s="4"/>
    </row>
    <row r="12487" spans="16:16" x14ac:dyDescent="0.25">
      <c r="P12487" s="4"/>
    </row>
    <row r="12488" spans="16:16" x14ac:dyDescent="0.25">
      <c r="P12488" s="4"/>
    </row>
    <row r="12489" spans="16:16" x14ac:dyDescent="0.25">
      <c r="P12489" s="4"/>
    </row>
    <row r="12490" spans="16:16" x14ac:dyDescent="0.25">
      <c r="P12490" s="4"/>
    </row>
    <row r="12491" spans="16:16" x14ac:dyDescent="0.25">
      <c r="P12491" s="4"/>
    </row>
    <row r="12492" spans="16:16" x14ac:dyDescent="0.25">
      <c r="P12492" s="4"/>
    </row>
    <row r="12493" spans="16:16" x14ac:dyDescent="0.25">
      <c r="P12493" s="4"/>
    </row>
    <row r="12494" spans="16:16" x14ac:dyDescent="0.25">
      <c r="P12494" s="4"/>
    </row>
    <row r="12495" spans="16:16" x14ac:dyDescent="0.25">
      <c r="P12495" s="4"/>
    </row>
    <row r="12496" spans="16:16" x14ac:dyDescent="0.25">
      <c r="P12496" s="4"/>
    </row>
    <row r="12497" spans="16:16" x14ac:dyDescent="0.25">
      <c r="P12497" s="4"/>
    </row>
    <row r="12498" spans="16:16" x14ac:dyDescent="0.25">
      <c r="P12498" s="4"/>
    </row>
    <row r="12499" spans="16:16" x14ac:dyDescent="0.25">
      <c r="P12499" s="4"/>
    </row>
    <row r="12500" spans="16:16" x14ac:dyDescent="0.25">
      <c r="P12500" s="4"/>
    </row>
    <row r="12501" spans="16:16" x14ac:dyDescent="0.25">
      <c r="P12501" s="4"/>
    </row>
    <row r="12502" spans="16:16" x14ac:dyDescent="0.25">
      <c r="P12502" s="4"/>
    </row>
    <row r="12503" spans="16:16" x14ac:dyDescent="0.25">
      <c r="P12503" s="4"/>
    </row>
    <row r="12504" spans="16:16" x14ac:dyDescent="0.25">
      <c r="P12504" s="4"/>
    </row>
    <row r="12505" spans="16:16" x14ac:dyDescent="0.25">
      <c r="P12505" s="4"/>
    </row>
    <row r="12506" spans="16:16" x14ac:dyDescent="0.25">
      <c r="P12506" s="4"/>
    </row>
    <row r="12507" spans="16:16" x14ac:dyDescent="0.25">
      <c r="P12507" s="4"/>
    </row>
    <row r="12508" spans="16:16" x14ac:dyDescent="0.25">
      <c r="P12508" s="4"/>
    </row>
    <row r="12509" spans="16:16" x14ac:dyDescent="0.25">
      <c r="P12509" s="4"/>
    </row>
    <row r="12510" spans="16:16" x14ac:dyDescent="0.25">
      <c r="P12510" s="4"/>
    </row>
    <row r="12511" spans="16:16" x14ac:dyDescent="0.25">
      <c r="P12511" s="4"/>
    </row>
    <row r="12512" spans="16:16" x14ac:dyDescent="0.25">
      <c r="P12512" s="4"/>
    </row>
    <row r="12513" spans="16:16" x14ac:dyDescent="0.25">
      <c r="P12513" s="4"/>
    </row>
    <row r="12514" spans="16:16" x14ac:dyDescent="0.25">
      <c r="P12514" s="4"/>
    </row>
    <row r="12515" spans="16:16" x14ac:dyDescent="0.25">
      <c r="P12515" s="4"/>
    </row>
    <row r="12516" spans="16:16" x14ac:dyDescent="0.25">
      <c r="P12516" s="4"/>
    </row>
    <row r="12517" spans="16:16" x14ac:dyDescent="0.25">
      <c r="P12517" s="4"/>
    </row>
    <row r="12518" spans="16:16" x14ac:dyDescent="0.25">
      <c r="P12518" s="4"/>
    </row>
    <row r="12519" spans="16:16" x14ac:dyDescent="0.25">
      <c r="P12519" s="4"/>
    </row>
    <row r="12520" spans="16:16" x14ac:dyDescent="0.25">
      <c r="P12520" s="4"/>
    </row>
    <row r="12521" spans="16:16" x14ac:dyDescent="0.25">
      <c r="P12521" s="4"/>
    </row>
    <row r="12522" spans="16:16" x14ac:dyDescent="0.25">
      <c r="P12522" s="4"/>
    </row>
    <row r="12523" spans="16:16" x14ac:dyDescent="0.25">
      <c r="P12523" s="4"/>
    </row>
    <row r="12524" spans="16:16" x14ac:dyDescent="0.25">
      <c r="P12524" s="4"/>
    </row>
    <row r="12525" spans="16:16" x14ac:dyDescent="0.25">
      <c r="P12525" s="4"/>
    </row>
    <row r="12526" spans="16:16" x14ac:dyDescent="0.25">
      <c r="P12526" s="4"/>
    </row>
    <row r="12527" spans="16:16" x14ac:dyDescent="0.25">
      <c r="P12527" s="4"/>
    </row>
    <row r="12528" spans="16:16" x14ac:dyDescent="0.25">
      <c r="P12528" s="4"/>
    </row>
    <row r="12529" spans="16:16" x14ac:dyDescent="0.25">
      <c r="P12529" s="4"/>
    </row>
    <row r="12530" spans="16:16" x14ac:dyDescent="0.25">
      <c r="P12530" s="4"/>
    </row>
    <row r="12531" spans="16:16" x14ac:dyDescent="0.25">
      <c r="P12531" s="4"/>
    </row>
    <row r="12532" spans="16:16" x14ac:dyDescent="0.25">
      <c r="P12532" s="4"/>
    </row>
    <row r="12533" spans="16:16" x14ac:dyDescent="0.25">
      <c r="P12533" s="4"/>
    </row>
    <row r="12534" spans="16:16" x14ac:dyDescent="0.25">
      <c r="P12534" s="4"/>
    </row>
    <row r="12535" spans="16:16" x14ac:dyDescent="0.25">
      <c r="P12535" s="4"/>
    </row>
    <row r="12536" spans="16:16" x14ac:dyDescent="0.25">
      <c r="P12536" s="4"/>
    </row>
    <row r="12537" spans="16:16" x14ac:dyDescent="0.25">
      <c r="P12537" s="4"/>
    </row>
    <row r="12538" spans="16:16" x14ac:dyDescent="0.25">
      <c r="P12538" s="4"/>
    </row>
    <row r="12539" spans="16:16" x14ac:dyDescent="0.25">
      <c r="P12539" s="4"/>
    </row>
    <row r="12540" spans="16:16" x14ac:dyDescent="0.25">
      <c r="P12540" s="4"/>
    </row>
    <row r="12541" spans="16:16" x14ac:dyDescent="0.25">
      <c r="P12541" s="4"/>
    </row>
    <row r="12542" spans="16:16" x14ac:dyDescent="0.25">
      <c r="P12542" s="4"/>
    </row>
    <row r="12543" spans="16:16" x14ac:dyDescent="0.25">
      <c r="P12543" s="4"/>
    </row>
    <row r="12544" spans="16:16" x14ac:dyDescent="0.25">
      <c r="P12544" s="4"/>
    </row>
    <row r="12545" spans="16:16" x14ac:dyDescent="0.25">
      <c r="P12545" s="4"/>
    </row>
    <row r="12546" spans="16:16" x14ac:dyDescent="0.25">
      <c r="P12546" s="4"/>
    </row>
    <row r="12547" spans="16:16" x14ac:dyDescent="0.25">
      <c r="P12547" s="4"/>
    </row>
    <row r="12548" spans="16:16" x14ac:dyDescent="0.25">
      <c r="P12548" s="4"/>
    </row>
    <row r="12549" spans="16:16" x14ac:dyDescent="0.25">
      <c r="P12549" s="4"/>
    </row>
    <row r="12550" spans="16:16" x14ac:dyDescent="0.25">
      <c r="P12550" s="4"/>
    </row>
    <row r="12551" spans="16:16" x14ac:dyDescent="0.25">
      <c r="P12551" s="4"/>
    </row>
    <row r="12552" spans="16:16" x14ac:dyDescent="0.25">
      <c r="P12552" s="4"/>
    </row>
    <row r="12553" spans="16:16" x14ac:dyDescent="0.25">
      <c r="P12553" s="4"/>
    </row>
    <row r="12554" spans="16:16" x14ac:dyDescent="0.25">
      <c r="P12554" s="4"/>
    </row>
    <row r="12555" spans="16:16" x14ac:dyDescent="0.25">
      <c r="P12555" s="4"/>
    </row>
    <row r="12556" spans="16:16" x14ac:dyDescent="0.25">
      <c r="P12556" s="4"/>
    </row>
    <row r="12557" spans="16:16" x14ac:dyDescent="0.25">
      <c r="P12557" s="4"/>
    </row>
    <row r="12558" spans="16:16" x14ac:dyDescent="0.25">
      <c r="P12558" s="4"/>
    </row>
    <row r="12559" spans="16:16" x14ac:dyDescent="0.25">
      <c r="P12559" s="4"/>
    </row>
    <row r="12560" spans="16:16" x14ac:dyDescent="0.25">
      <c r="P12560" s="4"/>
    </row>
    <row r="12561" spans="16:16" x14ac:dyDescent="0.25">
      <c r="P12561" s="4"/>
    </row>
    <row r="12562" spans="16:16" x14ac:dyDescent="0.25">
      <c r="P12562" s="4"/>
    </row>
    <row r="12563" spans="16:16" x14ac:dyDescent="0.25">
      <c r="P12563" s="4"/>
    </row>
    <row r="12564" spans="16:16" x14ac:dyDescent="0.25">
      <c r="P12564" s="4"/>
    </row>
    <row r="12565" spans="16:16" x14ac:dyDescent="0.25">
      <c r="P12565" s="4"/>
    </row>
    <row r="12566" spans="16:16" x14ac:dyDescent="0.25">
      <c r="P12566" s="4"/>
    </row>
    <row r="12567" spans="16:16" x14ac:dyDescent="0.25">
      <c r="P12567" s="4"/>
    </row>
    <row r="12568" spans="16:16" x14ac:dyDescent="0.25">
      <c r="P12568" s="4"/>
    </row>
    <row r="12569" spans="16:16" x14ac:dyDescent="0.25">
      <c r="P12569" s="4"/>
    </row>
    <row r="12570" spans="16:16" x14ac:dyDescent="0.25">
      <c r="P12570" s="4"/>
    </row>
    <row r="12571" spans="16:16" x14ac:dyDescent="0.25">
      <c r="P12571" s="4"/>
    </row>
    <row r="12572" spans="16:16" x14ac:dyDescent="0.25">
      <c r="P12572" s="4"/>
    </row>
    <row r="12573" spans="16:16" x14ac:dyDescent="0.25">
      <c r="P12573" s="4"/>
    </row>
    <row r="12574" spans="16:16" x14ac:dyDescent="0.25">
      <c r="P12574" s="4"/>
    </row>
    <row r="12575" spans="16:16" x14ac:dyDescent="0.25">
      <c r="P12575" s="4"/>
    </row>
    <row r="12576" spans="16:16" x14ac:dyDescent="0.25">
      <c r="P12576" s="4"/>
    </row>
    <row r="12577" spans="16:16" x14ac:dyDescent="0.25">
      <c r="P12577" s="4"/>
    </row>
    <row r="12578" spans="16:16" x14ac:dyDescent="0.25">
      <c r="P12578" s="4"/>
    </row>
    <row r="12579" spans="16:16" x14ac:dyDescent="0.25">
      <c r="P12579" s="4"/>
    </row>
    <row r="12580" spans="16:16" x14ac:dyDescent="0.25">
      <c r="P12580" s="4"/>
    </row>
    <row r="12581" spans="16:16" x14ac:dyDescent="0.25">
      <c r="P12581" s="4"/>
    </row>
    <row r="12582" spans="16:16" x14ac:dyDescent="0.25">
      <c r="P12582" s="4"/>
    </row>
    <row r="12583" spans="16:16" x14ac:dyDescent="0.25">
      <c r="P12583" s="4"/>
    </row>
    <row r="12584" spans="16:16" x14ac:dyDescent="0.25">
      <c r="P12584" s="4"/>
    </row>
    <row r="12585" spans="16:16" x14ac:dyDescent="0.25">
      <c r="P12585" s="4"/>
    </row>
    <row r="12586" spans="16:16" x14ac:dyDescent="0.25">
      <c r="P12586" s="4"/>
    </row>
    <row r="12587" spans="16:16" x14ac:dyDescent="0.25">
      <c r="P12587" s="4"/>
    </row>
    <row r="12588" spans="16:16" x14ac:dyDescent="0.25">
      <c r="P12588" s="4"/>
    </row>
    <row r="12589" spans="16:16" x14ac:dyDescent="0.25">
      <c r="P12589" s="4"/>
    </row>
    <row r="12590" spans="16:16" x14ac:dyDescent="0.25">
      <c r="P12590" s="4"/>
    </row>
    <row r="12591" spans="16:16" x14ac:dyDescent="0.25">
      <c r="P12591" s="4"/>
    </row>
    <row r="12592" spans="16:16" x14ac:dyDescent="0.25">
      <c r="P12592" s="4"/>
    </row>
    <row r="12593" spans="16:16" x14ac:dyDescent="0.25">
      <c r="P12593" s="4"/>
    </row>
    <row r="12594" spans="16:16" x14ac:dyDescent="0.25">
      <c r="P12594" s="4"/>
    </row>
    <row r="12595" spans="16:16" x14ac:dyDescent="0.25">
      <c r="P12595" s="4"/>
    </row>
    <row r="12596" spans="16:16" x14ac:dyDescent="0.25">
      <c r="P12596" s="4"/>
    </row>
    <row r="12597" spans="16:16" x14ac:dyDescent="0.25">
      <c r="P12597" s="4"/>
    </row>
    <row r="12598" spans="16:16" x14ac:dyDescent="0.25">
      <c r="P12598" s="4"/>
    </row>
    <row r="12599" spans="16:16" x14ac:dyDescent="0.25">
      <c r="P12599" s="4"/>
    </row>
    <row r="12600" spans="16:16" x14ac:dyDescent="0.25">
      <c r="P12600" s="4"/>
    </row>
    <row r="12601" spans="16:16" x14ac:dyDescent="0.25">
      <c r="P12601" s="4"/>
    </row>
    <row r="12602" spans="16:16" x14ac:dyDescent="0.25">
      <c r="P12602" s="4"/>
    </row>
    <row r="12603" spans="16:16" x14ac:dyDescent="0.25">
      <c r="P12603" s="4"/>
    </row>
    <row r="12604" spans="16:16" x14ac:dyDescent="0.25">
      <c r="P12604" s="4"/>
    </row>
    <row r="12605" spans="16:16" x14ac:dyDescent="0.25">
      <c r="P12605" s="4"/>
    </row>
    <row r="12606" spans="16:16" x14ac:dyDescent="0.25">
      <c r="P12606" s="4"/>
    </row>
    <row r="12607" spans="16:16" x14ac:dyDescent="0.25">
      <c r="P12607" s="4"/>
    </row>
    <row r="12608" spans="16:16" x14ac:dyDescent="0.25">
      <c r="P12608" s="4"/>
    </row>
    <row r="12609" spans="16:16" x14ac:dyDescent="0.25">
      <c r="P12609" s="4"/>
    </row>
    <row r="12610" spans="16:16" x14ac:dyDescent="0.25">
      <c r="P12610" s="4"/>
    </row>
    <row r="12611" spans="16:16" x14ac:dyDescent="0.25">
      <c r="P12611" s="4"/>
    </row>
    <row r="12612" spans="16:16" x14ac:dyDescent="0.25">
      <c r="P12612" s="4"/>
    </row>
    <row r="12613" spans="16:16" x14ac:dyDescent="0.25">
      <c r="P12613" s="4"/>
    </row>
    <row r="12614" spans="16:16" x14ac:dyDescent="0.25">
      <c r="P12614" s="4"/>
    </row>
    <row r="12615" spans="16:16" x14ac:dyDescent="0.25">
      <c r="P12615" s="4"/>
    </row>
    <row r="12616" spans="16:16" x14ac:dyDescent="0.25">
      <c r="P12616" s="4"/>
    </row>
    <row r="12617" spans="16:16" x14ac:dyDescent="0.25">
      <c r="P12617" s="4"/>
    </row>
    <row r="12618" spans="16:16" x14ac:dyDescent="0.25">
      <c r="P12618" s="4"/>
    </row>
    <row r="12619" spans="16:16" x14ac:dyDescent="0.25">
      <c r="P12619" s="4"/>
    </row>
    <row r="12620" spans="16:16" x14ac:dyDescent="0.25">
      <c r="P12620" s="4"/>
    </row>
    <row r="12621" spans="16:16" x14ac:dyDescent="0.25">
      <c r="P12621" s="4"/>
    </row>
    <row r="12622" spans="16:16" x14ac:dyDescent="0.25">
      <c r="P12622" s="4"/>
    </row>
    <row r="12623" spans="16:16" x14ac:dyDescent="0.25">
      <c r="P12623" s="4"/>
    </row>
    <row r="12624" spans="16:16" x14ac:dyDescent="0.25">
      <c r="P12624" s="4"/>
    </row>
    <row r="12625" spans="16:16" x14ac:dyDescent="0.25">
      <c r="P12625" s="4"/>
    </row>
    <row r="12626" spans="16:16" x14ac:dyDescent="0.25">
      <c r="P12626" s="4"/>
    </row>
    <row r="12627" spans="16:16" x14ac:dyDescent="0.25">
      <c r="P12627" s="4"/>
    </row>
    <row r="12628" spans="16:16" x14ac:dyDescent="0.25">
      <c r="P12628" s="4"/>
    </row>
    <row r="12629" spans="16:16" x14ac:dyDescent="0.25">
      <c r="P12629" s="4"/>
    </row>
    <row r="12630" spans="16:16" x14ac:dyDescent="0.25">
      <c r="P12630" s="4"/>
    </row>
    <row r="12631" spans="16:16" x14ac:dyDescent="0.25">
      <c r="P12631" s="4"/>
    </row>
    <row r="12632" spans="16:16" x14ac:dyDescent="0.25">
      <c r="P12632" s="4"/>
    </row>
    <row r="12633" spans="16:16" x14ac:dyDescent="0.25">
      <c r="P12633" s="4"/>
    </row>
    <row r="12634" spans="16:16" x14ac:dyDescent="0.25">
      <c r="P12634" s="4"/>
    </row>
    <row r="12635" spans="16:16" x14ac:dyDescent="0.25">
      <c r="P12635" s="4"/>
    </row>
    <row r="12636" spans="16:16" x14ac:dyDescent="0.25">
      <c r="P12636" s="4"/>
    </row>
    <row r="12637" spans="16:16" x14ac:dyDescent="0.25">
      <c r="P12637" s="4"/>
    </row>
    <row r="12638" spans="16:16" x14ac:dyDescent="0.25">
      <c r="P12638" s="4"/>
    </row>
    <row r="12639" spans="16:16" x14ac:dyDescent="0.25">
      <c r="P12639" s="4"/>
    </row>
    <row r="12640" spans="16:16" x14ac:dyDescent="0.25">
      <c r="P12640" s="4"/>
    </row>
    <row r="12641" spans="16:16" x14ac:dyDescent="0.25">
      <c r="P12641" s="4"/>
    </row>
    <row r="12642" spans="16:16" x14ac:dyDescent="0.25">
      <c r="P12642" s="4"/>
    </row>
    <row r="12643" spans="16:16" x14ac:dyDescent="0.25">
      <c r="P12643" s="4"/>
    </row>
    <row r="12644" spans="16:16" x14ac:dyDescent="0.25">
      <c r="P12644" s="4"/>
    </row>
    <row r="12645" spans="16:16" x14ac:dyDescent="0.25">
      <c r="P12645" s="4"/>
    </row>
    <row r="12646" spans="16:16" x14ac:dyDescent="0.25">
      <c r="P12646" s="4"/>
    </row>
    <row r="12647" spans="16:16" x14ac:dyDescent="0.25">
      <c r="P12647" s="4"/>
    </row>
    <row r="12648" spans="16:16" x14ac:dyDescent="0.25">
      <c r="P12648" s="4"/>
    </row>
    <row r="12649" spans="16:16" x14ac:dyDescent="0.25">
      <c r="P12649" s="4"/>
    </row>
    <row r="12650" spans="16:16" x14ac:dyDescent="0.25">
      <c r="P12650" s="4"/>
    </row>
    <row r="12651" spans="16:16" x14ac:dyDescent="0.25">
      <c r="P12651" s="4"/>
    </row>
    <row r="12652" spans="16:16" x14ac:dyDescent="0.25">
      <c r="P12652" s="4"/>
    </row>
    <row r="12653" spans="16:16" x14ac:dyDescent="0.25">
      <c r="P12653" s="4"/>
    </row>
    <row r="12654" spans="16:16" x14ac:dyDescent="0.25">
      <c r="P12654" s="4"/>
    </row>
    <row r="12655" spans="16:16" x14ac:dyDescent="0.25">
      <c r="P12655" s="4"/>
    </row>
    <row r="12656" spans="16:16" x14ac:dyDescent="0.25">
      <c r="P12656" s="4"/>
    </row>
    <row r="12657" spans="16:16" x14ac:dyDescent="0.25">
      <c r="P12657" s="4"/>
    </row>
    <row r="12658" spans="16:16" x14ac:dyDescent="0.25">
      <c r="P12658" s="4"/>
    </row>
    <row r="12659" spans="16:16" x14ac:dyDescent="0.25">
      <c r="P12659" s="4"/>
    </row>
    <row r="12660" spans="16:16" x14ac:dyDescent="0.25">
      <c r="P12660" s="4"/>
    </row>
    <row r="12661" spans="16:16" x14ac:dyDescent="0.25">
      <c r="P12661" s="4"/>
    </row>
    <row r="12662" spans="16:16" x14ac:dyDescent="0.25">
      <c r="P12662" s="4"/>
    </row>
    <row r="12663" spans="16:16" x14ac:dyDescent="0.25">
      <c r="P12663" s="4"/>
    </row>
    <row r="12664" spans="16:16" x14ac:dyDescent="0.25">
      <c r="P12664" s="4"/>
    </row>
    <row r="12665" spans="16:16" x14ac:dyDescent="0.25">
      <c r="P12665" s="4"/>
    </row>
    <row r="12666" spans="16:16" x14ac:dyDescent="0.25">
      <c r="P12666" s="4"/>
    </row>
    <row r="12667" spans="16:16" x14ac:dyDescent="0.25">
      <c r="P12667" s="4"/>
    </row>
    <row r="12668" spans="16:16" x14ac:dyDescent="0.25">
      <c r="P12668" s="4"/>
    </row>
    <row r="12669" spans="16:16" x14ac:dyDescent="0.25">
      <c r="P12669" s="4"/>
    </row>
    <row r="12670" spans="16:16" x14ac:dyDescent="0.25">
      <c r="P12670" s="4"/>
    </row>
    <row r="12671" spans="16:16" x14ac:dyDescent="0.25">
      <c r="P12671" s="4"/>
    </row>
    <row r="12672" spans="16:16" x14ac:dyDescent="0.25">
      <c r="P12672" s="4"/>
    </row>
    <row r="12673" spans="16:16" x14ac:dyDescent="0.25">
      <c r="P12673" s="4"/>
    </row>
    <row r="12674" spans="16:16" x14ac:dyDescent="0.25">
      <c r="P12674" s="4"/>
    </row>
    <row r="12675" spans="16:16" x14ac:dyDescent="0.25">
      <c r="P12675" s="4"/>
    </row>
    <row r="12676" spans="16:16" x14ac:dyDescent="0.25">
      <c r="P12676" s="4"/>
    </row>
    <row r="12677" spans="16:16" x14ac:dyDescent="0.25">
      <c r="P12677" s="4"/>
    </row>
    <row r="12678" spans="16:16" x14ac:dyDescent="0.25">
      <c r="P12678" s="4"/>
    </row>
    <row r="12679" spans="16:16" x14ac:dyDescent="0.25">
      <c r="P12679" s="4"/>
    </row>
    <row r="12680" spans="16:16" x14ac:dyDescent="0.25">
      <c r="P12680" s="4"/>
    </row>
    <row r="12681" spans="16:16" x14ac:dyDescent="0.25">
      <c r="P12681" s="4"/>
    </row>
    <row r="12682" spans="16:16" x14ac:dyDescent="0.25">
      <c r="P12682" s="4"/>
    </row>
    <row r="12683" spans="16:16" x14ac:dyDescent="0.25">
      <c r="P12683" s="4"/>
    </row>
    <row r="12684" spans="16:16" x14ac:dyDescent="0.25">
      <c r="P12684" s="4"/>
    </row>
    <row r="12685" spans="16:16" x14ac:dyDescent="0.25">
      <c r="P12685" s="4"/>
    </row>
    <row r="12686" spans="16:16" x14ac:dyDescent="0.25">
      <c r="P12686" s="4"/>
    </row>
    <row r="12687" spans="16:16" x14ac:dyDescent="0.25">
      <c r="P12687" s="4"/>
    </row>
    <row r="12688" spans="16:16" x14ac:dyDescent="0.25">
      <c r="P12688" s="4"/>
    </row>
    <row r="12689" spans="16:16" x14ac:dyDescent="0.25">
      <c r="P12689" s="4"/>
    </row>
    <row r="12690" spans="16:16" x14ac:dyDescent="0.25">
      <c r="P12690" s="4"/>
    </row>
    <row r="12691" spans="16:16" x14ac:dyDescent="0.25">
      <c r="P12691" s="4"/>
    </row>
    <row r="12692" spans="16:16" x14ac:dyDescent="0.25">
      <c r="P12692" s="4"/>
    </row>
    <row r="12693" spans="16:16" x14ac:dyDescent="0.25">
      <c r="P12693" s="4"/>
    </row>
    <row r="12694" spans="16:16" x14ac:dyDescent="0.25">
      <c r="P12694" s="4"/>
    </row>
    <row r="12695" spans="16:16" x14ac:dyDescent="0.25">
      <c r="P12695" s="4"/>
    </row>
    <row r="12696" spans="16:16" x14ac:dyDescent="0.25">
      <c r="P12696" s="4"/>
    </row>
    <row r="12697" spans="16:16" x14ac:dyDescent="0.25">
      <c r="P12697" s="4"/>
    </row>
    <row r="12698" spans="16:16" x14ac:dyDescent="0.25">
      <c r="P12698" s="4"/>
    </row>
    <row r="12699" spans="16:16" x14ac:dyDescent="0.25">
      <c r="P12699" s="4"/>
    </row>
    <row r="12700" spans="16:16" x14ac:dyDescent="0.25">
      <c r="P12700" s="4"/>
    </row>
    <row r="12701" spans="16:16" x14ac:dyDescent="0.25">
      <c r="P12701" s="4"/>
    </row>
    <row r="12702" spans="16:16" x14ac:dyDescent="0.25">
      <c r="P12702" s="4"/>
    </row>
    <row r="12703" spans="16:16" x14ac:dyDescent="0.25">
      <c r="P12703" s="4"/>
    </row>
    <row r="12704" spans="16:16" x14ac:dyDescent="0.25">
      <c r="P12704" s="4"/>
    </row>
    <row r="12705" spans="16:16" x14ac:dyDescent="0.25">
      <c r="P12705" s="4"/>
    </row>
    <row r="12706" spans="16:16" x14ac:dyDescent="0.25">
      <c r="P12706" s="4"/>
    </row>
    <row r="12707" spans="16:16" x14ac:dyDescent="0.25">
      <c r="P12707" s="4"/>
    </row>
    <row r="12708" spans="16:16" x14ac:dyDescent="0.25">
      <c r="P12708" s="4"/>
    </row>
    <row r="12709" spans="16:16" x14ac:dyDescent="0.25">
      <c r="P12709" s="4"/>
    </row>
    <row r="12710" spans="16:16" x14ac:dyDescent="0.25">
      <c r="P12710" s="4"/>
    </row>
    <row r="12711" spans="16:16" x14ac:dyDescent="0.25">
      <c r="P12711" s="4"/>
    </row>
    <row r="12712" spans="16:16" x14ac:dyDescent="0.25">
      <c r="P12712" s="4"/>
    </row>
    <row r="12713" spans="16:16" x14ac:dyDescent="0.25">
      <c r="P12713" s="4"/>
    </row>
    <row r="12714" spans="16:16" x14ac:dyDescent="0.25">
      <c r="P12714" s="4"/>
    </row>
    <row r="12715" spans="16:16" x14ac:dyDescent="0.25">
      <c r="P12715" s="4"/>
    </row>
    <row r="12716" spans="16:16" x14ac:dyDescent="0.25">
      <c r="P12716" s="4"/>
    </row>
    <row r="12717" spans="16:16" x14ac:dyDescent="0.25">
      <c r="P12717" s="4"/>
    </row>
    <row r="12718" spans="16:16" x14ac:dyDescent="0.25">
      <c r="P12718" s="4"/>
    </row>
    <row r="12719" spans="16:16" x14ac:dyDescent="0.25">
      <c r="P12719" s="4"/>
    </row>
    <row r="12720" spans="16:16" x14ac:dyDescent="0.25">
      <c r="P12720" s="4"/>
    </row>
    <row r="12721" spans="16:16" x14ac:dyDescent="0.25">
      <c r="P12721" s="4"/>
    </row>
    <row r="12722" spans="16:16" x14ac:dyDescent="0.25">
      <c r="P12722" s="4"/>
    </row>
    <row r="12723" spans="16:16" x14ac:dyDescent="0.25">
      <c r="P12723" s="4"/>
    </row>
    <row r="12724" spans="16:16" x14ac:dyDescent="0.25">
      <c r="P12724" s="4"/>
    </row>
    <row r="12725" spans="16:16" x14ac:dyDescent="0.25">
      <c r="P12725" s="4"/>
    </row>
    <row r="12726" spans="16:16" x14ac:dyDescent="0.25">
      <c r="P12726" s="4"/>
    </row>
    <row r="12727" spans="16:16" x14ac:dyDescent="0.25">
      <c r="P12727" s="4"/>
    </row>
    <row r="12728" spans="16:16" x14ac:dyDescent="0.25">
      <c r="P12728" s="4"/>
    </row>
    <row r="12729" spans="16:16" x14ac:dyDescent="0.25">
      <c r="P12729" s="4"/>
    </row>
    <row r="12730" spans="16:16" x14ac:dyDescent="0.25">
      <c r="P12730" s="4"/>
    </row>
    <row r="12731" spans="16:16" x14ac:dyDescent="0.25">
      <c r="P12731" s="4"/>
    </row>
    <row r="12732" spans="16:16" x14ac:dyDescent="0.25">
      <c r="P12732" s="4"/>
    </row>
    <row r="12733" spans="16:16" x14ac:dyDescent="0.25">
      <c r="P12733" s="4"/>
    </row>
    <row r="12734" spans="16:16" x14ac:dyDescent="0.25">
      <c r="P12734" s="4"/>
    </row>
    <row r="12735" spans="16:16" x14ac:dyDescent="0.25">
      <c r="P12735" s="4"/>
    </row>
    <row r="12736" spans="16:16" x14ac:dyDescent="0.25">
      <c r="P12736" s="4"/>
    </row>
    <row r="12737" spans="16:16" x14ac:dyDescent="0.25">
      <c r="P12737" s="4"/>
    </row>
    <row r="12738" spans="16:16" x14ac:dyDescent="0.25">
      <c r="P12738" s="4"/>
    </row>
    <row r="12739" spans="16:16" x14ac:dyDescent="0.25">
      <c r="P12739" s="4"/>
    </row>
    <row r="12740" spans="16:16" x14ac:dyDescent="0.25">
      <c r="P12740" s="4"/>
    </row>
    <row r="12741" spans="16:16" x14ac:dyDescent="0.25">
      <c r="P12741" s="4"/>
    </row>
    <row r="12742" spans="16:16" x14ac:dyDescent="0.25">
      <c r="P12742" s="4"/>
    </row>
    <row r="12743" spans="16:16" x14ac:dyDescent="0.25">
      <c r="P12743" s="4"/>
    </row>
    <row r="12744" spans="16:16" x14ac:dyDescent="0.25">
      <c r="P12744" s="4"/>
    </row>
    <row r="12745" spans="16:16" x14ac:dyDescent="0.25">
      <c r="P12745" s="4"/>
    </row>
    <row r="12746" spans="16:16" x14ac:dyDescent="0.25">
      <c r="P12746" s="4"/>
    </row>
    <row r="12747" spans="16:16" x14ac:dyDescent="0.25">
      <c r="P12747" s="4"/>
    </row>
    <row r="12748" spans="16:16" x14ac:dyDescent="0.25">
      <c r="P12748" s="4"/>
    </row>
    <row r="12749" spans="16:16" x14ac:dyDescent="0.25">
      <c r="P12749" s="4"/>
    </row>
    <row r="12750" spans="16:16" x14ac:dyDescent="0.25">
      <c r="P12750" s="4"/>
    </row>
    <row r="12751" spans="16:16" x14ac:dyDescent="0.25">
      <c r="P12751" s="4"/>
    </row>
    <row r="12752" spans="16:16" x14ac:dyDescent="0.25">
      <c r="P12752" s="4"/>
    </row>
    <row r="12753" spans="16:16" x14ac:dyDescent="0.25">
      <c r="P12753" s="4"/>
    </row>
    <row r="12754" spans="16:16" x14ac:dyDescent="0.25">
      <c r="P12754" s="4"/>
    </row>
    <row r="12755" spans="16:16" x14ac:dyDescent="0.25">
      <c r="P12755" s="4"/>
    </row>
    <row r="12756" spans="16:16" x14ac:dyDescent="0.25">
      <c r="P12756" s="4"/>
    </row>
    <row r="12757" spans="16:16" x14ac:dyDescent="0.25">
      <c r="P12757" s="4"/>
    </row>
    <row r="12758" spans="16:16" x14ac:dyDescent="0.25">
      <c r="P12758" s="4"/>
    </row>
    <row r="12759" spans="16:16" x14ac:dyDescent="0.25">
      <c r="P12759" s="4"/>
    </row>
    <row r="12760" spans="16:16" x14ac:dyDescent="0.25">
      <c r="P12760" s="4"/>
    </row>
    <row r="12761" spans="16:16" x14ac:dyDescent="0.25">
      <c r="P12761" s="4"/>
    </row>
    <row r="12762" spans="16:16" x14ac:dyDescent="0.25">
      <c r="P12762" s="4"/>
    </row>
    <row r="12763" spans="16:16" x14ac:dyDescent="0.25">
      <c r="P12763" s="4"/>
    </row>
    <row r="12764" spans="16:16" x14ac:dyDescent="0.25">
      <c r="P12764" s="4"/>
    </row>
    <row r="12765" spans="16:16" x14ac:dyDescent="0.25">
      <c r="P12765" s="4"/>
    </row>
    <row r="12766" spans="16:16" x14ac:dyDescent="0.25">
      <c r="P12766" s="4"/>
    </row>
    <row r="12767" spans="16:16" x14ac:dyDescent="0.25">
      <c r="P12767" s="4"/>
    </row>
    <row r="12768" spans="16:16" x14ac:dyDescent="0.25">
      <c r="P12768" s="4"/>
    </row>
    <row r="12769" spans="16:16" x14ac:dyDescent="0.25">
      <c r="P12769" s="4"/>
    </row>
    <row r="12770" spans="16:16" x14ac:dyDescent="0.25">
      <c r="P12770" s="4"/>
    </row>
    <row r="12771" spans="16:16" x14ac:dyDescent="0.25">
      <c r="P12771" s="4"/>
    </row>
    <row r="12772" spans="16:16" x14ac:dyDescent="0.25">
      <c r="P12772" s="4"/>
    </row>
    <row r="12773" spans="16:16" x14ac:dyDescent="0.25">
      <c r="P12773" s="4"/>
    </row>
    <row r="12774" spans="16:16" x14ac:dyDescent="0.25">
      <c r="P12774" s="4"/>
    </row>
    <row r="12775" spans="16:16" x14ac:dyDescent="0.25">
      <c r="P12775" s="4"/>
    </row>
    <row r="12776" spans="16:16" x14ac:dyDescent="0.25">
      <c r="P12776" s="4"/>
    </row>
    <row r="12777" spans="16:16" x14ac:dyDescent="0.25">
      <c r="P12777" s="4"/>
    </row>
    <row r="12778" spans="16:16" x14ac:dyDescent="0.25">
      <c r="P12778" s="4"/>
    </row>
    <row r="12779" spans="16:16" x14ac:dyDescent="0.25">
      <c r="P12779" s="4"/>
    </row>
    <row r="12780" spans="16:16" x14ac:dyDescent="0.25">
      <c r="P12780" s="4"/>
    </row>
    <row r="12781" spans="16:16" x14ac:dyDescent="0.25">
      <c r="P12781" s="4"/>
    </row>
    <row r="12782" spans="16:16" x14ac:dyDescent="0.25">
      <c r="P12782" s="4"/>
    </row>
    <row r="12783" spans="16:16" x14ac:dyDescent="0.25">
      <c r="P12783" s="4"/>
    </row>
    <row r="12784" spans="16:16" x14ac:dyDescent="0.25">
      <c r="P12784" s="4"/>
    </row>
    <row r="12785" spans="16:16" x14ac:dyDescent="0.25">
      <c r="P12785" s="4"/>
    </row>
    <row r="12786" spans="16:16" x14ac:dyDescent="0.25">
      <c r="P12786" s="4"/>
    </row>
    <row r="12787" spans="16:16" x14ac:dyDescent="0.25">
      <c r="P12787" s="4"/>
    </row>
    <row r="12788" spans="16:16" x14ac:dyDescent="0.25">
      <c r="P12788" s="4"/>
    </row>
    <row r="12789" spans="16:16" x14ac:dyDescent="0.25">
      <c r="P12789" s="4"/>
    </row>
    <row r="12790" spans="16:16" x14ac:dyDescent="0.25">
      <c r="P12790" s="4"/>
    </row>
    <row r="12791" spans="16:16" x14ac:dyDescent="0.25">
      <c r="P12791" s="4"/>
    </row>
    <row r="12792" spans="16:16" x14ac:dyDescent="0.25">
      <c r="P12792" s="4"/>
    </row>
    <row r="12793" spans="16:16" x14ac:dyDescent="0.25">
      <c r="P12793" s="4"/>
    </row>
    <row r="12794" spans="16:16" x14ac:dyDescent="0.25">
      <c r="P12794" s="4"/>
    </row>
    <row r="12795" spans="16:16" x14ac:dyDescent="0.25">
      <c r="P12795" s="4"/>
    </row>
    <row r="12796" spans="16:16" x14ac:dyDescent="0.25">
      <c r="P12796" s="4"/>
    </row>
    <row r="12797" spans="16:16" x14ac:dyDescent="0.25">
      <c r="P12797" s="4"/>
    </row>
    <row r="12798" spans="16:16" x14ac:dyDescent="0.25">
      <c r="P12798" s="4"/>
    </row>
    <row r="12799" spans="16:16" x14ac:dyDescent="0.25">
      <c r="P12799" s="4"/>
    </row>
    <row r="12800" spans="16:16" x14ac:dyDescent="0.25">
      <c r="P12800" s="4"/>
    </row>
    <row r="12801" spans="16:16" x14ac:dyDescent="0.25">
      <c r="P12801" s="4"/>
    </row>
    <row r="12802" spans="16:16" x14ac:dyDescent="0.25">
      <c r="P12802" s="4"/>
    </row>
    <row r="12803" spans="16:16" x14ac:dyDescent="0.25">
      <c r="P12803" s="4"/>
    </row>
    <row r="12804" spans="16:16" x14ac:dyDescent="0.25">
      <c r="P12804" s="4"/>
    </row>
    <row r="12805" spans="16:16" x14ac:dyDescent="0.25">
      <c r="P12805" s="4"/>
    </row>
    <row r="12806" spans="16:16" x14ac:dyDescent="0.25">
      <c r="P12806" s="4"/>
    </row>
    <row r="12807" spans="16:16" x14ac:dyDescent="0.25">
      <c r="P12807" s="4"/>
    </row>
    <row r="12808" spans="16:16" x14ac:dyDescent="0.25">
      <c r="P12808" s="4"/>
    </row>
    <row r="12809" spans="16:16" x14ac:dyDescent="0.25">
      <c r="P12809" s="4"/>
    </row>
    <row r="12810" spans="16:16" x14ac:dyDescent="0.25">
      <c r="P12810" s="4"/>
    </row>
    <row r="12811" spans="16:16" x14ac:dyDescent="0.25">
      <c r="P12811" s="4"/>
    </row>
    <row r="12812" spans="16:16" x14ac:dyDescent="0.25">
      <c r="P12812" s="4"/>
    </row>
    <row r="12813" spans="16:16" x14ac:dyDescent="0.25">
      <c r="P12813" s="4"/>
    </row>
    <row r="12814" spans="16:16" x14ac:dyDescent="0.25">
      <c r="P12814" s="4"/>
    </row>
    <row r="12815" spans="16:16" x14ac:dyDescent="0.25">
      <c r="P12815" s="4"/>
    </row>
    <row r="12816" spans="16:16" x14ac:dyDescent="0.25">
      <c r="P12816" s="4"/>
    </row>
    <row r="12817" spans="16:16" x14ac:dyDescent="0.25">
      <c r="P12817" s="4"/>
    </row>
    <row r="12818" spans="16:16" x14ac:dyDescent="0.25">
      <c r="P12818" s="4"/>
    </row>
    <row r="12819" spans="16:16" x14ac:dyDescent="0.25">
      <c r="P12819" s="4"/>
    </row>
    <row r="12820" spans="16:16" x14ac:dyDescent="0.25">
      <c r="P12820" s="4"/>
    </row>
    <row r="12821" spans="16:16" x14ac:dyDescent="0.25">
      <c r="P12821" s="4"/>
    </row>
    <row r="12822" spans="16:16" x14ac:dyDescent="0.25">
      <c r="P12822" s="4"/>
    </row>
    <row r="12823" spans="16:16" x14ac:dyDescent="0.25">
      <c r="P12823" s="4"/>
    </row>
    <row r="12824" spans="16:16" x14ac:dyDescent="0.25">
      <c r="P12824" s="4"/>
    </row>
    <row r="12825" spans="16:16" x14ac:dyDescent="0.25">
      <c r="P12825" s="4"/>
    </row>
    <row r="12826" spans="16:16" x14ac:dyDescent="0.25">
      <c r="P12826" s="4"/>
    </row>
    <row r="12827" spans="16:16" x14ac:dyDescent="0.25">
      <c r="P12827" s="4"/>
    </row>
    <row r="12828" spans="16:16" x14ac:dyDescent="0.25">
      <c r="P12828" s="4"/>
    </row>
    <row r="12829" spans="16:16" x14ac:dyDescent="0.25">
      <c r="P12829" s="4"/>
    </row>
    <row r="12830" spans="16:16" x14ac:dyDescent="0.25">
      <c r="P12830" s="4"/>
    </row>
    <row r="12831" spans="16:16" x14ac:dyDescent="0.25">
      <c r="P12831" s="4"/>
    </row>
    <row r="12832" spans="16:16" x14ac:dyDescent="0.25">
      <c r="P12832" s="4"/>
    </row>
    <row r="12833" spans="16:16" x14ac:dyDescent="0.25">
      <c r="P12833" s="4"/>
    </row>
    <row r="12834" spans="16:16" x14ac:dyDescent="0.25">
      <c r="P12834" s="4"/>
    </row>
    <row r="12835" spans="16:16" x14ac:dyDescent="0.25">
      <c r="P12835" s="4"/>
    </row>
    <row r="12836" spans="16:16" x14ac:dyDescent="0.25">
      <c r="P12836" s="4"/>
    </row>
    <row r="12837" spans="16:16" x14ac:dyDescent="0.25">
      <c r="P12837" s="4"/>
    </row>
    <row r="12838" spans="16:16" x14ac:dyDescent="0.25">
      <c r="P12838" s="4"/>
    </row>
    <row r="12839" spans="16:16" x14ac:dyDescent="0.25">
      <c r="P12839" s="4"/>
    </row>
    <row r="12840" spans="16:16" x14ac:dyDescent="0.25">
      <c r="P12840" s="4"/>
    </row>
    <row r="12841" spans="16:16" x14ac:dyDescent="0.25">
      <c r="P12841" s="4"/>
    </row>
    <row r="12842" spans="16:16" x14ac:dyDescent="0.25">
      <c r="P12842" s="4"/>
    </row>
    <row r="12843" spans="16:16" x14ac:dyDescent="0.25">
      <c r="P12843" s="4"/>
    </row>
    <row r="12844" spans="16:16" x14ac:dyDescent="0.25">
      <c r="P12844" s="4"/>
    </row>
    <row r="12845" spans="16:16" x14ac:dyDescent="0.25">
      <c r="P12845" s="4"/>
    </row>
    <row r="12846" spans="16:16" x14ac:dyDescent="0.25">
      <c r="P12846" s="4"/>
    </row>
    <row r="12847" spans="16:16" x14ac:dyDescent="0.25">
      <c r="P12847" s="4"/>
    </row>
    <row r="12848" spans="16:16" x14ac:dyDescent="0.25">
      <c r="P12848" s="4"/>
    </row>
    <row r="12849" spans="16:16" x14ac:dyDescent="0.25">
      <c r="P12849" s="4"/>
    </row>
    <row r="12850" spans="16:16" x14ac:dyDescent="0.25">
      <c r="P12850" s="4"/>
    </row>
    <row r="12851" spans="16:16" x14ac:dyDescent="0.25">
      <c r="P12851" s="4"/>
    </row>
    <row r="12852" spans="16:16" x14ac:dyDescent="0.25">
      <c r="P12852" s="4"/>
    </row>
    <row r="12853" spans="16:16" x14ac:dyDescent="0.25">
      <c r="P12853" s="4"/>
    </row>
    <row r="12854" spans="16:16" x14ac:dyDescent="0.25">
      <c r="P12854" s="4"/>
    </row>
    <row r="12855" spans="16:16" x14ac:dyDescent="0.25">
      <c r="P12855" s="4"/>
    </row>
    <row r="12856" spans="16:16" x14ac:dyDescent="0.25">
      <c r="P12856" s="4"/>
    </row>
    <row r="12857" spans="16:16" x14ac:dyDescent="0.25">
      <c r="P12857" s="4"/>
    </row>
    <row r="12858" spans="16:16" x14ac:dyDescent="0.25">
      <c r="P12858" s="4"/>
    </row>
    <row r="12859" spans="16:16" x14ac:dyDescent="0.25">
      <c r="P12859" s="4"/>
    </row>
    <row r="12860" spans="16:16" x14ac:dyDescent="0.25">
      <c r="P12860" s="4"/>
    </row>
    <row r="12861" spans="16:16" x14ac:dyDescent="0.25">
      <c r="P12861" s="4"/>
    </row>
    <row r="12862" spans="16:16" x14ac:dyDescent="0.25">
      <c r="P12862" s="4"/>
    </row>
    <row r="12863" spans="16:16" x14ac:dyDescent="0.25">
      <c r="P12863" s="4"/>
    </row>
    <row r="12864" spans="16:16" x14ac:dyDescent="0.25">
      <c r="P12864" s="4"/>
    </row>
    <row r="12865" spans="16:16" x14ac:dyDescent="0.25">
      <c r="P12865" s="4"/>
    </row>
    <row r="12866" spans="16:16" x14ac:dyDescent="0.25">
      <c r="P12866" s="4"/>
    </row>
    <row r="12867" spans="16:16" x14ac:dyDescent="0.25">
      <c r="P12867" s="4"/>
    </row>
    <row r="12868" spans="16:16" x14ac:dyDescent="0.25">
      <c r="P12868" s="4"/>
    </row>
    <row r="12869" spans="16:16" x14ac:dyDescent="0.25">
      <c r="P12869" s="4"/>
    </row>
    <row r="12870" spans="16:16" x14ac:dyDescent="0.25">
      <c r="P12870" s="4"/>
    </row>
    <row r="12871" spans="16:16" x14ac:dyDescent="0.25">
      <c r="P12871" s="4"/>
    </row>
    <row r="12872" spans="16:16" x14ac:dyDescent="0.25">
      <c r="P12872" s="4"/>
    </row>
    <row r="12873" spans="16:16" x14ac:dyDescent="0.25">
      <c r="P12873" s="4"/>
    </row>
    <row r="12874" spans="16:16" x14ac:dyDescent="0.25">
      <c r="P12874" s="4"/>
    </row>
    <row r="12875" spans="16:16" x14ac:dyDescent="0.25">
      <c r="P12875" s="4"/>
    </row>
    <row r="12876" spans="16:16" x14ac:dyDescent="0.25">
      <c r="P12876" s="4"/>
    </row>
    <row r="12877" spans="16:16" x14ac:dyDescent="0.25">
      <c r="P12877" s="4"/>
    </row>
    <row r="12878" spans="16:16" x14ac:dyDescent="0.25">
      <c r="P12878" s="4"/>
    </row>
    <row r="12879" spans="16:16" x14ac:dyDescent="0.25">
      <c r="P12879" s="4"/>
    </row>
    <row r="12880" spans="16:16" x14ac:dyDescent="0.25">
      <c r="P12880" s="4"/>
    </row>
    <row r="12881" spans="16:16" x14ac:dyDescent="0.25">
      <c r="P12881" s="4"/>
    </row>
    <row r="12882" spans="16:16" x14ac:dyDescent="0.25">
      <c r="P12882" s="4"/>
    </row>
    <row r="12883" spans="16:16" x14ac:dyDescent="0.25">
      <c r="P12883" s="4"/>
    </row>
    <row r="12884" spans="16:16" x14ac:dyDescent="0.25">
      <c r="P12884" s="4"/>
    </row>
    <row r="12885" spans="16:16" x14ac:dyDescent="0.25">
      <c r="P12885" s="4"/>
    </row>
    <row r="12886" spans="16:16" x14ac:dyDescent="0.25">
      <c r="P12886" s="4"/>
    </row>
    <row r="12887" spans="16:16" x14ac:dyDescent="0.25">
      <c r="P12887" s="4"/>
    </row>
    <row r="12888" spans="16:16" x14ac:dyDescent="0.25">
      <c r="P12888" s="4"/>
    </row>
    <row r="12889" spans="16:16" x14ac:dyDescent="0.25">
      <c r="P12889" s="4"/>
    </row>
    <row r="12890" spans="16:16" x14ac:dyDescent="0.25">
      <c r="P12890" s="4"/>
    </row>
    <row r="12891" spans="16:16" x14ac:dyDescent="0.25">
      <c r="P12891" s="4"/>
    </row>
    <row r="12892" spans="16:16" x14ac:dyDescent="0.25">
      <c r="P12892" s="4"/>
    </row>
    <row r="12893" spans="16:16" x14ac:dyDescent="0.25">
      <c r="P12893" s="4"/>
    </row>
    <row r="12894" spans="16:16" x14ac:dyDescent="0.25">
      <c r="P12894" s="4"/>
    </row>
    <row r="12895" spans="16:16" x14ac:dyDescent="0.25">
      <c r="P12895" s="4"/>
    </row>
    <row r="12896" spans="16:16" x14ac:dyDescent="0.25">
      <c r="P12896" s="4"/>
    </row>
    <row r="12897" spans="16:16" x14ac:dyDescent="0.25">
      <c r="P12897" s="4"/>
    </row>
    <row r="12898" spans="16:16" x14ac:dyDescent="0.25">
      <c r="P12898" s="4"/>
    </row>
    <row r="12899" spans="16:16" x14ac:dyDescent="0.25">
      <c r="P12899" s="4"/>
    </row>
    <row r="12900" spans="16:16" x14ac:dyDescent="0.25">
      <c r="P12900" s="4"/>
    </row>
    <row r="12901" spans="16:16" x14ac:dyDescent="0.25">
      <c r="P12901" s="4"/>
    </row>
    <row r="12902" spans="16:16" x14ac:dyDescent="0.25">
      <c r="P12902" s="4"/>
    </row>
    <row r="12903" spans="16:16" x14ac:dyDescent="0.25">
      <c r="P12903" s="4"/>
    </row>
    <row r="12904" spans="16:16" x14ac:dyDescent="0.25">
      <c r="P12904" s="4"/>
    </row>
    <row r="12905" spans="16:16" x14ac:dyDescent="0.25">
      <c r="P12905" s="4"/>
    </row>
    <row r="12906" spans="16:16" x14ac:dyDescent="0.25">
      <c r="P12906" s="4"/>
    </row>
    <row r="12907" spans="16:16" x14ac:dyDescent="0.25">
      <c r="P12907" s="4"/>
    </row>
    <row r="12908" spans="16:16" x14ac:dyDescent="0.25">
      <c r="P12908" s="4"/>
    </row>
    <row r="12909" spans="16:16" x14ac:dyDescent="0.25">
      <c r="P12909" s="4"/>
    </row>
    <row r="12910" spans="16:16" x14ac:dyDescent="0.25">
      <c r="P12910" s="4"/>
    </row>
    <row r="12911" spans="16:16" x14ac:dyDescent="0.25">
      <c r="P12911" s="4"/>
    </row>
    <row r="12912" spans="16:16" x14ac:dyDescent="0.25">
      <c r="P12912" s="4"/>
    </row>
    <row r="12913" spans="16:16" x14ac:dyDescent="0.25">
      <c r="P12913" s="4"/>
    </row>
    <row r="12914" spans="16:16" x14ac:dyDescent="0.25">
      <c r="P12914" s="4"/>
    </row>
    <row r="12915" spans="16:16" x14ac:dyDescent="0.25">
      <c r="P12915" s="4"/>
    </row>
    <row r="12916" spans="16:16" x14ac:dyDescent="0.25">
      <c r="P12916" s="4"/>
    </row>
    <row r="12917" spans="16:16" x14ac:dyDescent="0.25">
      <c r="P12917" s="4"/>
    </row>
    <row r="12918" spans="16:16" x14ac:dyDescent="0.25">
      <c r="P12918" s="4"/>
    </row>
    <row r="12919" spans="16:16" x14ac:dyDescent="0.25">
      <c r="P12919" s="4"/>
    </row>
    <row r="12920" spans="16:16" x14ac:dyDescent="0.25">
      <c r="P12920" s="4"/>
    </row>
    <row r="12921" spans="16:16" x14ac:dyDescent="0.25">
      <c r="P12921" s="4"/>
    </row>
    <row r="12922" spans="16:16" x14ac:dyDescent="0.25">
      <c r="P12922" s="4"/>
    </row>
    <row r="12923" spans="16:16" x14ac:dyDescent="0.25">
      <c r="P12923" s="4"/>
    </row>
    <row r="12924" spans="16:16" x14ac:dyDescent="0.25">
      <c r="P12924" s="4"/>
    </row>
    <row r="12925" spans="16:16" x14ac:dyDescent="0.25">
      <c r="P12925" s="4"/>
    </row>
    <row r="12926" spans="16:16" x14ac:dyDescent="0.25">
      <c r="P12926" s="4"/>
    </row>
    <row r="12927" spans="16:16" x14ac:dyDescent="0.25">
      <c r="P12927" s="4"/>
    </row>
    <row r="12928" spans="16:16" x14ac:dyDescent="0.25">
      <c r="P12928" s="4"/>
    </row>
    <row r="12929" spans="16:16" x14ac:dyDescent="0.25">
      <c r="P12929" s="4"/>
    </row>
    <row r="12930" spans="16:16" x14ac:dyDescent="0.25">
      <c r="P12930" s="4"/>
    </row>
    <row r="12931" spans="16:16" x14ac:dyDescent="0.25">
      <c r="P12931" s="4"/>
    </row>
    <row r="12932" spans="16:16" x14ac:dyDescent="0.25">
      <c r="P12932" s="4"/>
    </row>
    <row r="12933" spans="16:16" x14ac:dyDescent="0.25">
      <c r="P12933" s="4"/>
    </row>
    <row r="12934" spans="16:16" x14ac:dyDescent="0.25">
      <c r="P12934" s="4"/>
    </row>
    <row r="12935" spans="16:16" x14ac:dyDescent="0.25">
      <c r="P12935" s="4"/>
    </row>
    <row r="12936" spans="16:16" x14ac:dyDescent="0.25">
      <c r="P12936" s="4"/>
    </row>
    <row r="12937" spans="16:16" x14ac:dyDescent="0.25">
      <c r="P12937" s="4"/>
    </row>
    <row r="12938" spans="16:16" x14ac:dyDescent="0.25">
      <c r="P12938" s="4"/>
    </row>
    <row r="12939" spans="16:16" x14ac:dyDescent="0.25">
      <c r="P12939" s="4"/>
    </row>
    <row r="12940" spans="16:16" x14ac:dyDescent="0.25">
      <c r="P12940" s="4"/>
    </row>
    <row r="12941" spans="16:16" x14ac:dyDescent="0.25">
      <c r="P12941" s="4"/>
    </row>
    <row r="12942" spans="16:16" x14ac:dyDescent="0.25">
      <c r="P12942" s="4"/>
    </row>
    <row r="12943" spans="16:16" x14ac:dyDescent="0.25">
      <c r="P12943" s="4"/>
    </row>
    <row r="12944" spans="16:16" x14ac:dyDescent="0.25">
      <c r="P12944" s="4"/>
    </row>
    <row r="12945" spans="16:16" x14ac:dyDescent="0.25">
      <c r="P12945" s="4"/>
    </row>
    <row r="12946" spans="16:16" x14ac:dyDescent="0.25">
      <c r="P12946" s="4"/>
    </row>
    <row r="12947" spans="16:16" x14ac:dyDescent="0.25">
      <c r="P12947" s="4"/>
    </row>
    <row r="12948" spans="16:16" x14ac:dyDescent="0.25">
      <c r="P12948" s="4"/>
    </row>
    <row r="12949" spans="16:16" x14ac:dyDescent="0.25">
      <c r="P12949" s="4"/>
    </row>
    <row r="12950" spans="16:16" x14ac:dyDescent="0.25">
      <c r="P12950" s="4"/>
    </row>
    <row r="12951" spans="16:16" x14ac:dyDescent="0.25">
      <c r="P12951" s="4"/>
    </row>
    <row r="12952" spans="16:16" x14ac:dyDescent="0.25">
      <c r="P12952" s="4"/>
    </row>
    <row r="12953" spans="16:16" x14ac:dyDescent="0.25">
      <c r="P12953" s="4"/>
    </row>
    <row r="12954" spans="16:16" x14ac:dyDescent="0.25">
      <c r="P12954" s="4"/>
    </row>
    <row r="12955" spans="16:16" x14ac:dyDescent="0.25">
      <c r="P12955" s="4"/>
    </row>
    <row r="12956" spans="16:16" x14ac:dyDescent="0.25">
      <c r="P12956" s="4"/>
    </row>
    <row r="12957" spans="16:16" x14ac:dyDescent="0.25">
      <c r="P12957" s="4"/>
    </row>
    <row r="12958" spans="16:16" x14ac:dyDescent="0.25">
      <c r="P12958" s="4"/>
    </row>
    <row r="12959" spans="16:16" x14ac:dyDescent="0.25">
      <c r="P12959" s="4"/>
    </row>
    <row r="12960" spans="16:16" x14ac:dyDescent="0.25">
      <c r="P12960" s="4"/>
    </row>
    <row r="12961" spans="16:16" x14ac:dyDescent="0.25">
      <c r="P12961" s="4"/>
    </row>
    <row r="12962" spans="16:16" x14ac:dyDescent="0.25">
      <c r="P12962" s="4"/>
    </row>
    <row r="12963" spans="16:16" x14ac:dyDescent="0.25">
      <c r="P12963" s="4"/>
    </row>
    <row r="12964" spans="16:16" x14ac:dyDescent="0.25">
      <c r="P12964" s="4"/>
    </row>
    <row r="12965" spans="16:16" x14ac:dyDescent="0.25">
      <c r="P12965" s="4"/>
    </row>
    <row r="12966" spans="16:16" x14ac:dyDescent="0.25">
      <c r="P12966" s="4"/>
    </row>
    <row r="12967" spans="16:16" x14ac:dyDescent="0.25">
      <c r="P12967" s="4"/>
    </row>
    <row r="12968" spans="16:16" x14ac:dyDescent="0.25">
      <c r="P12968" s="4"/>
    </row>
    <row r="12969" spans="16:16" x14ac:dyDescent="0.25">
      <c r="P12969" s="4"/>
    </row>
    <row r="12970" spans="16:16" x14ac:dyDescent="0.25">
      <c r="P12970" s="4"/>
    </row>
    <row r="12971" spans="16:16" x14ac:dyDescent="0.25">
      <c r="P12971" s="4"/>
    </row>
    <row r="12972" spans="16:16" x14ac:dyDescent="0.25">
      <c r="P12972" s="4"/>
    </row>
    <row r="12973" spans="16:16" x14ac:dyDescent="0.25">
      <c r="P12973" s="4"/>
    </row>
    <row r="12974" spans="16:16" x14ac:dyDescent="0.25">
      <c r="P12974" s="4"/>
    </row>
    <row r="12975" spans="16:16" x14ac:dyDescent="0.25">
      <c r="P12975" s="4"/>
    </row>
    <row r="12976" spans="16:16" x14ac:dyDescent="0.25">
      <c r="P12976" s="4"/>
    </row>
    <row r="12977" spans="16:16" x14ac:dyDescent="0.25">
      <c r="P12977" s="4"/>
    </row>
    <row r="12978" spans="16:16" x14ac:dyDescent="0.25">
      <c r="P12978" s="4"/>
    </row>
    <row r="12979" spans="16:16" x14ac:dyDescent="0.25">
      <c r="P12979" s="4"/>
    </row>
    <row r="12980" spans="16:16" x14ac:dyDescent="0.25">
      <c r="P12980" s="4"/>
    </row>
    <row r="12981" spans="16:16" x14ac:dyDescent="0.25">
      <c r="P12981" s="4"/>
    </row>
    <row r="12982" spans="16:16" x14ac:dyDescent="0.25">
      <c r="P12982" s="4"/>
    </row>
    <row r="12983" spans="16:16" x14ac:dyDescent="0.25">
      <c r="P12983" s="4"/>
    </row>
    <row r="12984" spans="16:16" x14ac:dyDescent="0.25">
      <c r="P12984" s="4"/>
    </row>
    <row r="12985" spans="16:16" x14ac:dyDescent="0.25">
      <c r="P12985" s="4"/>
    </row>
    <row r="12986" spans="16:16" x14ac:dyDescent="0.25">
      <c r="P12986" s="4"/>
    </row>
    <row r="12987" spans="16:16" x14ac:dyDescent="0.25">
      <c r="P12987" s="4"/>
    </row>
    <row r="12988" spans="16:16" x14ac:dyDescent="0.25">
      <c r="P12988" s="4"/>
    </row>
    <row r="12989" spans="16:16" x14ac:dyDescent="0.25">
      <c r="P12989" s="4"/>
    </row>
    <row r="12990" spans="16:16" x14ac:dyDescent="0.25">
      <c r="P12990" s="4"/>
    </row>
    <row r="12991" spans="16:16" x14ac:dyDescent="0.25">
      <c r="P12991" s="4"/>
    </row>
    <row r="12992" spans="16:16" x14ac:dyDescent="0.25">
      <c r="P12992" s="4"/>
    </row>
    <row r="12993" spans="16:16" x14ac:dyDescent="0.25">
      <c r="P12993" s="4"/>
    </row>
    <row r="12994" spans="16:16" x14ac:dyDescent="0.25">
      <c r="P12994" s="4"/>
    </row>
    <row r="12995" spans="16:16" x14ac:dyDescent="0.25">
      <c r="P12995" s="4"/>
    </row>
    <row r="12996" spans="16:16" x14ac:dyDescent="0.25">
      <c r="P12996" s="4"/>
    </row>
    <row r="12997" spans="16:16" x14ac:dyDescent="0.25">
      <c r="P12997" s="4"/>
    </row>
    <row r="12998" spans="16:16" x14ac:dyDescent="0.25">
      <c r="P12998" s="4"/>
    </row>
    <row r="12999" spans="16:16" x14ac:dyDescent="0.25">
      <c r="P12999" s="4"/>
    </row>
    <row r="13000" spans="16:16" x14ac:dyDescent="0.25">
      <c r="P13000" s="4"/>
    </row>
    <row r="13001" spans="16:16" x14ac:dyDescent="0.25">
      <c r="P13001" s="4"/>
    </row>
    <row r="13002" spans="16:16" x14ac:dyDescent="0.25">
      <c r="P13002" s="4"/>
    </row>
    <row r="13003" spans="16:16" x14ac:dyDescent="0.25">
      <c r="P13003" s="4"/>
    </row>
    <row r="13004" spans="16:16" x14ac:dyDescent="0.25">
      <c r="P13004" s="4"/>
    </row>
    <row r="13005" spans="16:16" x14ac:dyDescent="0.25">
      <c r="P13005" s="4"/>
    </row>
    <row r="13006" spans="16:16" x14ac:dyDescent="0.25">
      <c r="P13006" s="4"/>
    </row>
    <row r="13007" spans="16:16" x14ac:dyDescent="0.25">
      <c r="P13007" s="4"/>
    </row>
    <row r="13008" spans="16:16" x14ac:dyDescent="0.25">
      <c r="P13008" s="4"/>
    </row>
    <row r="13009" spans="16:16" x14ac:dyDescent="0.25">
      <c r="P13009" s="4"/>
    </row>
    <row r="13010" spans="16:16" x14ac:dyDescent="0.25">
      <c r="P13010" s="4"/>
    </row>
    <row r="13011" spans="16:16" x14ac:dyDescent="0.25">
      <c r="P13011" s="4"/>
    </row>
    <row r="13012" spans="16:16" x14ac:dyDescent="0.25">
      <c r="P13012" s="4"/>
    </row>
    <row r="13013" spans="16:16" x14ac:dyDescent="0.25">
      <c r="P13013" s="4"/>
    </row>
    <row r="13014" spans="16:16" x14ac:dyDescent="0.25">
      <c r="P13014" s="4"/>
    </row>
    <row r="13015" spans="16:16" x14ac:dyDescent="0.25">
      <c r="P13015" s="4"/>
    </row>
    <row r="13016" spans="16:16" x14ac:dyDescent="0.25">
      <c r="P13016" s="4"/>
    </row>
    <row r="13017" spans="16:16" x14ac:dyDescent="0.25">
      <c r="P13017" s="4"/>
    </row>
    <row r="13018" spans="16:16" x14ac:dyDescent="0.25">
      <c r="P13018" s="4"/>
    </row>
    <row r="13019" spans="16:16" x14ac:dyDescent="0.25">
      <c r="P13019" s="4"/>
    </row>
    <row r="13020" spans="16:16" x14ac:dyDescent="0.25">
      <c r="P13020" s="4"/>
    </row>
    <row r="13021" spans="16:16" x14ac:dyDescent="0.25">
      <c r="P13021" s="4"/>
    </row>
    <row r="13022" spans="16:16" x14ac:dyDescent="0.25">
      <c r="P13022" s="4"/>
    </row>
    <row r="13023" spans="16:16" x14ac:dyDescent="0.25">
      <c r="P13023" s="4"/>
    </row>
    <row r="13024" spans="16:16" x14ac:dyDescent="0.25">
      <c r="P13024" s="4"/>
    </row>
    <row r="13025" spans="16:16" x14ac:dyDescent="0.25">
      <c r="P13025" s="4"/>
    </row>
    <row r="13026" spans="16:16" x14ac:dyDescent="0.25">
      <c r="P13026" s="4"/>
    </row>
    <row r="13027" spans="16:16" x14ac:dyDescent="0.25">
      <c r="P13027" s="4"/>
    </row>
    <row r="13028" spans="16:16" x14ac:dyDescent="0.25">
      <c r="P13028" s="4"/>
    </row>
    <row r="13029" spans="16:16" x14ac:dyDescent="0.25">
      <c r="P13029" s="4"/>
    </row>
    <row r="13030" spans="16:16" x14ac:dyDescent="0.25">
      <c r="P13030" s="4"/>
    </row>
    <row r="13031" spans="16:16" x14ac:dyDescent="0.25">
      <c r="P13031" s="4"/>
    </row>
    <row r="13032" spans="16:16" x14ac:dyDescent="0.25">
      <c r="P13032" s="4"/>
    </row>
    <row r="13033" spans="16:16" x14ac:dyDescent="0.25">
      <c r="P13033" s="4"/>
    </row>
    <row r="13034" spans="16:16" x14ac:dyDescent="0.25">
      <c r="P13034" s="4"/>
    </row>
    <row r="13035" spans="16:16" x14ac:dyDescent="0.25">
      <c r="P13035" s="4"/>
    </row>
    <row r="13036" spans="16:16" x14ac:dyDescent="0.25">
      <c r="P13036" s="4"/>
    </row>
    <row r="13037" spans="16:16" x14ac:dyDescent="0.25">
      <c r="P13037" s="4"/>
    </row>
    <row r="13038" spans="16:16" x14ac:dyDescent="0.25">
      <c r="P13038" s="4"/>
    </row>
    <row r="13039" spans="16:16" x14ac:dyDescent="0.25">
      <c r="P13039" s="4"/>
    </row>
    <row r="13040" spans="16:16" x14ac:dyDescent="0.25">
      <c r="P13040" s="4"/>
    </row>
    <row r="13041" spans="16:16" x14ac:dyDescent="0.25">
      <c r="P13041" s="4"/>
    </row>
    <row r="13042" spans="16:16" x14ac:dyDescent="0.25">
      <c r="P13042" s="4"/>
    </row>
    <row r="13043" spans="16:16" x14ac:dyDescent="0.25">
      <c r="P13043" s="4"/>
    </row>
    <row r="13044" spans="16:16" x14ac:dyDescent="0.25">
      <c r="P13044" s="4"/>
    </row>
    <row r="13045" spans="16:16" x14ac:dyDescent="0.25">
      <c r="P13045" s="4"/>
    </row>
    <row r="13046" spans="16:16" x14ac:dyDescent="0.25">
      <c r="P13046" s="4"/>
    </row>
    <row r="13047" spans="16:16" x14ac:dyDescent="0.25">
      <c r="P13047" s="4"/>
    </row>
    <row r="13048" spans="16:16" x14ac:dyDescent="0.25">
      <c r="P13048" s="4"/>
    </row>
    <row r="13049" spans="16:16" x14ac:dyDescent="0.25">
      <c r="P13049" s="4"/>
    </row>
    <row r="13050" spans="16:16" x14ac:dyDescent="0.25">
      <c r="P13050" s="4"/>
    </row>
    <row r="13051" spans="16:16" x14ac:dyDescent="0.25">
      <c r="P13051" s="4"/>
    </row>
    <row r="13052" spans="16:16" x14ac:dyDescent="0.25">
      <c r="P13052" s="4"/>
    </row>
    <row r="13053" spans="16:16" x14ac:dyDescent="0.25">
      <c r="P13053" s="4"/>
    </row>
    <row r="13054" spans="16:16" x14ac:dyDescent="0.25">
      <c r="P13054" s="4"/>
    </row>
    <row r="13055" spans="16:16" x14ac:dyDescent="0.25">
      <c r="P13055" s="4"/>
    </row>
    <row r="13056" spans="16:16" x14ac:dyDescent="0.25">
      <c r="P13056" s="4"/>
    </row>
    <row r="13057" spans="16:16" x14ac:dyDescent="0.25">
      <c r="P13057" s="4"/>
    </row>
    <row r="13058" spans="16:16" x14ac:dyDescent="0.25">
      <c r="P13058" s="4"/>
    </row>
    <row r="13059" spans="16:16" x14ac:dyDescent="0.25">
      <c r="P13059" s="4"/>
    </row>
    <row r="13060" spans="16:16" x14ac:dyDescent="0.25">
      <c r="P13060" s="4"/>
    </row>
    <row r="13061" spans="16:16" x14ac:dyDescent="0.25">
      <c r="P13061" s="4"/>
    </row>
    <row r="13062" spans="16:16" x14ac:dyDescent="0.25">
      <c r="P13062" s="4"/>
    </row>
    <row r="13063" spans="16:16" x14ac:dyDescent="0.25">
      <c r="P13063" s="4"/>
    </row>
    <row r="13064" spans="16:16" x14ac:dyDescent="0.25">
      <c r="P13064" s="4"/>
    </row>
    <row r="13065" spans="16:16" x14ac:dyDescent="0.25">
      <c r="P13065" s="4"/>
    </row>
    <row r="13066" spans="16:16" x14ac:dyDescent="0.25">
      <c r="P13066" s="4"/>
    </row>
    <row r="13067" spans="16:16" x14ac:dyDescent="0.25">
      <c r="P13067" s="4"/>
    </row>
    <row r="13068" spans="16:16" x14ac:dyDescent="0.25">
      <c r="P13068" s="4"/>
    </row>
    <row r="13069" spans="16:16" x14ac:dyDescent="0.25">
      <c r="P13069" s="4"/>
    </row>
    <row r="13070" spans="16:16" x14ac:dyDescent="0.25">
      <c r="P13070" s="4"/>
    </row>
    <row r="13071" spans="16:16" x14ac:dyDescent="0.25">
      <c r="P13071" s="4"/>
    </row>
    <row r="13072" spans="16:16" x14ac:dyDescent="0.25">
      <c r="P13072" s="4"/>
    </row>
    <row r="13073" spans="16:16" x14ac:dyDescent="0.25">
      <c r="P13073" s="4"/>
    </row>
    <row r="13074" spans="16:16" x14ac:dyDescent="0.25">
      <c r="P13074" s="4"/>
    </row>
    <row r="13075" spans="16:16" x14ac:dyDescent="0.25">
      <c r="P13075" s="4"/>
    </row>
    <row r="13076" spans="16:16" x14ac:dyDescent="0.25">
      <c r="P13076" s="4"/>
    </row>
    <row r="13077" spans="16:16" x14ac:dyDescent="0.25">
      <c r="P13077" s="4"/>
    </row>
    <row r="13078" spans="16:16" x14ac:dyDescent="0.25">
      <c r="P13078" s="4"/>
    </row>
    <row r="13079" spans="16:16" x14ac:dyDescent="0.25">
      <c r="P13079" s="4"/>
    </row>
    <row r="13080" spans="16:16" x14ac:dyDescent="0.25">
      <c r="P13080" s="4"/>
    </row>
    <row r="13081" spans="16:16" x14ac:dyDescent="0.25">
      <c r="P13081" s="4"/>
    </row>
    <row r="13082" spans="16:16" x14ac:dyDescent="0.25">
      <c r="P13082" s="4"/>
    </row>
    <row r="13083" spans="16:16" x14ac:dyDescent="0.25">
      <c r="P13083" s="4"/>
    </row>
    <row r="13084" spans="16:16" x14ac:dyDescent="0.25">
      <c r="P13084" s="4"/>
    </row>
    <row r="13085" spans="16:16" x14ac:dyDescent="0.25">
      <c r="P13085" s="4"/>
    </row>
    <row r="13086" spans="16:16" x14ac:dyDescent="0.25">
      <c r="P13086" s="4"/>
    </row>
    <row r="13087" spans="16:16" x14ac:dyDescent="0.25">
      <c r="P13087" s="4"/>
    </row>
    <row r="13088" spans="16:16" x14ac:dyDescent="0.25">
      <c r="P13088" s="4"/>
    </row>
    <row r="13089" spans="16:16" x14ac:dyDescent="0.25">
      <c r="P13089" s="4"/>
    </row>
    <row r="13090" spans="16:16" x14ac:dyDescent="0.25">
      <c r="P13090" s="4"/>
    </row>
    <row r="13091" spans="16:16" x14ac:dyDescent="0.25">
      <c r="P13091" s="4"/>
    </row>
    <row r="13092" spans="16:16" x14ac:dyDescent="0.25">
      <c r="P13092" s="4"/>
    </row>
    <row r="13093" spans="16:16" x14ac:dyDescent="0.25">
      <c r="P13093" s="4"/>
    </row>
    <row r="13094" spans="16:16" x14ac:dyDescent="0.25">
      <c r="P13094" s="4"/>
    </row>
    <row r="13095" spans="16:16" x14ac:dyDescent="0.25">
      <c r="P13095" s="4"/>
    </row>
    <row r="13096" spans="16:16" x14ac:dyDescent="0.25">
      <c r="P13096" s="4"/>
    </row>
    <row r="13097" spans="16:16" x14ac:dyDescent="0.25">
      <c r="P13097" s="4"/>
    </row>
    <row r="13098" spans="16:16" x14ac:dyDescent="0.25">
      <c r="P13098" s="4"/>
    </row>
    <row r="13099" spans="16:16" x14ac:dyDescent="0.25">
      <c r="P13099" s="4"/>
    </row>
    <row r="13100" spans="16:16" x14ac:dyDescent="0.25">
      <c r="P13100" s="4"/>
    </row>
    <row r="13101" spans="16:16" x14ac:dyDescent="0.25">
      <c r="P13101" s="4"/>
    </row>
    <row r="13102" spans="16:16" x14ac:dyDescent="0.25">
      <c r="P13102" s="4"/>
    </row>
    <row r="13103" spans="16:16" x14ac:dyDescent="0.25">
      <c r="P13103" s="4"/>
    </row>
    <row r="13104" spans="16:16" x14ac:dyDescent="0.25">
      <c r="P13104" s="4"/>
    </row>
    <row r="13105" spans="16:16" x14ac:dyDescent="0.25">
      <c r="P13105" s="4"/>
    </row>
    <row r="13106" spans="16:16" x14ac:dyDescent="0.25">
      <c r="P13106" s="4"/>
    </row>
    <row r="13107" spans="16:16" x14ac:dyDescent="0.25">
      <c r="P13107" s="4"/>
    </row>
    <row r="13108" spans="16:16" x14ac:dyDescent="0.25">
      <c r="P13108" s="4"/>
    </row>
    <row r="13109" spans="16:16" x14ac:dyDescent="0.25">
      <c r="P13109" s="4"/>
    </row>
    <row r="13110" spans="16:16" x14ac:dyDescent="0.25">
      <c r="P13110" s="4"/>
    </row>
    <row r="13111" spans="16:16" x14ac:dyDescent="0.25">
      <c r="P13111" s="4"/>
    </row>
    <row r="13112" spans="16:16" x14ac:dyDescent="0.25">
      <c r="P13112" s="4"/>
    </row>
    <row r="13113" spans="16:16" x14ac:dyDescent="0.25">
      <c r="P13113" s="4"/>
    </row>
    <row r="13114" spans="16:16" x14ac:dyDescent="0.25">
      <c r="P13114" s="4"/>
    </row>
    <row r="13115" spans="16:16" x14ac:dyDescent="0.25">
      <c r="P13115" s="4"/>
    </row>
    <row r="13116" spans="16:16" x14ac:dyDescent="0.25">
      <c r="P13116" s="4"/>
    </row>
    <row r="13117" spans="16:16" x14ac:dyDescent="0.25">
      <c r="P13117" s="4"/>
    </row>
    <row r="13118" spans="16:16" x14ac:dyDescent="0.25">
      <c r="P13118" s="4"/>
    </row>
    <row r="13119" spans="16:16" x14ac:dyDescent="0.25">
      <c r="P13119" s="4"/>
    </row>
    <row r="13120" spans="16:16" x14ac:dyDescent="0.25">
      <c r="P13120" s="4"/>
    </row>
    <row r="13121" spans="16:16" x14ac:dyDescent="0.25">
      <c r="P13121" s="4"/>
    </row>
    <row r="13122" spans="16:16" x14ac:dyDescent="0.25">
      <c r="P13122" s="4"/>
    </row>
    <row r="13123" spans="16:16" x14ac:dyDescent="0.25">
      <c r="P13123" s="4"/>
    </row>
    <row r="13124" spans="16:16" x14ac:dyDescent="0.25">
      <c r="P13124" s="4"/>
    </row>
    <row r="13125" spans="16:16" x14ac:dyDescent="0.25">
      <c r="P13125" s="4"/>
    </row>
    <row r="13126" spans="16:16" x14ac:dyDescent="0.25">
      <c r="P13126" s="4"/>
    </row>
    <row r="13127" spans="16:16" x14ac:dyDescent="0.25">
      <c r="P13127" s="4"/>
    </row>
    <row r="13128" spans="16:16" x14ac:dyDescent="0.25">
      <c r="P13128" s="4"/>
    </row>
    <row r="13129" spans="16:16" x14ac:dyDescent="0.25">
      <c r="P13129" s="4"/>
    </row>
    <row r="13130" spans="16:16" x14ac:dyDescent="0.25">
      <c r="P13130" s="4"/>
    </row>
    <row r="13131" spans="16:16" x14ac:dyDescent="0.25">
      <c r="P13131" s="4"/>
    </row>
    <row r="13132" spans="16:16" x14ac:dyDescent="0.25">
      <c r="P13132" s="4"/>
    </row>
    <row r="13133" spans="16:16" x14ac:dyDescent="0.25">
      <c r="P13133" s="4"/>
    </row>
    <row r="13134" spans="16:16" x14ac:dyDescent="0.25">
      <c r="P13134" s="4"/>
    </row>
    <row r="13135" spans="16:16" x14ac:dyDescent="0.25">
      <c r="P13135" s="4"/>
    </row>
    <row r="13136" spans="16:16" x14ac:dyDescent="0.25">
      <c r="P13136" s="4"/>
    </row>
    <row r="13137" spans="16:16" x14ac:dyDescent="0.25">
      <c r="P13137" s="4"/>
    </row>
    <row r="13138" spans="16:16" x14ac:dyDescent="0.25">
      <c r="P13138" s="4"/>
    </row>
    <row r="13139" spans="16:16" x14ac:dyDescent="0.25">
      <c r="P13139" s="4"/>
    </row>
    <row r="13140" spans="16:16" x14ac:dyDescent="0.25">
      <c r="P13140" s="4"/>
    </row>
    <row r="13141" spans="16:16" x14ac:dyDescent="0.25">
      <c r="P13141" s="4"/>
    </row>
    <row r="13142" spans="16:16" x14ac:dyDescent="0.25">
      <c r="P13142" s="4"/>
    </row>
    <row r="13143" spans="16:16" x14ac:dyDescent="0.25">
      <c r="P13143" s="4"/>
    </row>
    <row r="13144" spans="16:16" x14ac:dyDescent="0.25">
      <c r="P13144" s="4"/>
    </row>
    <row r="13145" spans="16:16" x14ac:dyDescent="0.25">
      <c r="P13145" s="4"/>
    </row>
    <row r="13146" spans="16:16" x14ac:dyDescent="0.25">
      <c r="P13146" s="4"/>
    </row>
    <row r="13147" spans="16:16" x14ac:dyDescent="0.25">
      <c r="P13147" s="4"/>
    </row>
    <row r="13148" spans="16:16" x14ac:dyDescent="0.25">
      <c r="P13148" s="4"/>
    </row>
    <row r="13149" spans="16:16" x14ac:dyDescent="0.25">
      <c r="P13149" s="4"/>
    </row>
    <row r="13150" spans="16:16" x14ac:dyDescent="0.25">
      <c r="P13150" s="4"/>
    </row>
    <row r="13151" spans="16:16" x14ac:dyDescent="0.25">
      <c r="P13151" s="4"/>
    </row>
    <row r="13152" spans="16:16" x14ac:dyDescent="0.25">
      <c r="P13152" s="4"/>
    </row>
    <row r="13153" spans="16:16" x14ac:dyDescent="0.25">
      <c r="P13153" s="4"/>
    </row>
    <row r="13154" spans="16:16" x14ac:dyDescent="0.25">
      <c r="P13154" s="4"/>
    </row>
    <row r="13155" spans="16:16" x14ac:dyDescent="0.25">
      <c r="P13155" s="4"/>
    </row>
    <row r="13156" spans="16:16" x14ac:dyDescent="0.25">
      <c r="P13156" s="4"/>
    </row>
    <row r="13157" spans="16:16" x14ac:dyDescent="0.25">
      <c r="P13157" s="4"/>
    </row>
    <row r="13158" spans="16:16" x14ac:dyDescent="0.25">
      <c r="P13158" s="4"/>
    </row>
    <row r="13159" spans="16:16" x14ac:dyDescent="0.25">
      <c r="P13159" s="4"/>
    </row>
    <row r="13160" spans="16:16" x14ac:dyDescent="0.25">
      <c r="P13160" s="4"/>
    </row>
    <row r="13161" spans="16:16" x14ac:dyDescent="0.25">
      <c r="P13161" s="4"/>
    </row>
    <row r="13162" spans="16:16" x14ac:dyDescent="0.25">
      <c r="P13162" s="4"/>
    </row>
    <row r="13163" spans="16:16" x14ac:dyDescent="0.25">
      <c r="P13163" s="4"/>
    </row>
    <row r="13164" spans="16:16" x14ac:dyDescent="0.25">
      <c r="P13164" s="4"/>
    </row>
    <row r="13165" spans="16:16" x14ac:dyDescent="0.25">
      <c r="P13165" s="4"/>
    </row>
    <row r="13166" spans="16:16" x14ac:dyDescent="0.25">
      <c r="P13166" s="4"/>
    </row>
    <row r="13167" spans="16:16" x14ac:dyDescent="0.25">
      <c r="P13167" s="4"/>
    </row>
    <row r="13168" spans="16:16" x14ac:dyDescent="0.25">
      <c r="P13168" s="4"/>
    </row>
    <row r="13169" spans="16:16" x14ac:dyDescent="0.25">
      <c r="P13169" s="4"/>
    </row>
    <row r="13170" spans="16:16" x14ac:dyDescent="0.25">
      <c r="P13170" s="4"/>
    </row>
    <row r="13171" spans="16:16" x14ac:dyDescent="0.25">
      <c r="P13171" s="4"/>
    </row>
    <row r="13172" spans="16:16" x14ac:dyDescent="0.25">
      <c r="P13172" s="4"/>
    </row>
    <row r="13173" spans="16:16" x14ac:dyDescent="0.25">
      <c r="P13173" s="4"/>
    </row>
    <row r="13174" spans="16:16" x14ac:dyDescent="0.25">
      <c r="P13174" s="4"/>
    </row>
    <row r="13175" spans="16:16" x14ac:dyDescent="0.25">
      <c r="P13175" s="4"/>
    </row>
    <row r="13176" spans="16:16" x14ac:dyDescent="0.25">
      <c r="P13176" s="4"/>
    </row>
    <row r="13177" spans="16:16" x14ac:dyDescent="0.25">
      <c r="P13177" s="4"/>
    </row>
    <row r="13178" spans="16:16" x14ac:dyDescent="0.25">
      <c r="P13178" s="4"/>
    </row>
    <row r="13179" spans="16:16" x14ac:dyDescent="0.25">
      <c r="P13179" s="4"/>
    </row>
    <row r="13180" spans="16:16" x14ac:dyDescent="0.25">
      <c r="P13180" s="4"/>
    </row>
    <row r="13181" spans="16:16" x14ac:dyDescent="0.25">
      <c r="P13181" s="4"/>
    </row>
    <row r="13182" spans="16:16" x14ac:dyDescent="0.25">
      <c r="P13182" s="4"/>
    </row>
    <row r="13183" spans="16:16" x14ac:dyDescent="0.25">
      <c r="P13183" s="4"/>
    </row>
    <row r="13184" spans="16:16" x14ac:dyDescent="0.25">
      <c r="P13184" s="4"/>
    </row>
    <row r="13185" spans="16:16" x14ac:dyDescent="0.25">
      <c r="P13185" s="4"/>
    </row>
    <row r="13186" spans="16:16" x14ac:dyDescent="0.25">
      <c r="P13186" s="4"/>
    </row>
    <row r="13187" spans="16:16" x14ac:dyDescent="0.25">
      <c r="P13187" s="4"/>
    </row>
    <row r="13188" spans="16:16" x14ac:dyDescent="0.25">
      <c r="P13188" s="4"/>
    </row>
    <row r="13189" spans="16:16" x14ac:dyDescent="0.25">
      <c r="P13189" s="4"/>
    </row>
    <row r="13190" spans="16:16" x14ac:dyDescent="0.25">
      <c r="P13190" s="4"/>
    </row>
    <row r="13191" spans="16:16" x14ac:dyDescent="0.25">
      <c r="P13191" s="4"/>
    </row>
    <row r="13192" spans="16:16" x14ac:dyDescent="0.25">
      <c r="P13192" s="4"/>
    </row>
    <row r="13193" spans="16:16" x14ac:dyDescent="0.25">
      <c r="P13193" s="4"/>
    </row>
    <row r="13194" spans="16:16" x14ac:dyDescent="0.25">
      <c r="P13194" s="4"/>
    </row>
    <row r="13195" spans="16:16" x14ac:dyDescent="0.25">
      <c r="P13195" s="4"/>
    </row>
    <row r="13196" spans="16:16" x14ac:dyDescent="0.25">
      <c r="P13196" s="4"/>
    </row>
    <row r="13197" spans="16:16" x14ac:dyDescent="0.25">
      <c r="P13197" s="4"/>
    </row>
    <row r="13198" spans="16:16" x14ac:dyDescent="0.25">
      <c r="P13198" s="4"/>
    </row>
    <row r="13199" spans="16:16" x14ac:dyDescent="0.25">
      <c r="P13199" s="4"/>
    </row>
    <row r="13200" spans="16:16" x14ac:dyDescent="0.25">
      <c r="P13200" s="4"/>
    </row>
    <row r="13201" spans="16:16" x14ac:dyDescent="0.25">
      <c r="P13201" s="4"/>
    </row>
    <row r="13202" spans="16:16" x14ac:dyDescent="0.25">
      <c r="P13202" s="4"/>
    </row>
    <row r="13203" spans="16:16" x14ac:dyDescent="0.25">
      <c r="P13203" s="4"/>
    </row>
    <row r="13204" spans="16:16" x14ac:dyDescent="0.25">
      <c r="P13204" s="4"/>
    </row>
    <row r="13205" spans="16:16" x14ac:dyDescent="0.25">
      <c r="P13205" s="4"/>
    </row>
    <row r="13206" spans="16:16" x14ac:dyDescent="0.25">
      <c r="P13206" s="4"/>
    </row>
    <row r="13207" spans="16:16" x14ac:dyDescent="0.25">
      <c r="P13207" s="4"/>
    </row>
    <row r="13208" spans="16:16" x14ac:dyDescent="0.25">
      <c r="P13208" s="4"/>
    </row>
    <row r="13209" spans="16:16" x14ac:dyDescent="0.25">
      <c r="P13209" s="4"/>
    </row>
    <row r="13210" spans="16:16" x14ac:dyDescent="0.25">
      <c r="P13210" s="4"/>
    </row>
    <row r="13211" spans="16:16" x14ac:dyDescent="0.25">
      <c r="P13211" s="4"/>
    </row>
    <row r="13212" spans="16:16" x14ac:dyDescent="0.25">
      <c r="P13212" s="4"/>
    </row>
    <row r="13213" spans="16:16" x14ac:dyDescent="0.25">
      <c r="P13213" s="4"/>
    </row>
    <row r="13214" spans="16:16" x14ac:dyDescent="0.25">
      <c r="P13214" s="4"/>
    </row>
    <row r="13215" spans="16:16" x14ac:dyDescent="0.25">
      <c r="P13215" s="4"/>
    </row>
    <row r="13216" spans="16:16" x14ac:dyDescent="0.25">
      <c r="P13216" s="4"/>
    </row>
    <row r="13217" spans="16:16" x14ac:dyDescent="0.25">
      <c r="P13217" s="4"/>
    </row>
    <row r="13218" spans="16:16" x14ac:dyDescent="0.25">
      <c r="P13218" s="4"/>
    </row>
    <row r="13219" spans="16:16" x14ac:dyDescent="0.25">
      <c r="P13219" s="4"/>
    </row>
    <row r="13220" spans="16:16" x14ac:dyDescent="0.25">
      <c r="P13220" s="4"/>
    </row>
    <row r="13221" spans="16:16" x14ac:dyDescent="0.25">
      <c r="P13221" s="4"/>
    </row>
    <row r="13222" spans="16:16" x14ac:dyDescent="0.25">
      <c r="P13222" s="4"/>
    </row>
    <row r="13223" spans="16:16" x14ac:dyDescent="0.25">
      <c r="P13223" s="4"/>
    </row>
    <row r="13224" spans="16:16" x14ac:dyDescent="0.25">
      <c r="P13224" s="4"/>
    </row>
    <row r="13225" spans="16:16" x14ac:dyDescent="0.25">
      <c r="P13225" s="4"/>
    </row>
    <row r="13226" spans="16:16" x14ac:dyDescent="0.25">
      <c r="P13226" s="4"/>
    </row>
    <row r="13227" spans="16:16" x14ac:dyDescent="0.25">
      <c r="P13227" s="4"/>
    </row>
    <row r="13228" spans="16:16" x14ac:dyDescent="0.25">
      <c r="P13228" s="4"/>
    </row>
    <row r="13229" spans="16:16" x14ac:dyDescent="0.25">
      <c r="P13229" s="4"/>
    </row>
    <row r="13230" spans="16:16" x14ac:dyDescent="0.25">
      <c r="P13230" s="4"/>
    </row>
    <row r="13231" spans="16:16" x14ac:dyDescent="0.25">
      <c r="P13231" s="4"/>
    </row>
    <row r="13232" spans="16:16" x14ac:dyDescent="0.25">
      <c r="P13232" s="4"/>
    </row>
    <row r="13233" spans="16:16" x14ac:dyDescent="0.25">
      <c r="P13233" s="4"/>
    </row>
    <row r="13234" spans="16:16" x14ac:dyDescent="0.25">
      <c r="P13234" s="4"/>
    </row>
    <row r="13235" spans="16:16" x14ac:dyDescent="0.25">
      <c r="P13235" s="4"/>
    </row>
    <row r="13236" spans="16:16" x14ac:dyDescent="0.25">
      <c r="P13236" s="4"/>
    </row>
    <row r="13237" spans="16:16" x14ac:dyDescent="0.25">
      <c r="P13237" s="4"/>
    </row>
    <row r="13238" spans="16:16" x14ac:dyDescent="0.25">
      <c r="P13238" s="4"/>
    </row>
    <row r="13239" spans="16:16" x14ac:dyDescent="0.25">
      <c r="P13239" s="4"/>
    </row>
    <row r="13240" spans="16:16" x14ac:dyDescent="0.25">
      <c r="P13240" s="4"/>
    </row>
    <row r="13241" spans="16:16" x14ac:dyDescent="0.25">
      <c r="P13241" s="4"/>
    </row>
    <row r="13242" spans="16:16" x14ac:dyDescent="0.25">
      <c r="P13242" s="4"/>
    </row>
    <row r="13243" spans="16:16" x14ac:dyDescent="0.25">
      <c r="P13243" s="4"/>
    </row>
    <row r="13244" spans="16:16" x14ac:dyDescent="0.25">
      <c r="P13244" s="4"/>
    </row>
    <row r="13245" spans="16:16" x14ac:dyDescent="0.25">
      <c r="P13245" s="4"/>
    </row>
    <row r="13246" spans="16:16" x14ac:dyDescent="0.25">
      <c r="P13246" s="4"/>
    </row>
    <row r="13247" spans="16:16" x14ac:dyDescent="0.25">
      <c r="P13247" s="4"/>
    </row>
    <row r="13248" spans="16:16" x14ac:dyDescent="0.25">
      <c r="P13248" s="4"/>
    </row>
    <row r="13249" spans="16:16" x14ac:dyDescent="0.25">
      <c r="P13249" s="4"/>
    </row>
    <row r="13250" spans="16:16" x14ac:dyDescent="0.25">
      <c r="P13250" s="4"/>
    </row>
    <row r="13251" spans="16:16" x14ac:dyDescent="0.25">
      <c r="P13251" s="4"/>
    </row>
    <row r="13252" spans="16:16" x14ac:dyDescent="0.25">
      <c r="P13252" s="4"/>
    </row>
    <row r="13253" spans="16:16" x14ac:dyDescent="0.25">
      <c r="P13253" s="4"/>
    </row>
    <row r="13254" spans="16:16" x14ac:dyDescent="0.25">
      <c r="P13254" s="4"/>
    </row>
    <row r="13255" spans="16:16" x14ac:dyDescent="0.25">
      <c r="P13255" s="4"/>
    </row>
    <row r="13256" spans="16:16" x14ac:dyDescent="0.25">
      <c r="P13256" s="4"/>
    </row>
    <row r="13257" spans="16:16" x14ac:dyDescent="0.25">
      <c r="P13257" s="4"/>
    </row>
    <row r="13258" spans="16:16" x14ac:dyDescent="0.25">
      <c r="P13258" s="4"/>
    </row>
    <row r="13259" spans="16:16" x14ac:dyDescent="0.25">
      <c r="P13259" s="4"/>
    </row>
    <row r="13260" spans="16:16" x14ac:dyDescent="0.25">
      <c r="P13260" s="4"/>
    </row>
    <row r="13261" spans="16:16" x14ac:dyDescent="0.25">
      <c r="P13261" s="4"/>
    </row>
    <row r="13262" spans="16:16" x14ac:dyDescent="0.25">
      <c r="P13262" s="4"/>
    </row>
    <row r="13263" spans="16:16" x14ac:dyDescent="0.25">
      <c r="P13263" s="4"/>
    </row>
    <row r="13264" spans="16:16" x14ac:dyDescent="0.25">
      <c r="P13264" s="4"/>
    </row>
    <row r="13265" spans="16:16" x14ac:dyDescent="0.25">
      <c r="P13265" s="4"/>
    </row>
    <row r="13266" spans="16:16" x14ac:dyDescent="0.25">
      <c r="P13266" s="4"/>
    </row>
    <row r="13267" spans="16:16" x14ac:dyDescent="0.25">
      <c r="P13267" s="4"/>
    </row>
    <row r="13268" spans="16:16" x14ac:dyDescent="0.25">
      <c r="P13268" s="4"/>
    </row>
    <row r="13269" spans="16:16" x14ac:dyDescent="0.25">
      <c r="P13269" s="4"/>
    </row>
    <row r="13270" spans="16:16" x14ac:dyDescent="0.25">
      <c r="P13270" s="4"/>
    </row>
    <row r="13271" spans="16:16" x14ac:dyDescent="0.25">
      <c r="P13271" s="4"/>
    </row>
    <row r="13272" spans="16:16" x14ac:dyDescent="0.25">
      <c r="P13272" s="4"/>
    </row>
    <row r="13273" spans="16:16" x14ac:dyDescent="0.25">
      <c r="P13273" s="4"/>
    </row>
    <row r="13274" spans="16:16" x14ac:dyDescent="0.25">
      <c r="P13274" s="4"/>
    </row>
    <row r="13275" spans="16:16" x14ac:dyDescent="0.25">
      <c r="P13275" s="4"/>
    </row>
    <row r="13276" spans="16:16" x14ac:dyDescent="0.25">
      <c r="P13276" s="4"/>
    </row>
    <row r="13277" spans="16:16" x14ac:dyDescent="0.25">
      <c r="P13277" s="4"/>
    </row>
    <row r="13278" spans="16:16" x14ac:dyDescent="0.25">
      <c r="P13278" s="4"/>
    </row>
    <row r="13279" spans="16:16" x14ac:dyDescent="0.25">
      <c r="P13279" s="4"/>
    </row>
    <row r="13280" spans="16:16" x14ac:dyDescent="0.25">
      <c r="P13280" s="4"/>
    </row>
    <row r="13281" spans="16:16" x14ac:dyDescent="0.25">
      <c r="P13281" s="4"/>
    </row>
    <row r="13282" spans="16:16" x14ac:dyDescent="0.25">
      <c r="P13282" s="4"/>
    </row>
    <row r="13283" spans="16:16" x14ac:dyDescent="0.25">
      <c r="P13283" s="4"/>
    </row>
    <row r="13284" spans="16:16" x14ac:dyDescent="0.25">
      <c r="P13284" s="4"/>
    </row>
    <row r="13285" spans="16:16" x14ac:dyDescent="0.25">
      <c r="P13285" s="4"/>
    </row>
    <row r="13286" spans="16:16" x14ac:dyDescent="0.25">
      <c r="P13286" s="4"/>
    </row>
    <row r="13287" spans="16:16" x14ac:dyDescent="0.25">
      <c r="P13287" s="4"/>
    </row>
    <row r="13288" spans="16:16" x14ac:dyDescent="0.25">
      <c r="P13288" s="4"/>
    </row>
    <row r="13289" spans="16:16" x14ac:dyDescent="0.25">
      <c r="P13289" s="4"/>
    </row>
    <row r="13290" spans="16:16" x14ac:dyDescent="0.25">
      <c r="P13290" s="4"/>
    </row>
    <row r="13291" spans="16:16" x14ac:dyDescent="0.25">
      <c r="P13291" s="4"/>
    </row>
    <row r="13292" spans="16:16" x14ac:dyDescent="0.25">
      <c r="P13292" s="4"/>
    </row>
    <row r="13293" spans="16:16" x14ac:dyDescent="0.25">
      <c r="P13293" s="4"/>
    </row>
    <row r="13294" spans="16:16" x14ac:dyDescent="0.25">
      <c r="P13294" s="4"/>
    </row>
    <row r="13295" spans="16:16" x14ac:dyDescent="0.25">
      <c r="P13295" s="4"/>
    </row>
    <row r="13296" spans="16:16" x14ac:dyDescent="0.25">
      <c r="P13296" s="4"/>
    </row>
    <row r="13297" spans="16:16" x14ac:dyDescent="0.25">
      <c r="P13297" s="4"/>
    </row>
    <row r="13298" spans="16:16" x14ac:dyDescent="0.25">
      <c r="P13298" s="4"/>
    </row>
    <row r="13299" spans="16:16" x14ac:dyDescent="0.25">
      <c r="P13299" s="4"/>
    </row>
    <row r="13300" spans="16:16" x14ac:dyDescent="0.25">
      <c r="P13300" s="4"/>
    </row>
    <row r="13301" spans="16:16" x14ac:dyDescent="0.25">
      <c r="P13301" s="4"/>
    </row>
    <row r="13302" spans="16:16" x14ac:dyDescent="0.25">
      <c r="P13302" s="4"/>
    </row>
    <row r="13303" spans="16:16" x14ac:dyDescent="0.25">
      <c r="P13303" s="4"/>
    </row>
    <row r="13304" spans="16:16" x14ac:dyDescent="0.25">
      <c r="P13304" s="4"/>
    </row>
    <row r="13305" spans="16:16" x14ac:dyDescent="0.25">
      <c r="P13305" s="4"/>
    </row>
    <row r="13306" spans="16:16" x14ac:dyDescent="0.25">
      <c r="P13306" s="4"/>
    </row>
    <row r="13307" spans="16:16" x14ac:dyDescent="0.25">
      <c r="P13307" s="4"/>
    </row>
    <row r="13308" spans="16:16" x14ac:dyDescent="0.25">
      <c r="P13308" s="4"/>
    </row>
    <row r="13309" spans="16:16" x14ac:dyDescent="0.25">
      <c r="P13309" s="4"/>
    </row>
    <row r="13310" spans="16:16" x14ac:dyDescent="0.25">
      <c r="P13310" s="4"/>
    </row>
    <row r="13311" spans="16:16" x14ac:dyDescent="0.25">
      <c r="P13311" s="4"/>
    </row>
    <row r="13312" spans="16:16" x14ac:dyDescent="0.25">
      <c r="P13312" s="4"/>
    </row>
    <row r="13313" spans="16:16" x14ac:dyDescent="0.25">
      <c r="P13313" s="4"/>
    </row>
    <row r="13314" spans="16:16" x14ac:dyDescent="0.25">
      <c r="P13314" s="4"/>
    </row>
    <row r="13315" spans="16:16" x14ac:dyDescent="0.25">
      <c r="P13315" s="4"/>
    </row>
    <row r="13316" spans="16:16" x14ac:dyDescent="0.25">
      <c r="P13316" s="4"/>
    </row>
    <row r="13317" spans="16:16" x14ac:dyDescent="0.25">
      <c r="P13317" s="4"/>
    </row>
    <row r="13318" spans="16:16" x14ac:dyDescent="0.25">
      <c r="P13318" s="4"/>
    </row>
    <row r="13319" spans="16:16" x14ac:dyDescent="0.25">
      <c r="P13319" s="4"/>
    </row>
    <row r="13320" spans="16:16" x14ac:dyDescent="0.25">
      <c r="P13320" s="4"/>
    </row>
    <row r="13321" spans="16:16" x14ac:dyDescent="0.25">
      <c r="P13321" s="4"/>
    </row>
    <row r="13322" spans="16:16" x14ac:dyDescent="0.25">
      <c r="P13322" s="4"/>
    </row>
    <row r="13323" spans="16:16" x14ac:dyDescent="0.25">
      <c r="P13323" s="4"/>
    </row>
    <row r="13324" spans="16:16" x14ac:dyDescent="0.25">
      <c r="P13324" s="4"/>
    </row>
    <row r="13325" spans="16:16" x14ac:dyDescent="0.25">
      <c r="P13325" s="4"/>
    </row>
    <row r="13326" spans="16:16" x14ac:dyDescent="0.25">
      <c r="P13326" s="4"/>
    </row>
    <row r="13327" spans="16:16" x14ac:dyDescent="0.25">
      <c r="P13327" s="4"/>
    </row>
    <row r="13328" spans="16:16" x14ac:dyDescent="0.25">
      <c r="P13328" s="4"/>
    </row>
    <row r="13329" spans="16:16" x14ac:dyDescent="0.25">
      <c r="P13329" s="4"/>
    </row>
    <row r="13330" spans="16:16" x14ac:dyDescent="0.25">
      <c r="P13330" s="4"/>
    </row>
    <row r="13331" spans="16:16" x14ac:dyDescent="0.25">
      <c r="P13331" s="4"/>
    </row>
    <row r="13332" spans="16:16" x14ac:dyDescent="0.25">
      <c r="P13332" s="4"/>
    </row>
    <row r="13333" spans="16:16" x14ac:dyDescent="0.25">
      <c r="P13333" s="4"/>
    </row>
    <row r="13334" spans="16:16" x14ac:dyDescent="0.25">
      <c r="P13334" s="4"/>
    </row>
    <row r="13335" spans="16:16" x14ac:dyDescent="0.25">
      <c r="P13335" s="4"/>
    </row>
    <row r="13336" spans="16:16" x14ac:dyDescent="0.25">
      <c r="P13336" s="4"/>
    </row>
    <row r="13337" spans="16:16" x14ac:dyDescent="0.25">
      <c r="P13337" s="4"/>
    </row>
    <row r="13338" spans="16:16" x14ac:dyDescent="0.25">
      <c r="P13338" s="4"/>
    </row>
    <row r="13339" spans="16:16" x14ac:dyDescent="0.25">
      <c r="P13339" s="4"/>
    </row>
    <row r="13340" spans="16:16" x14ac:dyDescent="0.25">
      <c r="P13340" s="4"/>
    </row>
    <row r="13341" spans="16:16" x14ac:dyDescent="0.25">
      <c r="P13341" s="4"/>
    </row>
    <row r="13342" spans="16:16" x14ac:dyDescent="0.25">
      <c r="P13342" s="4"/>
    </row>
    <row r="13343" spans="16:16" x14ac:dyDescent="0.25">
      <c r="P13343" s="4"/>
    </row>
    <row r="13344" spans="16:16" x14ac:dyDescent="0.25">
      <c r="P13344" s="4"/>
    </row>
    <row r="13345" spans="16:16" x14ac:dyDescent="0.25">
      <c r="P13345" s="4"/>
    </row>
    <row r="13346" spans="16:16" x14ac:dyDescent="0.25">
      <c r="P13346" s="4"/>
    </row>
    <row r="13347" spans="16:16" x14ac:dyDescent="0.25">
      <c r="P13347" s="4"/>
    </row>
    <row r="13348" spans="16:16" x14ac:dyDescent="0.25">
      <c r="P13348" s="4"/>
    </row>
    <row r="13349" spans="16:16" x14ac:dyDescent="0.25">
      <c r="P13349" s="4"/>
    </row>
    <row r="13350" spans="16:16" x14ac:dyDescent="0.25">
      <c r="P13350" s="4"/>
    </row>
    <row r="13351" spans="16:16" x14ac:dyDescent="0.25">
      <c r="P13351" s="4"/>
    </row>
    <row r="13352" spans="16:16" x14ac:dyDescent="0.25">
      <c r="P13352" s="4"/>
    </row>
    <row r="13353" spans="16:16" x14ac:dyDescent="0.25">
      <c r="P13353" s="4"/>
    </row>
    <row r="13354" spans="16:16" x14ac:dyDescent="0.25">
      <c r="P13354" s="4"/>
    </row>
    <row r="13355" spans="16:16" x14ac:dyDescent="0.25">
      <c r="P13355" s="4"/>
    </row>
    <row r="13356" spans="16:16" x14ac:dyDescent="0.25">
      <c r="P13356" s="4"/>
    </row>
    <row r="13357" spans="16:16" x14ac:dyDescent="0.25">
      <c r="P13357" s="4"/>
    </row>
    <row r="13358" spans="16:16" x14ac:dyDescent="0.25">
      <c r="P13358" s="4"/>
    </row>
    <row r="13359" spans="16:16" x14ac:dyDescent="0.25">
      <c r="P13359" s="4"/>
    </row>
    <row r="13360" spans="16:16" x14ac:dyDescent="0.25">
      <c r="P13360" s="4"/>
    </row>
    <row r="13361" spans="16:16" x14ac:dyDescent="0.25">
      <c r="P13361" s="4"/>
    </row>
    <row r="13362" spans="16:16" x14ac:dyDescent="0.25">
      <c r="P13362" s="4"/>
    </row>
    <row r="13363" spans="16:16" x14ac:dyDescent="0.25">
      <c r="P13363" s="4"/>
    </row>
    <row r="13364" spans="16:16" x14ac:dyDescent="0.25">
      <c r="P13364" s="4"/>
    </row>
    <row r="13365" spans="16:16" x14ac:dyDescent="0.25">
      <c r="P13365" s="4"/>
    </row>
    <row r="13366" spans="16:16" x14ac:dyDescent="0.25">
      <c r="P13366" s="4"/>
    </row>
    <row r="13367" spans="16:16" x14ac:dyDescent="0.25">
      <c r="P13367" s="4"/>
    </row>
    <row r="13368" spans="16:16" x14ac:dyDescent="0.25">
      <c r="P13368" s="4"/>
    </row>
    <row r="13369" spans="16:16" x14ac:dyDescent="0.25">
      <c r="P13369" s="4"/>
    </row>
    <row r="13370" spans="16:16" x14ac:dyDescent="0.25">
      <c r="P13370" s="4"/>
    </row>
    <row r="13371" spans="16:16" x14ac:dyDescent="0.25">
      <c r="P13371" s="4"/>
    </row>
    <row r="13372" spans="16:16" x14ac:dyDescent="0.25">
      <c r="P13372" s="4"/>
    </row>
    <row r="13373" spans="16:16" x14ac:dyDescent="0.25">
      <c r="P13373" s="4"/>
    </row>
    <row r="13374" spans="16:16" x14ac:dyDescent="0.25">
      <c r="P13374" s="4"/>
    </row>
    <row r="13375" spans="16:16" x14ac:dyDescent="0.25">
      <c r="P13375" s="4"/>
    </row>
    <row r="13376" spans="16:16" x14ac:dyDescent="0.25">
      <c r="P13376" s="4"/>
    </row>
    <row r="13377" spans="16:16" x14ac:dyDescent="0.25">
      <c r="P13377" s="4"/>
    </row>
    <row r="13378" spans="16:16" x14ac:dyDescent="0.25">
      <c r="P13378" s="4"/>
    </row>
    <row r="13379" spans="16:16" x14ac:dyDescent="0.25">
      <c r="P13379" s="4"/>
    </row>
    <row r="13380" spans="16:16" x14ac:dyDescent="0.25">
      <c r="P13380" s="4"/>
    </row>
    <row r="13381" spans="16:16" x14ac:dyDescent="0.25">
      <c r="P13381" s="4"/>
    </row>
    <row r="13382" spans="16:16" x14ac:dyDescent="0.25">
      <c r="P13382" s="4"/>
    </row>
    <row r="13383" spans="16:16" x14ac:dyDescent="0.25">
      <c r="P13383" s="4"/>
    </row>
    <row r="13384" spans="16:16" x14ac:dyDescent="0.25">
      <c r="P13384" s="4"/>
    </row>
    <row r="13385" spans="16:16" x14ac:dyDescent="0.25">
      <c r="P13385" s="4"/>
    </row>
    <row r="13386" spans="16:16" x14ac:dyDescent="0.25">
      <c r="P13386" s="4"/>
    </row>
    <row r="13387" spans="16:16" x14ac:dyDescent="0.25">
      <c r="P13387" s="4"/>
    </row>
    <row r="13388" spans="16:16" x14ac:dyDescent="0.25">
      <c r="P13388" s="4"/>
    </row>
    <row r="13389" spans="16:16" x14ac:dyDescent="0.25">
      <c r="P13389" s="4"/>
    </row>
    <row r="13390" spans="16:16" x14ac:dyDescent="0.25">
      <c r="P13390" s="4"/>
    </row>
    <row r="13391" spans="16:16" x14ac:dyDescent="0.25">
      <c r="P13391" s="4"/>
    </row>
    <row r="13392" spans="16:16" x14ac:dyDescent="0.25">
      <c r="P13392" s="4"/>
    </row>
    <row r="13393" spans="16:16" x14ac:dyDescent="0.25">
      <c r="P13393" s="4"/>
    </row>
    <row r="13394" spans="16:16" x14ac:dyDescent="0.25">
      <c r="P13394" s="4"/>
    </row>
    <row r="13395" spans="16:16" x14ac:dyDescent="0.25">
      <c r="P13395" s="4"/>
    </row>
    <row r="13396" spans="16:16" x14ac:dyDescent="0.25">
      <c r="P13396" s="4"/>
    </row>
    <row r="13397" spans="16:16" x14ac:dyDescent="0.25">
      <c r="P13397" s="4"/>
    </row>
    <row r="13398" spans="16:16" x14ac:dyDescent="0.25">
      <c r="P13398" s="4"/>
    </row>
    <row r="13399" spans="16:16" x14ac:dyDescent="0.25">
      <c r="P13399" s="4"/>
    </row>
    <row r="13400" spans="16:16" x14ac:dyDescent="0.25">
      <c r="P13400" s="4"/>
    </row>
    <row r="13401" spans="16:16" x14ac:dyDescent="0.25">
      <c r="P13401" s="4"/>
    </row>
    <row r="13402" spans="16:16" x14ac:dyDescent="0.25">
      <c r="P13402" s="4"/>
    </row>
    <row r="13403" spans="16:16" x14ac:dyDescent="0.25">
      <c r="P13403" s="4"/>
    </row>
    <row r="13404" spans="16:16" x14ac:dyDescent="0.25">
      <c r="P13404" s="4"/>
    </row>
    <row r="13405" spans="16:16" x14ac:dyDescent="0.25">
      <c r="P13405" s="4"/>
    </row>
    <row r="13406" spans="16:16" x14ac:dyDescent="0.25">
      <c r="P13406" s="4"/>
    </row>
    <row r="13407" spans="16:16" x14ac:dyDescent="0.25">
      <c r="P13407" s="4"/>
    </row>
    <row r="13408" spans="16:16" x14ac:dyDescent="0.25">
      <c r="P13408" s="4"/>
    </row>
    <row r="13409" spans="16:16" x14ac:dyDescent="0.25">
      <c r="P13409" s="4"/>
    </row>
    <row r="13410" spans="16:16" x14ac:dyDescent="0.25">
      <c r="P13410" s="4"/>
    </row>
    <row r="13411" spans="16:16" x14ac:dyDescent="0.25">
      <c r="P13411" s="4"/>
    </row>
    <row r="13412" spans="16:16" x14ac:dyDescent="0.25">
      <c r="P13412" s="4"/>
    </row>
    <row r="13413" spans="16:16" x14ac:dyDescent="0.25">
      <c r="P13413" s="4"/>
    </row>
    <row r="13414" spans="16:16" x14ac:dyDescent="0.25">
      <c r="P13414" s="4"/>
    </row>
    <row r="13415" spans="16:16" x14ac:dyDescent="0.25">
      <c r="P13415" s="4"/>
    </row>
    <row r="13416" spans="16:16" x14ac:dyDescent="0.25">
      <c r="P13416" s="4"/>
    </row>
    <row r="13417" spans="16:16" x14ac:dyDescent="0.25">
      <c r="P13417" s="4"/>
    </row>
    <row r="13418" spans="16:16" x14ac:dyDescent="0.25">
      <c r="P13418" s="4"/>
    </row>
    <row r="13419" spans="16:16" x14ac:dyDescent="0.25">
      <c r="P13419" s="4"/>
    </row>
    <row r="13420" spans="16:16" x14ac:dyDescent="0.25">
      <c r="P13420" s="4"/>
    </row>
    <row r="13421" spans="16:16" x14ac:dyDescent="0.25">
      <c r="P13421" s="4"/>
    </row>
    <row r="13422" spans="16:16" x14ac:dyDescent="0.25">
      <c r="P13422" s="4"/>
    </row>
    <row r="13423" spans="16:16" x14ac:dyDescent="0.25">
      <c r="P13423" s="4"/>
    </row>
    <row r="13424" spans="16:16" x14ac:dyDescent="0.25">
      <c r="P13424" s="4"/>
    </row>
    <row r="13425" spans="16:16" x14ac:dyDescent="0.25">
      <c r="P13425" s="4"/>
    </row>
    <row r="13426" spans="16:16" x14ac:dyDescent="0.25">
      <c r="P13426" s="4"/>
    </row>
    <row r="13427" spans="16:16" x14ac:dyDescent="0.25">
      <c r="P13427" s="4"/>
    </row>
    <row r="13428" spans="16:16" x14ac:dyDescent="0.25">
      <c r="P13428" s="4"/>
    </row>
    <row r="13429" spans="16:16" x14ac:dyDescent="0.25">
      <c r="P13429" s="4"/>
    </row>
    <row r="13430" spans="16:16" x14ac:dyDescent="0.25">
      <c r="P13430" s="4"/>
    </row>
    <row r="13431" spans="16:16" x14ac:dyDescent="0.25">
      <c r="P13431" s="4"/>
    </row>
    <row r="13432" spans="16:16" x14ac:dyDescent="0.25">
      <c r="P13432" s="4"/>
    </row>
    <row r="13433" spans="16:16" x14ac:dyDescent="0.25">
      <c r="P13433" s="4"/>
    </row>
    <row r="13434" spans="16:16" x14ac:dyDescent="0.25">
      <c r="P13434" s="4"/>
    </row>
    <row r="13435" spans="16:16" x14ac:dyDescent="0.25">
      <c r="P13435" s="4"/>
    </row>
    <row r="13436" spans="16:16" x14ac:dyDescent="0.25">
      <c r="P13436" s="4"/>
    </row>
    <row r="13437" spans="16:16" x14ac:dyDescent="0.25">
      <c r="P13437" s="4"/>
    </row>
    <row r="13438" spans="16:16" x14ac:dyDescent="0.25">
      <c r="P13438" s="4"/>
    </row>
    <row r="13439" spans="16:16" x14ac:dyDescent="0.25">
      <c r="P13439" s="4"/>
    </row>
    <row r="13440" spans="16:16" x14ac:dyDescent="0.25">
      <c r="P13440" s="4"/>
    </row>
    <row r="13441" spans="16:16" x14ac:dyDescent="0.25">
      <c r="P13441" s="4"/>
    </row>
    <row r="13442" spans="16:16" x14ac:dyDescent="0.25">
      <c r="P13442" s="4"/>
    </row>
    <row r="13443" spans="16:16" x14ac:dyDescent="0.25">
      <c r="P13443" s="4"/>
    </row>
    <row r="13444" spans="16:16" x14ac:dyDescent="0.25">
      <c r="P13444" s="4"/>
    </row>
    <row r="13445" spans="16:16" x14ac:dyDescent="0.25">
      <c r="P13445" s="4"/>
    </row>
    <row r="13446" spans="16:16" x14ac:dyDescent="0.25">
      <c r="P13446" s="4"/>
    </row>
    <row r="13447" spans="16:16" x14ac:dyDescent="0.25">
      <c r="P13447" s="4"/>
    </row>
    <row r="13448" spans="16:16" x14ac:dyDescent="0.25">
      <c r="P13448" s="4"/>
    </row>
    <row r="13449" spans="16:16" x14ac:dyDescent="0.25">
      <c r="P13449" s="4"/>
    </row>
    <row r="13450" spans="16:16" x14ac:dyDescent="0.25">
      <c r="P13450" s="4"/>
    </row>
    <row r="13451" spans="16:16" x14ac:dyDescent="0.25">
      <c r="P13451" s="4"/>
    </row>
    <row r="13452" spans="16:16" x14ac:dyDescent="0.25">
      <c r="P13452" s="4"/>
    </row>
    <row r="13453" spans="16:16" x14ac:dyDescent="0.25">
      <c r="P13453" s="4"/>
    </row>
    <row r="13454" spans="16:16" x14ac:dyDescent="0.25">
      <c r="P13454" s="4"/>
    </row>
    <row r="13455" spans="16:16" x14ac:dyDescent="0.25">
      <c r="P13455" s="4"/>
    </row>
    <row r="13456" spans="16:16" x14ac:dyDescent="0.25">
      <c r="P13456" s="4"/>
    </row>
    <row r="13457" spans="16:16" x14ac:dyDescent="0.25">
      <c r="P13457" s="4"/>
    </row>
    <row r="13458" spans="16:16" x14ac:dyDescent="0.25">
      <c r="P13458" s="4"/>
    </row>
    <row r="13459" spans="16:16" x14ac:dyDescent="0.25">
      <c r="P13459" s="4"/>
    </row>
    <row r="13460" spans="16:16" x14ac:dyDescent="0.25">
      <c r="P13460" s="4"/>
    </row>
    <row r="13461" spans="16:16" x14ac:dyDescent="0.25">
      <c r="P13461" s="4"/>
    </row>
    <row r="13462" spans="16:16" x14ac:dyDescent="0.25">
      <c r="P13462" s="4"/>
    </row>
    <row r="13463" spans="16:16" x14ac:dyDescent="0.25">
      <c r="P13463" s="4"/>
    </row>
    <row r="13464" spans="16:16" x14ac:dyDescent="0.25">
      <c r="P13464" s="4"/>
    </row>
    <row r="13465" spans="16:16" x14ac:dyDescent="0.25">
      <c r="P13465" s="4"/>
    </row>
    <row r="13466" spans="16:16" x14ac:dyDescent="0.25">
      <c r="P13466" s="4"/>
    </row>
    <row r="13467" spans="16:16" x14ac:dyDescent="0.25">
      <c r="P13467" s="4"/>
    </row>
    <row r="13468" spans="16:16" x14ac:dyDescent="0.25">
      <c r="P13468" s="4"/>
    </row>
    <row r="13469" spans="16:16" x14ac:dyDescent="0.25">
      <c r="P13469" s="4"/>
    </row>
    <row r="13470" spans="16:16" x14ac:dyDescent="0.25">
      <c r="P13470" s="4"/>
    </row>
    <row r="13471" spans="16:16" x14ac:dyDescent="0.25">
      <c r="P13471" s="4"/>
    </row>
    <row r="13472" spans="16:16" x14ac:dyDescent="0.25">
      <c r="P13472" s="4"/>
    </row>
    <row r="13473" spans="16:16" x14ac:dyDescent="0.25">
      <c r="P13473" s="4"/>
    </row>
    <row r="13474" spans="16:16" x14ac:dyDescent="0.25">
      <c r="P13474" s="4"/>
    </row>
    <row r="13475" spans="16:16" x14ac:dyDescent="0.25">
      <c r="P13475" s="4"/>
    </row>
    <row r="13476" spans="16:16" x14ac:dyDescent="0.25">
      <c r="P13476" s="4"/>
    </row>
    <row r="13477" spans="16:16" x14ac:dyDescent="0.25">
      <c r="P13477" s="4"/>
    </row>
    <row r="13478" spans="16:16" x14ac:dyDescent="0.25">
      <c r="P13478" s="4"/>
    </row>
    <row r="13479" spans="16:16" x14ac:dyDescent="0.25">
      <c r="P13479" s="4"/>
    </row>
    <row r="13480" spans="16:16" x14ac:dyDescent="0.25">
      <c r="P13480" s="4"/>
    </row>
    <row r="13481" spans="16:16" x14ac:dyDescent="0.25">
      <c r="P13481" s="4"/>
    </row>
    <row r="13482" spans="16:16" x14ac:dyDescent="0.25">
      <c r="P13482" s="4"/>
    </row>
    <row r="13483" spans="16:16" x14ac:dyDescent="0.25">
      <c r="P13483" s="4"/>
    </row>
    <row r="13484" spans="16:16" x14ac:dyDescent="0.25">
      <c r="P13484" s="4"/>
    </row>
    <row r="13485" spans="16:16" x14ac:dyDescent="0.25">
      <c r="P13485" s="4"/>
    </row>
    <row r="13486" spans="16:16" x14ac:dyDescent="0.25">
      <c r="P13486" s="4"/>
    </row>
    <row r="13487" spans="16:16" x14ac:dyDescent="0.25">
      <c r="P13487" s="4"/>
    </row>
    <row r="13488" spans="16:16" x14ac:dyDescent="0.25">
      <c r="P13488" s="4"/>
    </row>
    <row r="13489" spans="16:16" x14ac:dyDescent="0.25">
      <c r="P13489" s="4"/>
    </row>
    <row r="13490" spans="16:16" x14ac:dyDescent="0.25">
      <c r="P13490" s="4"/>
    </row>
    <row r="13491" spans="16:16" x14ac:dyDescent="0.25">
      <c r="P13491" s="4"/>
    </row>
    <row r="13492" spans="16:16" x14ac:dyDescent="0.25">
      <c r="P13492" s="4"/>
    </row>
    <row r="13493" spans="16:16" x14ac:dyDescent="0.25">
      <c r="P13493" s="4"/>
    </row>
    <row r="13494" spans="16:16" x14ac:dyDescent="0.25">
      <c r="P13494" s="4"/>
    </row>
    <row r="13495" spans="16:16" x14ac:dyDescent="0.25">
      <c r="P13495" s="4"/>
    </row>
    <row r="13496" spans="16:16" x14ac:dyDescent="0.25">
      <c r="P13496" s="4"/>
    </row>
    <row r="13497" spans="16:16" x14ac:dyDescent="0.25">
      <c r="P13497" s="4"/>
    </row>
    <row r="13498" spans="16:16" x14ac:dyDescent="0.25">
      <c r="P13498" s="4"/>
    </row>
    <row r="13499" spans="16:16" x14ac:dyDescent="0.25">
      <c r="P13499" s="4"/>
    </row>
    <row r="13500" spans="16:16" x14ac:dyDescent="0.25">
      <c r="P13500" s="4"/>
    </row>
    <row r="13501" spans="16:16" x14ac:dyDescent="0.25">
      <c r="P13501" s="4"/>
    </row>
    <row r="13502" spans="16:16" x14ac:dyDescent="0.25">
      <c r="P13502" s="4"/>
    </row>
    <row r="13503" spans="16:16" x14ac:dyDescent="0.25">
      <c r="P13503" s="4"/>
    </row>
    <row r="13504" spans="16:16" x14ac:dyDescent="0.25">
      <c r="P13504" s="4"/>
    </row>
    <row r="13505" spans="16:16" x14ac:dyDescent="0.25">
      <c r="P13505" s="4"/>
    </row>
    <row r="13506" spans="16:16" x14ac:dyDescent="0.25">
      <c r="P13506" s="4"/>
    </row>
    <row r="13507" spans="16:16" x14ac:dyDescent="0.25">
      <c r="P13507" s="4"/>
    </row>
    <row r="13508" spans="16:16" x14ac:dyDescent="0.25">
      <c r="P13508" s="4"/>
    </row>
    <row r="13509" spans="16:16" x14ac:dyDescent="0.25">
      <c r="P13509" s="4"/>
    </row>
    <row r="13510" spans="16:16" x14ac:dyDescent="0.25">
      <c r="P13510" s="4"/>
    </row>
    <row r="13511" spans="16:16" x14ac:dyDescent="0.25">
      <c r="P13511" s="4"/>
    </row>
    <row r="13512" spans="16:16" x14ac:dyDescent="0.25">
      <c r="P13512" s="4"/>
    </row>
    <row r="13513" spans="16:16" x14ac:dyDescent="0.25">
      <c r="P13513" s="4"/>
    </row>
    <row r="13514" spans="16:16" x14ac:dyDescent="0.25">
      <c r="P13514" s="4"/>
    </row>
    <row r="13515" spans="16:16" x14ac:dyDescent="0.25">
      <c r="P13515" s="4"/>
    </row>
    <row r="13516" spans="16:16" x14ac:dyDescent="0.25">
      <c r="P13516" s="4"/>
    </row>
    <row r="13517" spans="16:16" x14ac:dyDescent="0.25">
      <c r="P13517" s="4"/>
    </row>
    <row r="13518" spans="16:16" x14ac:dyDescent="0.25">
      <c r="P13518" s="4"/>
    </row>
    <row r="13519" spans="16:16" x14ac:dyDescent="0.25">
      <c r="P13519" s="4"/>
    </row>
    <row r="13520" spans="16:16" x14ac:dyDescent="0.25">
      <c r="P13520" s="4"/>
    </row>
    <row r="13521" spans="16:16" x14ac:dyDescent="0.25">
      <c r="P13521" s="4"/>
    </row>
    <row r="13522" spans="16:16" x14ac:dyDescent="0.25">
      <c r="P13522" s="4"/>
    </row>
    <row r="13523" spans="16:16" x14ac:dyDescent="0.25">
      <c r="P13523" s="4"/>
    </row>
    <row r="13524" spans="16:16" x14ac:dyDescent="0.25">
      <c r="P13524" s="4"/>
    </row>
    <row r="13525" spans="16:16" x14ac:dyDescent="0.25">
      <c r="P13525" s="4"/>
    </row>
    <row r="13526" spans="16:16" x14ac:dyDescent="0.25">
      <c r="P13526" s="4"/>
    </row>
    <row r="13527" spans="16:16" x14ac:dyDescent="0.25">
      <c r="P13527" s="4"/>
    </row>
    <row r="13528" spans="16:16" x14ac:dyDescent="0.25">
      <c r="P13528" s="4"/>
    </row>
    <row r="13529" spans="16:16" x14ac:dyDescent="0.25">
      <c r="P13529" s="4"/>
    </row>
    <row r="13530" spans="16:16" x14ac:dyDescent="0.25">
      <c r="P13530" s="4"/>
    </row>
    <row r="13531" spans="16:16" x14ac:dyDescent="0.25">
      <c r="P13531" s="4"/>
    </row>
    <row r="13532" spans="16:16" x14ac:dyDescent="0.25">
      <c r="P13532" s="4"/>
    </row>
    <row r="13533" spans="16:16" x14ac:dyDescent="0.25">
      <c r="P13533" s="4"/>
    </row>
    <row r="13534" spans="16:16" x14ac:dyDescent="0.25">
      <c r="P13534" s="4"/>
    </row>
    <row r="13535" spans="16:16" x14ac:dyDescent="0.25">
      <c r="P13535" s="4"/>
    </row>
    <row r="13536" spans="16:16" x14ac:dyDescent="0.25">
      <c r="P13536" s="4"/>
    </row>
    <row r="13537" spans="16:16" x14ac:dyDescent="0.25">
      <c r="P13537" s="4"/>
    </row>
    <row r="13538" spans="16:16" x14ac:dyDescent="0.25">
      <c r="P13538" s="4"/>
    </row>
    <row r="13539" spans="16:16" x14ac:dyDescent="0.25">
      <c r="P13539" s="4"/>
    </row>
    <row r="13540" spans="16:16" x14ac:dyDescent="0.25">
      <c r="P13540" s="4"/>
    </row>
    <row r="13541" spans="16:16" x14ac:dyDescent="0.25">
      <c r="P13541" s="4"/>
    </row>
    <row r="13542" spans="16:16" x14ac:dyDescent="0.25">
      <c r="P13542" s="4"/>
    </row>
    <row r="13543" spans="16:16" x14ac:dyDescent="0.25">
      <c r="P13543" s="4"/>
    </row>
    <row r="13544" spans="16:16" x14ac:dyDescent="0.25">
      <c r="P13544" s="4"/>
    </row>
    <row r="13545" spans="16:16" x14ac:dyDescent="0.25">
      <c r="P13545" s="4"/>
    </row>
    <row r="13546" spans="16:16" x14ac:dyDescent="0.25">
      <c r="P13546" s="4"/>
    </row>
    <row r="13547" spans="16:16" x14ac:dyDescent="0.25">
      <c r="P13547" s="4"/>
    </row>
    <row r="13548" spans="16:16" x14ac:dyDescent="0.25">
      <c r="P13548" s="4"/>
    </row>
    <row r="13549" spans="16:16" x14ac:dyDescent="0.25">
      <c r="P13549" s="4"/>
    </row>
    <row r="13550" spans="16:16" x14ac:dyDescent="0.25">
      <c r="P13550" s="4"/>
    </row>
    <row r="13551" spans="16:16" x14ac:dyDescent="0.25">
      <c r="P13551" s="4"/>
    </row>
    <row r="13552" spans="16:16" x14ac:dyDescent="0.25">
      <c r="P13552" s="4"/>
    </row>
    <row r="13553" spans="16:16" x14ac:dyDescent="0.25">
      <c r="P13553" s="4"/>
    </row>
    <row r="13554" spans="16:16" x14ac:dyDescent="0.25">
      <c r="P13554" s="4"/>
    </row>
    <row r="13555" spans="16:16" x14ac:dyDescent="0.25">
      <c r="P13555" s="4"/>
    </row>
    <row r="13556" spans="16:16" x14ac:dyDescent="0.25">
      <c r="P13556" s="4"/>
    </row>
    <row r="13557" spans="16:16" x14ac:dyDescent="0.25">
      <c r="P13557" s="4"/>
    </row>
    <row r="13558" spans="16:16" x14ac:dyDescent="0.25">
      <c r="P13558" s="4"/>
    </row>
    <row r="13559" spans="16:16" x14ac:dyDescent="0.25">
      <c r="P13559" s="4"/>
    </row>
    <row r="13560" spans="16:16" x14ac:dyDescent="0.25">
      <c r="P13560" s="4"/>
    </row>
    <row r="13561" spans="16:16" x14ac:dyDescent="0.25">
      <c r="P13561" s="4"/>
    </row>
    <row r="13562" spans="16:16" x14ac:dyDescent="0.25">
      <c r="P13562" s="4"/>
    </row>
    <row r="13563" spans="16:16" x14ac:dyDescent="0.25">
      <c r="P13563" s="4"/>
    </row>
    <row r="13564" spans="16:16" x14ac:dyDescent="0.25">
      <c r="P13564" s="4"/>
    </row>
    <row r="13565" spans="16:16" x14ac:dyDescent="0.25">
      <c r="P13565" s="4"/>
    </row>
    <row r="13566" spans="16:16" x14ac:dyDescent="0.25">
      <c r="P13566" s="4"/>
    </row>
    <row r="13567" spans="16:16" x14ac:dyDescent="0.25">
      <c r="P13567" s="4"/>
    </row>
    <row r="13568" spans="16:16" x14ac:dyDescent="0.25">
      <c r="P13568" s="4"/>
    </row>
    <row r="13569" spans="16:16" x14ac:dyDescent="0.25">
      <c r="P13569" s="4"/>
    </row>
    <row r="13570" spans="16:16" x14ac:dyDescent="0.25">
      <c r="P13570" s="4"/>
    </row>
    <row r="13571" spans="16:16" x14ac:dyDescent="0.25">
      <c r="P13571" s="4"/>
    </row>
    <row r="13572" spans="16:16" x14ac:dyDescent="0.25">
      <c r="P13572" s="4"/>
    </row>
    <row r="13573" spans="16:16" x14ac:dyDescent="0.25">
      <c r="P13573" s="4"/>
    </row>
    <row r="13574" spans="16:16" x14ac:dyDescent="0.25">
      <c r="P13574" s="4"/>
    </row>
    <row r="13575" spans="16:16" x14ac:dyDescent="0.25">
      <c r="P13575" s="4"/>
    </row>
    <row r="13576" spans="16:16" x14ac:dyDescent="0.25">
      <c r="P13576" s="4"/>
    </row>
    <row r="13577" spans="16:16" x14ac:dyDescent="0.25">
      <c r="P13577" s="4"/>
    </row>
    <row r="13578" spans="16:16" x14ac:dyDescent="0.25">
      <c r="P13578" s="4"/>
    </row>
    <row r="13579" spans="16:16" x14ac:dyDescent="0.25">
      <c r="P13579" s="4"/>
    </row>
    <row r="13580" spans="16:16" x14ac:dyDescent="0.25">
      <c r="P13580" s="4"/>
    </row>
    <row r="13581" spans="16:16" x14ac:dyDescent="0.25">
      <c r="P13581" s="4"/>
    </row>
    <row r="13582" spans="16:16" x14ac:dyDescent="0.25">
      <c r="P13582" s="4"/>
    </row>
    <row r="13583" spans="16:16" x14ac:dyDescent="0.25">
      <c r="P13583" s="4"/>
    </row>
    <row r="13584" spans="16:16" x14ac:dyDescent="0.25">
      <c r="P13584" s="4"/>
    </row>
    <row r="13585" spans="16:16" x14ac:dyDescent="0.25">
      <c r="P13585" s="4"/>
    </row>
    <row r="13586" spans="16:16" x14ac:dyDescent="0.25">
      <c r="P13586" s="4"/>
    </row>
    <row r="13587" spans="16:16" x14ac:dyDescent="0.25">
      <c r="P13587" s="4"/>
    </row>
    <row r="13588" spans="16:16" x14ac:dyDescent="0.25">
      <c r="P13588" s="4"/>
    </row>
    <row r="13589" spans="16:16" x14ac:dyDescent="0.25">
      <c r="P13589" s="4"/>
    </row>
    <row r="13590" spans="16:16" x14ac:dyDescent="0.25">
      <c r="P13590" s="4"/>
    </row>
    <row r="13591" spans="16:16" x14ac:dyDescent="0.25">
      <c r="P13591" s="4"/>
    </row>
    <row r="13592" spans="16:16" x14ac:dyDescent="0.25">
      <c r="P13592" s="4"/>
    </row>
    <row r="13593" spans="16:16" x14ac:dyDescent="0.25">
      <c r="P13593" s="4"/>
    </row>
    <row r="13594" spans="16:16" x14ac:dyDescent="0.25">
      <c r="P13594" s="4"/>
    </row>
    <row r="13595" spans="16:16" x14ac:dyDescent="0.25">
      <c r="P13595" s="4"/>
    </row>
    <row r="13596" spans="16:16" x14ac:dyDescent="0.25">
      <c r="P13596" s="4"/>
    </row>
    <row r="13597" spans="16:16" x14ac:dyDescent="0.25">
      <c r="P13597" s="4"/>
    </row>
    <row r="13598" spans="16:16" x14ac:dyDescent="0.25">
      <c r="P13598" s="4"/>
    </row>
    <row r="13599" spans="16:16" x14ac:dyDescent="0.25">
      <c r="P13599" s="4"/>
    </row>
    <row r="13600" spans="16:16" x14ac:dyDescent="0.25">
      <c r="P13600" s="4"/>
    </row>
    <row r="13601" spans="16:16" x14ac:dyDescent="0.25">
      <c r="P13601" s="4"/>
    </row>
    <row r="13602" spans="16:16" x14ac:dyDescent="0.25">
      <c r="P13602" s="4"/>
    </row>
    <row r="13603" spans="16:16" x14ac:dyDescent="0.25">
      <c r="P13603" s="4"/>
    </row>
    <row r="13604" spans="16:16" x14ac:dyDescent="0.25">
      <c r="P13604" s="4"/>
    </row>
    <row r="13605" spans="16:16" x14ac:dyDescent="0.25">
      <c r="P13605" s="4"/>
    </row>
    <row r="13606" spans="16:16" x14ac:dyDescent="0.25">
      <c r="P13606" s="4"/>
    </row>
    <row r="13607" spans="16:16" x14ac:dyDescent="0.25">
      <c r="P13607" s="4"/>
    </row>
    <row r="13608" spans="16:16" x14ac:dyDescent="0.25">
      <c r="P13608" s="4"/>
    </row>
    <row r="13609" spans="16:16" x14ac:dyDescent="0.25">
      <c r="P13609" s="4"/>
    </row>
    <row r="13610" spans="16:16" x14ac:dyDescent="0.25">
      <c r="P13610" s="4"/>
    </row>
    <row r="13611" spans="16:16" x14ac:dyDescent="0.25">
      <c r="P13611" s="4"/>
    </row>
    <row r="13612" spans="16:16" x14ac:dyDescent="0.25">
      <c r="P13612" s="4"/>
    </row>
    <row r="13613" spans="16:16" x14ac:dyDescent="0.25">
      <c r="P13613" s="4"/>
    </row>
    <row r="13614" spans="16:16" x14ac:dyDescent="0.25">
      <c r="P13614" s="4"/>
    </row>
    <row r="13615" spans="16:16" x14ac:dyDescent="0.25">
      <c r="P13615" s="4"/>
    </row>
    <row r="13616" spans="16:16" x14ac:dyDescent="0.25">
      <c r="P13616" s="4"/>
    </row>
    <row r="13617" spans="16:16" x14ac:dyDescent="0.25">
      <c r="P13617" s="4"/>
    </row>
    <row r="13618" spans="16:16" x14ac:dyDescent="0.25">
      <c r="P13618" s="4"/>
    </row>
    <row r="13619" spans="16:16" x14ac:dyDescent="0.25">
      <c r="P13619" s="4"/>
    </row>
    <row r="13620" spans="16:16" x14ac:dyDescent="0.25">
      <c r="P13620" s="4"/>
    </row>
    <row r="13621" spans="16:16" x14ac:dyDescent="0.25">
      <c r="P13621" s="4"/>
    </row>
    <row r="13622" spans="16:16" x14ac:dyDescent="0.25">
      <c r="P13622" s="4"/>
    </row>
    <row r="13623" spans="16:16" x14ac:dyDescent="0.25">
      <c r="P13623" s="4"/>
    </row>
    <row r="13624" spans="16:16" x14ac:dyDescent="0.25">
      <c r="P13624" s="4"/>
    </row>
    <row r="13625" spans="16:16" x14ac:dyDescent="0.25">
      <c r="P13625" s="4"/>
    </row>
    <row r="13626" spans="16:16" x14ac:dyDescent="0.25">
      <c r="P13626" s="4"/>
    </row>
    <row r="13627" spans="16:16" x14ac:dyDescent="0.25">
      <c r="P13627" s="4"/>
    </row>
    <row r="13628" spans="16:16" x14ac:dyDescent="0.25">
      <c r="P13628" s="4"/>
    </row>
    <row r="13629" spans="16:16" x14ac:dyDescent="0.25">
      <c r="P13629" s="4"/>
    </row>
    <row r="13630" spans="16:16" x14ac:dyDescent="0.25">
      <c r="P13630" s="4"/>
    </row>
    <row r="13631" spans="16:16" x14ac:dyDescent="0.25">
      <c r="P13631" s="4"/>
    </row>
    <row r="13632" spans="16:16" x14ac:dyDescent="0.25">
      <c r="P13632" s="4"/>
    </row>
    <row r="13633" spans="16:16" x14ac:dyDescent="0.25">
      <c r="P13633" s="4"/>
    </row>
    <row r="13634" spans="16:16" x14ac:dyDescent="0.25">
      <c r="P13634" s="4"/>
    </row>
    <row r="13635" spans="16:16" x14ac:dyDescent="0.25">
      <c r="P13635" s="4"/>
    </row>
    <row r="13636" spans="16:16" x14ac:dyDescent="0.25">
      <c r="P13636" s="4"/>
    </row>
    <row r="13637" spans="16:16" x14ac:dyDescent="0.25">
      <c r="P13637" s="4"/>
    </row>
    <row r="13638" spans="16:16" x14ac:dyDescent="0.25">
      <c r="P13638" s="4"/>
    </row>
    <row r="13639" spans="16:16" x14ac:dyDescent="0.25">
      <c r="P13639" s="4"/>
    </row>
    <row r="13640" spans="16:16" x14ac:dyDescent="0.25">
      <c r="P13640" s="4"/>
    </row>
    <row r="13641" spans="16:16" x14ac:dyDescent="0.25">
      <c r="P13641" s="4"/>
    </row>
    <row r="13642" spans="16:16" x14ac:dyDescent="0.25">
      <c r="P13642" s="4"/>
    </row>
    <row r="13643" spans="16:16" x14ac:dyDescent="0.25">
      <c r="P13643" s="4"/>
    </row>
    <row r="13644" spans="16:16" x14ac:dyDescent="0.25">
      <c r="P13644" s="4"/>
    </row>
    <row r="13645" spans="16:16" x14ac:dyDescent="0.25">
      <c r="P13645" s="4"/>
    </row>
    <row r="13646" spans="16:16" x14ac:dyDescent="0.25">
      <c r="P13646" s="4"/>
    </row>
    <row r="13647" spans="16:16" x14ac:dyDescent="0.25">
      <c r="P13647" s="4"/>
    </row>
    <row r="13648" spans="16:16" x14ac:dyDescent="0.25">
      <c r="P13648" s="4"/>
    </row>
    <row r="13649" spans="16:16" x14ac:dyDescent="0.25">
      <c r="P13649" s="4"/>
    </row>
    <row r="13650" spans="16:16" x14ac:dyDescent="0.25">
      <c r="P13650" s="4"/>
    </row>
    <row r="13651" spans="16:16" x14ac:dyDescent="0.25">
      <c r="P13651" s="4"/>
    </row>
    <row r="13652" spans="16:16" x14ac:dyDescent="0.25">
      <c r="P13652" s="4"/>
    </row>
    <row r="13653" spans="16:16" x14ac:dyDescent="0.25">
      <c r="P13653" s="4"/>
    </row>
    <row r="13654" spans="16:16" x14ac:dyDescent="0.25">
      <c r="P13654" s="4"/>
    </row>
    <row r="13655" spans="16:16" x14ac:dyDescent="0.25">
      <c r="P13655" s="4"/>
    </row>
    <row r="13656" spans="16:16" x14ac:dyDescent="0.25">
      <c r="P13656" s="4"/>
    </row>
    <row r="13657" spans="16:16" x14ac:dyDescent="0.25">
      <c r="P13657" s="4"/>
    </row>
    <row r="13658" spans="16:16" x14ac:dyDescent="0.25">
      <c r="P13658" s="4"/>
    </row>
    <row r="13659" spans="16:16" x14ac:dyDescent="0.25">
      <c r="P13659" s="4"/>
    </row>
    <row r="13660" spans="16:16" x14ac:dyDescent="0.25">
      <c r="P13660" s="4"/>
    </row>
    <row r="13661" spans="16:16" x14ac:dyDescent="0.25">
      <c r="P13661" s="4"/>
    </row>
    <row r="13662" spans="16:16" x14ac:dyDescent="0.25">
      <c r="P13662" s="4"/>
    </row>
    <row r="13663" spans="16:16" x14ac:dyDescent="0.25">
      <c r="P13663" s="4"/>
    </row>
    <row r="13664" spans="16:16" x14ac:dyDescent="0.25">
      <c r="P13664" s="4"/>
    </row>
    <row r="13665" spans="16:16" x14ac:dyDescent="0.25">
      <c r="P13665" s="4"/>
    </row>
    <row r="13666" spans="16:16" x14ac:dyDescent="0.25">
      <c r="P13666" s="4"/>
    </row>
    <row r="13667" spans="16:16" x14ac:dyDescent="0.25">
      <c r="P13667" s="4"/>
    </row>
    <row r="13668" spans="16:16" x14ac:dyDescent="0.25">
      <c r="P13668" s="4"/>
    </row>
    <row r="13669" spans="16:16" x14ac:dyDescent="0.25">
      <c r="P13669" s="4"/>
    </row>
    <row r="13670" spans="16:16" x14ac:dyDescent="0.25">
      <c r="P13670" s="4"/>
    </row>
    <row r="13671" spans="16:16" x14ac:dyDescent="0.25">
      <c r="P13671" s="4"/>
    </row>
    <row r="13672" spans="16:16" x14ac:dyDescent="0.25">
      <c r="P13672" s="4"/>
    </row>
    <row r="13673" spans="16:16" x14ac:dyDescent="0.25">
      <c r="P13673" s="4"/>
    </row>
    <row r="13674" spans="16:16" x14ac:dyDescent="0.25">
      <c r="P13674" s="4"/>
    </row>
    <row r="13675" spans="16:16" x14ac:dyDescent="0.25">
      <c r="P13675" s="4"/>
    </row>
    <row r="13676" spans="16:16" x14ac:dyDescent="0.25">
      <c r="P13676" s="4"/>
    </row>
    <row r="13677" spans="16:16" x14ac:dyDescent="0.25">
      <c r="P13677" s="4"/>
    </row>
    <row r="13678" spans="16:16" x14ac:dyDescent="0.25">
      <c r="P13678" s="4"/>
    </row>
    <row r="13679" spans="16:16" x14ac:dyDescent="0.25">
      <c r="P13679" s="4"/>
    </row>
    <row r="13680" spans="16:16" x14ac:dyDescent="0.25">
      <c r="P13680" s="4"/>
    </row>
    <row r="13681" spans="16:16" x14ac:dyDescent="0.25">
      <c r="P13681" s="4"/>
    </row>
    <row r="13682" spans="16:16" x14ac:dyDescent="0.25">
      <c r="P13682" s="4"/>
    </row>
    <row r="13683" spans="16:16" x14ac:dyDescent="0.25">
      <c r="P13683" s="4"/>
    </row>
    <row r="13684" spans="16:16" x14ac:dyDescent="0.25">
      <c r="P13684" s="4"/>
    </row>
    <row r="13685" spans="16:16" x14ac:dyDescent="0.25">
      <c r="P13685" s="4"/>
    </row>
    <row r="13686" spans="16:16" x14ac:dyDescent="0.25">
      <c r="P13686" s="4"/>
    </row>
    <row r="13687" spans="16:16" x14ac:dyDescent="0.25">
      <c r="P13687" s="4"/>
    </row>
    <row r="13688" spans="16:16" x14ac:dyDescent="0.25">
      <c r="P13688" s="4"/>
    </row>
    <row r="13689" spans="16:16" x14ac:dyDescent="0.25">
      <c r="P13689" s="4"/>
    </row>
    <row r="13690" spans="16:16" x14ac:dyDescent="0.25">
      <c r="P13690" s="4"/>
    </row>
    <row r="13691" spans="16:16" x14ac:dyDescent="0.25">
      <c r="P13691" s="4"/>
    </row>
    <row r="13692" spans="16:16" x14ac:dyDescent="0.25">
      <c r="P13692" s="4"/>
    </row>
    <row r="13693" spans="16:16" x14ac:dyDescent="0.25">
      <c r="P13693" s="4"/>
    </row>
    <row r="13694" spans="16:16" x14ac:dyDescent="0.25">
      <c r="P13694" s="4"/>
    </row>
    <row r="13695" spans="16:16" x14ac:dyDescent="0.25">
      <c r="P13695" s="4"/>
    </row>
    <row r="13696" spans="16:16" x14ac:dyDescent="0.25">
      <c r="P13696" s="4"/>
    </row>
    <row r="13697" spans="16:16" x14ac:dyDescent="0.25">
      <c r="P13697" s="4"/>
    </row>
    <row r="13698" spans="16:16" x14ac:dyDescent="0.25">
      <c r="P13698" s="4"/>
    </row>
    <row r="13699" spans="16:16" x14ac:dyDescent="0.25">
      <c r="P13699" s="4"/>
    </row>
    <row r="13700" spans="16:16" x14ac:dyDescent="0.25">
      <c r="P13700" s="4"/>
    </row>
    <row r="13701" spans="16:16" x14ac:dyDescent="0.25">
      <c r="P13701" s="4"/>
    </row>
    <row r="13702" spans="16:16" x14ac:dyDescent="0.25">
      <c r="P13702" s="4"/>
    </row>
    <row r="13703" spans="16:16" x14ac:dyDescent="0.25">
      <c r="P13703" s="4"/>
    </row>
    <row r="13704" spans="16:16" x14ac:dyDescent="0.25">
      <c r="P13704" s="4"/>
    </row>
    <row r="13705" spans="16:16" x14ac:dyDescent="0.25">
      <c r="P13705" s="4"/>
    </row>
    <row r="13706" spans="16:16" x14ac:dyDescent="0.25">
      <c r="P13706" s="4"/>
    </row>
    <row r="13707" spans="16:16" x14ac:dyDescent="0.25">
      <c r="P13707" s="4"/>
    </row>
    <row r="13708" spans="16:16" x14ac:dyDescent="0.25">
      <c r="P13708" s="4"/>
    </row>
    <row r="13709" spans="16:16" x14ac:dyDescent="0.25">
      <c r="P13709" s="4"/>
    </row>
    <row r="13710" spans="16:16" x14ac:dyDescent="0.25">
      <c r="P13710" s="4"/>
    </row>
    <row r="13711" spans="16:16" x14ac:dyDescent="0.25">
      <c r="P13711" s="4"/>
    </row>
    <row r="13712" spans="16:16" x14ac:dyDescent="0.25">
      <c r="P13712" s="4"/>
    </row>
    <row r="13713" spans="16:16" x14ac:dyDescent="0.25">
      <c r="P13713" s="4"/>
    </row>
    <row r="13714" spans="16:16" x14ac:dyDescent="0.25">
      <c r="P13714" s="4"/>
    </row>
    <row r="13715" spans="16:16" x14ac:dyDescent="0.25">
      <c r="P13715" s="4"/>
    </row>
    <row r="13716" spans="16:16" x14ac:dyDescent="0.25">
      <c r="P13716" s="4"/>
    </row>
    <row r="13717" spans="16:16" x14ac:dyDescent="0.25">
      <c r="P13717" s="4"/>
    </row>
    <row r="13718" spans="16:16" x14ac:dyDescent="0.25">
      <c r="P13718" s="4"/>
    </row>
    <row r="13719" spans="16:16" x14ac:dyDescent="0.25">
      <c r="P13719" s="4"/>
    </row>
    <row r="13720" spans="16:16" x14ac:dyDescent="0.25">
      <c r="P13720" s="4"/>
    </row>
    <row r="13721" spans="16:16" x14ac:dyDescent="0.25">
      <c r="P13721" s="4"/>
    </row>
    <row r="13722" spans="16:16" x14ac:dyDescent="0.25">
      <c r="P13722" s="4"/>
    </row>
    <row r="13723" spans="16:16" x14ac:dyDescent="0.25">
      <c r="P13723" s="4"/>
    </row>
    <row r="13724" spans="16:16" x14ac:dyDescent="0.25">
      <c r="P13724" s="4"/>
    </row>
    <row r="13725" spans="16:16" x14ac:dyDescent="0.25">
      <c r="P13725" s="4"/>
    </row>
    <row r="13726" spans="16:16" x14ac:dyDescent="0.25">
      <c r="P13726" s="4"/>
    </row>
    <row r="13727" spans="16:16" x14ac:dyDescent="0.25">
      <c r="P13727" s="4"/>
    </row>
    <row r="13728" spans="16:16" x14ac:dyDescent="0.25">
      <c r="P13728" s="4"/>
    </row>
    <row r="13729" spans="16:16" x14ac:dyDescent="0.25">
      <c r="P13729" s="4"/>
    </row>
    <row r="13730" spans="16:16" x14ac:dyDescent="0.25">
      <c r="P13730" s="4"/>
    </row>
    <row r="13731" spans="16:16" x14ac:dyDescent="0.25">
      <c r="P13731" s="4"/>
    </row>
    <row r="13732" spans="16:16" x14ac:dyDescent="0.25">
      <c r="P13732" s="4"/>
    </row>
    <row r="13733" spans="16:16" x14ac:dyDescent="0.25">
      <c r="P13733" s="4"/>
    </row>
    <row r="13734" spans="16:16" x14ac:dyDescent="0.25">
      <c r="P13734" s="4"/>
    </row>
    <row r="13735" spans="16:16" x14ac:dyDescent="0.25">
      <c r="P13735" s="4"/>
    </row>
    <row r="13736" spans="16:16" x14ac:dyDescent="0.25">
      <c r="P13736" s="4"/>
    </row>
    <row r="13737" spans="16:16" x14ac:dyDescent="0.25">
      <c r="P13737" s="4"/>
    </row>
    <row r="13738" spans="16:16" x14ac:dyDescent="0.25">
      <c r="P13738" s="4"/>
    </row>
    <row r="13739" spans="16:16" x14ac:dyDescent="0.25">
      <c r="P13739" s="4"/>
    </row>
    <row r="13740" spans="16:16" x14ac:dyDescent="0.25">
      <c r="P13740" s="4"/>
    </row>
    <row r="13741" spans="16:16" x14ac:dyDescent="0.25">
      <c r="P13741" s="4"/>
    </row>
    <row r="13742" spans="16:16" x14ac:dyDescent="0.25">
      <c r="P13742" s="4"/>
    </row>
    <row r="13743" spans="16:16" x14ac:dyDescent="0.25">
      <c r="P13743" s="4"/>
    </row>
    <row r="13744" spans="16:16" x14ac:dyDescent="0.25">
      <c r="P13744" s="4"/>
    </row>
    <row r="13745" spans="16:16" x14ac:dyDescent="0.25">
      <c r="P13745" s="4"/>
    </row>
    <row r="13746" spans="16:16" x14ac:dyDescent="0.25">
      <c r="P13746" s="4"/>
    </row>
    <row r="13747" spans="16:16" x14ac:dyDescent="0.25">
      <c r="P13747" s="4"/>
    </row>
    <row r="13748" spans="16:16" x14ac:dyDescent="0.25">
      <c r="P13748" s="4"/>
    </row>
    <row r="13749" spans="16:16" x14ac:dyDescent="0.25">
      <c r="P13749" s="4"/>
    </row>
    <row r="13750" spans="16:16" x14ac:dyDescent="0.25">
      <c r="P13750" s="4"/>
    </row>
    <row r="13751" spans="16:16" x14ac:dyDescent="0.25">
      <c r="P13751" s="4"/>
    </row>
    <row r="13752" spans="16:16" x14ac:dyDescent="0.25">
      <c r="P13752" s="4"/>
    </row>
    <row r="13753" spans="16:16" x14ac:dyDescent="0.25">
      <c r="P13753" s="4"/>
    </row>
    <row r="13754" spans="16:16" x14ac:dyDescent="0.25">
      <c r="P13754" s="4"/>
    </row>
    <row r="13755" spans="16:16" x14ac:dyDescent="0.25">
      <c r="P13755" s="4"/>
    </row>
    <row r="13756" spans="16:16" x14ac:dyDescent="0.25">
      <c r="P13756" s="4"/>
    </row>
    <row r="13757" spans="16:16" x14ac:dyDescent="0.25">
      <c r="P13757" s="4"/>
    </row>
    <row r="13758" spans="16:16" x14ac:dyDescent="0.25">
      <c r="P13758" s="4"/>
    </row>
    <row r="13759" spans="16:16" x14ac:dyDescent="0.25">
      <c r="P13759" s="4"/>
    </row>
    <row r="13760" spans="16:16" x14ac:dyDescent="0.25">
      <c r="P13760" s="4"/>
    </row>
    <row r="13761" spans="16:16" x14ac:dyDescent="0.25">
      <c r="P13761" s="4"/>
    </row>
    <row r="13762" spans="16:16" x14ac:dyDescent="0.25">
      <c r="P13762" s="4"/>
    </row>
    <row r="13763" spans="16:16" x14ac:dyDescent="0.25">
      <c r="P13763" s="4"/>
    </row>
    <row r="13764" spans="16:16" x14ac:dyDescent="0.25">
      <c r="P13764" s="4"/>
    </row>
    <row r="13765" spans="16:16" x14ac:dyDescent="0.25">
      <c r="P13765" s="4"/>
    </row>
    <row r="13766" spans="16:16" x14ac:dyDescent="0.25">
      <c r="P13766" s="4"/>
    </row>
    <row r="13767" spans="16:16" x14ac:dyDescent="0.25">
      <c r="P13767" s="4"/>
    </row>
    <row r="13768" spans="16:16" x14ac:dyDescent="0.25">
      <c r="P13768" s="4"/>
    </row>
    <row r="13769" spans="16:16" x14ac:dyDescent="0.25">
      <c r="P13769" s="4"/>
    </row>
    <row r="13770" spans="16:16" x14ac:dyDescent="0.25">
      <c r="P13770" s="4"/>
    </row>
    <row r="13771" spans="16:16" x14ac:dyDescent="0.25">
      <c r="P13771" s="4"/>
    </row>
    <row r="13772" spans="16:16" x14ac:dyDescent="0.25">
      <c r="P13772" s="4"/>
    </row>
    <row r="13773" spans="16:16" x14ac:dyDescent="0.25">
      <c r="P13773" s="4"/>
    </row>
    <row r="13774" spans="16:16" x14ac:dyDescent="0.25">
      <c r="P13774" s="4"/>
    </row>
    <row r="13775" spans="16:16" x14ac:dyDescent="0.25">
      <c r="P13775" s="4"/>
    </row>
    <row r="13776" spans="16:16" x14ac:dyDescent="0.25">
      <c r="P13776" s="4"/>
    </row>
    <row r="13777" spans="16:16" x14ac:dyDescent="0.25">
      <c r="P13777" s="4"/>
    </row>
    <row r="13778" spans="16:16" x14ac:dyDescent="0.25">
      <c r="P13778" s="4"/>
    </row>
    <row r="13779" spans="16:16" x14ac:dyDescent="0.25">
      <c r="P13779" s="4"/>
    </row>
    <row r="13780" spans="16:16" x14ac:dyDescent="0.25">
      <c r="P13780" s="4"/>
    </row>
    <row r="13781" spans="16:16" x14ac:dyDescent="0.25">
      <c r="P13781" s="4"/>
    </row>
    <row r="13782" spans="16:16" x14ac:dyDescent="0.25">
      <c r="P13782" s="4"/>
    </row>
    <row r="13783" spans="16:16" x14ac:dyDescent="0.25">
      <c r="P13783" s="4"/>
    </row>
    <row r="13784" spans="16:16" x14ac:dyDescent="0.25">
      <c r="P13784" s="4"/>
    </row>
    <row r="13785" spans="16:16" x14ac:dyDescent="0.25">
      <c r="P13785" s="4"/>
    </row>
    <row r="13786" spans="16:16" x14ac:dyDescent="0.25">
      <c r="P13786" s="4"/>
    </row>
    <row r="13787" spans="16:16" x14ac:dyDescent="0.25">
      <c r="P13787" s="4"/>
    </row>
    <row r="13788" spans="16:16" x14ac:dyDescent="0.25">
      <c r="P13788" s="4"/>
    </row>
    <row r="13789" spans="16:16" x14ac:dyDescent="0.25">
      <c r="P13789" s="4"/>
    </row>
    <row r="13790" spans="16:16" x14ac:dyDescent="0.25">
      <c r="P13790" s="4"/>
    </row>
    <row r="13791" spans="16:16" x14ac:dyDescent="0.25">
      <c r="P13791" s="4"/>
    </row>
    <row r="13792" spans="16:16" x14ac:dyDescent="0.25">
      <c r="P13792" s="4"/>
    </row>
    <row r="13793" spans="16:16" x14ac:dyDescent="0.25">
      <c r="P13793" s="4"/>
    </row>
    <row r="13794" spans="16:16" x14ac:dyDescent="0.25">
      <c r="P13794" s="4"/>
    </row>
    <row r="13795" spans="16:16" x14ac:dyDescent="0.25">
      <c r="P13795" s="4"/>
    </row>
    <row r="13796" spans="16:16" x14ac:dyDescent="0.25">
      <c r="P13796" s="4"/>
    </row>
    <row r="13797" spans="16:16" x14ac:dyDescent="0.25">
      <c r="P13797" s="4"/>
    </row>
    <row r="13798" spans="16:16" x14ac:dyDescent="0.25">
      <c r="P13798" s="4"/>
    </row>
    <row r="13799" spans="16:16" x14ac:dyDescent="0.25">
      <c r="P13799" s="4"/>
    </row>
    <row r="13800" spans="16:16" x14ac:dyDescent="0.25">
      <c r="P13800" s="4"/>
    </row>
    <row r="13801" spans="16:16" x14ac:dyDescent="0.25">
      <c r="P13801" s="4"/>
    </row>
    <row r="13802" spans="16:16" x14ac:dyDescent="0.25">
      <c r="P13802" s="4"/>
    </row>
    <row r="13803" spans="16:16" x14ac:dyDescent="0.25">
      <c r="P13803" s="4"/>
    </row>
    <row r="13804" spans="16:16" x14ac:dyDescent="0.25">
      <c r="P13804" s="4"/>
    </row>
    <row r="13805" spans="16:16" x14ac:dyDescent="0.25">
      <c r="P13805" s="4"/>
    </row>
    <row r="13806" spans="16:16" x14ac:dyDescent="0.25">
      <c r="P13806" s="4"/>
    </row>
    <row r="13807" spans="16:16" x14ac:dyDescent="0.25">
      <c r="P13807" s="4"/>
    </row>
    <row r="13808" spans="16:16" x14ac:dyDescent="0.25">
      <c r="P13808" s="4"/>
    </row>
    <row r="13809" spans="16:16" x14ac:dyDescent="0.25">
      <c r="P13809" s="4"/>
    </row>
    <row r="13810" spans="16:16" x14ac:dyDescent="0.25">
      <c r="P13810" s="4"/>
    </row>
    <row r="13811" spans="16:16" x14ac:dyDescent="0.25">
      <c r="P13811" s="4"/>
    </row>
    <row r="13812" spans="16:16" x14ac:dyDescent="0.25">
      <c r="P13812" s="4"/>
    </row>
    <row r="13813" spans="16:16" x14ac:dyDescent="0.25">
      <c r="P13813" s="4"/>
    </row>
    <row r="13814" spans="16:16" x14ac:dyDescent="0.25">
      <c r="P13814" s="4"/>
    </row>
    <row r="13815" spans="16:16" x14ac:dyDescent="0.25">
      <c r="P13815" s="4"/>
    </row>
    <row r="13816" spans="16:16" x14ac:dyDescent="0.25">
      <c r="P13816" s="4"/>
    </row>
    <row r="13817" spans="16:16" x14ac:dyDescent="0.25">
      <c r="P13817" s="4"/>
    </row>
    <row r="13818" spans="16:16" x14ac:dyDescent="0.25">
      <c r="P13818" s="4"/>
    </row>
    <row r="13819" spans="16:16" x14ac:dyDescent="0.25">
      <c r="P13819" s="4"/>
    </row>
    <row r="13820" spans="16:16" x14ac:dyDescent="0.25">
      <c r="P13820" s="4"/>
    </row>
    <row r="13821" spans="16:16" x14ac:dyDescent="0.25">
      <c r="P13821" s="4"/>
    </row>
    <row r="13822" spans="16:16" x14ac:dyDescent="0.25">
      <c r="P13822" s="4"/>
    </row>
    <row r="13823" spans="16:16" x14ac:dyDescent="0.25">
      <c r="P13823" s="4"/>
    </row>
    <row r="13824" spans="16:16" x14ac:dyDescent="0.25">
      <c r="P13824" s="4"/>
    </row>
    <row r="13825" spans="16:16" x14ac:dyDescent="0.25">
      <c r="P13825" s="4"/>
    </row>
    <row r="13826" spans="16:16" x14ac:dyDescent="0.25">
      <c r="P13826" s="4"/>
    </row>
    <row r="13827" spans="16:16" x14ac:dyDescent="0.25">
      <c r="P13827" s="4"/>
    </row>
    <row r="13828" spans="16:16" x14ac:dyDescent="0.25">
      <c r="P13828" s="4"/>
    </row>
    <row r="13829" spans="16:16" x14ac:dyDescent="0.25">
      <c r="P13829" s="4"/>
    </row>
    <row r="13830" spans="16:16" x14ac:dyDescent="0.25">
      <c r="P13830" s="4"/>
    </row>
    <row r="13831" spans="16:16" x14ac:dyDescent="0.25">
      <c r="P13831" s="4"/>
    </row>
    <row r="13832" spans="16:16" x14ac:dyDescent="0.25">
      <c r="P13832" s="4"/>
    </row>
    <row r="13833" spans="16:16" x14ac:dyDescent="0.25">
      <c r="P13833" s="4"/>
    </row>
    <row r="13834" spans="16:16" x14ac:dyDescent="0.25">
      <c r="P13834" s="4"/>
    </row>
    <row r="13835" spans="16:16" x14ac:dyDescent="0.25">
      <c r="P13835" s="4"/>
    </row>
    <row r="13836" spans="16:16" x14ac:dyDescent="0.25">
      <c r="P13836" s="4"/>
    </row>
    <row r="13837" spans="16:16" x14ac:dyDescent="0.25">
      <c r="P13837" s="4"/>
    </row>
    <row r="13838" spans="16:16" x14ac:dyDescent="0.25">
      <c r="P13838" s="4"/>
    </row>
    <row r="13839" spans="16:16" x14ac:dyDescent="0.25">
      <c r="P13839" s="4"/>
    </row>
    <row r="13840" spans="16:16" x14ac:dyDescent="0.25">
      <c r="P13840" s="4"/>
    </row>
    <row r="13841" spans="16:16" x14ac:dyDescent="0.25">
      <c r="P13841" s="4"/>
    </row>
    <row r="13842" spans="16:16" x14ac:dyDescent="0.25">
      <c r="P13842" s="4"/>
    </row>
    <row r="13843" spans="16:16" x14ac:dyDescent="0.25">
      <c r="P13843" s="4"/>
    </row>
    <row r="13844" spans="16:16" x14ac:dyDescent="0.25">
      <c r="P13844" s="4"/>
    </row>
    <row r="13845" spans="16:16" x14ac:dyDescent="0.25">
      <c r="P13845" s="4"/>
    </row>
    <row r="13846" spans="16:16" x14ac:dyDescent="0.25">
      <c r="P13846" s="4"/>
    </row>
    <row r="13847" spans="16:16" x14ac:dyDescent="0.25">
      <c r="P13847" s="4"/>
    </row>
    <row r="13848" spans="16:16" x14ac:dyDescent="0.25">
      <c r="P13848" s="4"/>
    </row>
    <row r="13849" spans="16:16" x14ac:dyDescent="0.25">
      <c r="P13849" s="4"/>
    </row>
    <row r="13850" spans="16:16" x14ac:dyDescent="0.25">
      <c r="P13850" s="4"/>
    </row>
    <row r="13851" spans="16:16" x14ac:dyDescent="0.25">
      <c r="P13851" s="4"/>
    </row>
    <row r="13852" spans="16:16" x14ac:dyDescent="0.25">
      <c r="P13852" s="4"/>
    </row>
    <row r="13853" spans="16:16" x14ac:dyDescent="0.25">
      <c r="P13853" s="4"/>
    </row>
    <row r="13854" spans="16:16" x14ac:dyDescent="0.25">
      <c r="P13854" s="4"/>
    </row>
    <row r="13855" spans="16:16" x14ac:dyDescent="0.25">
      <c r="P13855" s="4"/>
    </row>
    <row r="13856" spans="16:16" x14ac:dyDescent="0.25">
      <c r="P13856" s="4"/>
    </row>
    <row r="13857" spans="16:16" x14ac:dyDescent="0.25">
      <c r="P13857" s="4"/>
    </row>
    <row r="13858" spans="16:16" x14ac:dyDescent="0.25">
      <c r="P13858" s="4"/>
    </row>
    <row r="13859" spans="16:16" x14ac:dyDescent="0.25">
      <c r="P13859" s="4"/>
    </row>
    <row r="13860" spans="16:16" x14ac:dyDescent="0.25">
      <c r="P13860" s="4"/>
    </row>
    <row r="13861" spans="16:16" x14ac:dyDescent="0.25">
      <c r="P13861" s="4"/>
    </row>
    <row r="13862" spans="16:16" x14ac:dyDescent="0.25">
      <c r="P13862" s="4"/>
    </row>
    <row r="13863" spans="16:16" x14ac:dyDescent="0.25">
      <c r="P13863" s="4"/>
    </row>
    <row r="13864" spans="16:16" x14ac:dyDescent="0.25">
      <c r="P13864" s="4"/>
    </row>
    <row r="13865" spans="16:16" x14ac:dyDescent="0.25">
      <c r="P13865" s="4"/>
    </row>
    <row r="13866" spans="16:16" x14ac:dyDescent="0.25">
      <c r="P13866" s="4"/>
    </row>
    <row r="13867" spans="16:16" x14ac:dyDescent="0.25">
      <c r="P13867" s="4"/>
    </row>
    <row r="13868" spans="16:16" x14ac:dyDescent="0.25">
      <c r="P13868" s="4"/>
    </row>
    <row r="13869" spans="16:16" x14ac:dyDescent="0.25">
      <c r="P13869" s="4"/>
    </row>
    <row r="13870" spans="16:16" x14ac:dyDescent="0.25">
      <c r="P13870" s="4"/>
    </row>
    <row r="13871" spans="16:16" x14ac:dyDescent="0.25">
      <c r="P13871" s="4"/>
    </row>
    <row r="13872" spans="16:16" x14ac:dyDescent="0.25">
      <c r="P13872" s="4"/>
    </row>
    <row r="13873" spans="16:16" x14ac:dyDescent="0.25">
      <c r="P13873" s="4"/>
    </row>
    <row r="13874" spans="16:16" x14ac:dyDescent="0.25">
      <c r="P13874" s="4"/>
    </row>
    <row r="13875" spans="16:16" x14ac:dyDescent="0.25">
      <c r="P13875" s="4"/>
    </row>
    <row r="13876" spans="16:16" x14ac:dyDescent="0.25">
      <c r="P13876" s="4"/>
    </row>
    <row r="13877" spans="16:16" x14ac:dyDescent="0.25">
      <c r="P13877" s="4"/>
    </row>
    <row r="13878" spans="16:16" x14ac:dyDescent="0.25">
      <c r="P13878" s="4"/>
    </row>
    <row r="13879" spans="16:16" x14ac:dyDescent="0.25">
      <c r="P13879" s="4"/>
    </row>
    <row r="13880" spans="16:16" x14ac:dyDescent="0.25">
      <c r="P13880" s="4"/>
    </row>
    <row r="13881" spans="16:16" x14ac:dyDescent="0.25">
      <c r="P13881" s="4"/>
    </row>
    <row r="13882" spans="16:16" x14ac:dyDescent="0.25">
      <c r="P13882" s="4"/>
    </row>
    <row r="13883" spans="16:16" x14ac:dyDescent="0.25">
      <c r="P13883" s="4"/>
    </row>
    <row r="13884" spans="16:16" x14ac:dyDescent="0.25">
      <c r="P13884" s="4"/>
    </row>
    <row r="13885" spans="16:16" x14ac:dyDescent="0.25">
      <c r="P13885" s="4"/>
    </row>
    <row r="13886" spans="16:16" x14ac:dyDescent="0.25">
      <c r="P13886" s="4"/>
    </row>
    <row r="13887" spans="16:16" x14ac:dyDescent="0.25">
      <c r="P13887" s="4"/>
    </row>
    <row r="13888" spans="16:16" x14ac:dyDescent="0.25">
      <c r="P13888" s="4"/>
    </row>
    <row r="13889" spans="16:16" x14ac:dyDescent="0.25">
      <c r="P13889" s="4"/>
    </row>
    <row r="13890" spans="16:16" x14ac:dyDescent="0.25">
      <c r="P13890" s="4"/>
    </row>
    <row r="13891" spans="16:16" x14ac:dyDescent="0.25">
      <c r="P13891" s="4"/>
    </row>
    <row r="13892" spans="16:16" x14ac:dyDescent="0.25">
      <c r="P13892" s="4"/>
    </row>
    <row r="13893" spans="16:16" x14ac:dyDescent="0.25">
      <c r="P13893" s="4"/>
    </row>
    <row r="13894" spans="16:16" x14ac:dyDescent="0.25">
      <c r="P13894" s="4"/>
    </row>
    <row r="13895" spans="16:16" x14ac:dyDescent="0.25">
      <c r="P13895" s="4"/>
    </row>
    <row r="13896" spans="16:16" x14ac:dyDescent="0.25">
      <c r="P13896" s="4"/>
    </row>
    <row r="13897" spans="16:16" x14ac:dyDescent="0.25">
      <c r="P13897" s="4"/>
    </row>
    <row r="13898" spans="16:16" x14ac:dyDescent="0.25">
      <c r="P13898" s="4"/>
    </row>
    <row r="13899" spans="16:16" x14ac:dyDescent="0.25">
      <c r="P13899" s="4"/>
    </row>
    <row r="13900" spans="16:16" x14ac:dyDescent="0.25">
      <c r="P13900" s="4"/>
    </row>
    <row r="13901" spans="16:16" x14ac:dyDescent="0.25">
      <c r="P13901" s="4"/>
    </row>
    <row r="13902" spans="16:16" x14ac:dyDescent="0.25">
      <c r="P13902" s="4"/>
    </row>
    <row r="13903" spans="16:16" x14ac:dyDescent="0.25">
      <c r="P13903" s="4"/>
    </row>
    <row r="13904" spans="16:16" x14ac:dyDescent="0.25">
      <c r="P13904" s="4"/>
    </row>
    <row r="13905" spans="16:16" x14ac:dyDescent="0.25">
      <c r="P13905" s="4"/>
    </row>
    <row r="13906" spans="16:16" x14ac:dyDescent="0.25">
      <c r="P13906" s="4"/>
    </row>
    <row r="13907" spans="16:16" x14ac:dyDescent="0.25">
      <c r="P13907" s="4"/>
    </row>
    <row r="13908" spans="16:16" x14ac:dyDescent="0.25">
      <c r="P13908" s="4"/>
    </row>
    <row r="13909" spans="16:16" x14ac:dyDescent="0.25">
      <c r="P13909" s="4"/>
    </row>
    <row r="13910" spans="16:16" x14ac:dyDescent="0.25">
      <c r="P13910" s="4"/>
    </row>
    <row r="13911" spans="16:16" x14ac:dyDescent="0.25">
      <c r="P13911" s="4"/>
    </row>
    <row r="13912" spans="16:16" x14ac:dyDescent="0.25">
      <c r="P13912" s="4"/>
    </row>
    <row r="13913" spans="16:16" x14ac:dyDescent="0.25">
      <c r="P13913" s="4"/>
    </row>
    <row r="13914" spans="16:16" x14ac:dyDescent="0.25">
      <c r="P13914" s="4"/>
    </row>
    <row r="13915" spans="16:16" x14ac:dyDescent="0.25">
      <c r="P13915" s="4"/>
    </row>
    <row r="13916" spans="16:16" x14ac:dyDescent="0.25">
      <c r="P13916" s="4"/>
    </row>
    <row r="13917" spans="16:16" x14ac:dyDescent="0.25">
      <c r="P13917" s="4"/>
    </row>
    <row r="13918" spans="16:16" x14ac:dyDescent="0.25">
      <c r="P13918" s="4"/>
    </row>
    <row r="13919" spans="16:16" x14ac:dyDescent="0.25">
      <c r="P13919" s="4"/>
    </row>
    <row r="13920" spans="16:16" x14ac:dyDescent="0.25">
      <c r="P13920" s="4"/>
    </row>
    <row r="13921" spans="16:16" x14ac:dyDescent="0.25">
      <c r="P13921" s="4"/>
    </row>
    <row r="13922" spans="16:16" x14ac:dyDescent="0.25">
      <c r="P13922" s="4"/>
    </row>
    <row r="13923" spans="16:16" x14ac:dyDescent="0.25">
      <c r="P13923" s="4"/>
    </row>
    <row r="13924" spans="16:16" x14ac:dyDescent="0.25">
      <c r="P13924" s="4"/>
    </row>
    <row r="13925" spans="16:16" x14ac:dyDescent="0.25">
      <c r="P13925" s="4"/>
    </row>
    <row r="13926" spans="16:16" x14ac:dyDescent="0.25">
      <c r="P13926" s="4"/>
    </row>
    <row r="13927" spans="16:16" x14ac:dyDescent="0.25">
      <c r="P13927" s="4"/>
    </row>
    <row r="13928" spans="16:16" x14ac:dyDescent="0.25">
      <c r="P13928" s="4"/>
    </row>
    <row r="13929" spans="16:16" x14ac:dyDescent="0.25">
      <c r="P13929" s="4"/>
    </row>
    <row r="13930" spans="16:16" x14ac:dyDescent="0.25">
      <c r="P13930" s="4"/>
    </row>
    <row r="13931" spans="16:16" x14ac:dyDescent="0.25">
      <c r="P13931" s="4"/>
    </row>
    <row r="13932" spans="16:16" x14ac:dyDescent="0.25">
      <c r="P13932" s="4"/>
    </row>
    <row r="13933" spans="16:16" x14ac:dyDescent="0.25">
      <c r="P13933" s="4"/>
    </row>
    <row r="13934" spans="16:16" x14ac:dyDescent="0.25">
      <c r="P13934" s="4"/>
    </row>
    <row r="13935" spans="16:16" x14ac:dyDescent="0.25">
      <c r="P13935" s="4"/>
    </row>
    <row r="13936" spans="16:16" x14ac:dyDescent="0.25">
      <c r="P13936" s="4"/>
    </row>
    <row r="13937" spans="16:16" x14ac:dyDescent="0.25">
      <c r="P13937" s="4"/>
    </row>
    <row r="13938" spans="16:16" x14ac:dyDescent="0.25">
      <c r="P13938" s="4"/>
    </row>
    <row r="13939" spans="16:16" x14ac:dyDescent="0.25">
      <c r="P13939" s="4"/>
    </row>
    <row r="13940" spans="16:16" x14ac:dyDescent="0.25">
      <c r="P13940" s="4"/>
    </row>
    <row r="13941" spans="16:16" x14ac:dyDescent="0.25">
      <c r="P13941" s="4"/>
    </row>
    <row r="13942" spans="16:16" x14ac:dyDescent="0.25">
      <c r="P13942" s="4"/>
    </row>
    <row r="13943" spans="16:16" x14ac:dyDescent="0.25">
      <c r="P13943" s="4"/>
    </row>
    <row r="13944" spans="16:16" x14ac:dyDescent="0.25">
      <c r="P13944" s="4"/>
    </row>
    <row r="13945" spans="16:16" x14ac:dyDescent="0.25">
      <c r="P13945" s="4"/>
    </row>
    <row r="13946" spans="16:16" x14ac:dyDescent="0.25">
      <c r="P13946" s="4"/>
    </row>
    <row r="13947" spans="16:16" x14ac:dyDescent="0.25">
      <c r="P13947" s="4"/>
    </row>
    <row r="13948" spans="16:16" x14ac:dyDescent="0.25">
      <c r="P13948" s="4"/>
    </row>
    <row r="13949" spans="16:16" x14ac:dyDescent="0.25">
      <c r="P13949" s="4"/>
    </row>
    <row r="13950" spans="16:16" x14ac:dyDescent="0.25">
      <c r="P13950" s="4"/>
    </row>
    <row r="13951" spans="16:16" x14ac:dyDescent="0.25">
      <c r="P13951" s="4"/>
    </row>
    <row r="13952" spans="16:16" x14ac:dyDescent="0.25">
      <c r="P13952" s="4"/>
    </row>
    <row r="13953" spans="16:16" x14ac:dyDescent="0.25">
      <c r="P13953" s="4"/>
    </row>
    <row r="13954" spans="16:16" x14ac:dyDescent="0.25">
      <c r="P13954" s="4"/>
    </row>
    <row r="13955" spans="16:16" x14ac:dyDescent="0.25">
      <c r="P13955" s="4"/>
    </row>
    <row r="13956" spans="16:16" x14ac:dyDescent="0.25">
      <c r="P13956" s="4"/>
    </row>
    <row r="13957" spans="16:16" x14ac:dyDescent="0.25">
      <c r="P13957" s="4"/>
    </row>
    <row r="13958" spans="16:16" x14ac:dyDescent="0.25">
      <c r="P13958" s="4"/>
    </row>
    <row r="13959" spans="16:16" x14ac:dyDescent="0.25">
      <c r="P13959" s="4"/>
    </row>
    <row r="13960" spans="16:16" x14ac:dyDescent="0.25">
      <c r="P13960" s="4"/>
    </row>
    <row r="13961" spans="16:16" x14ac:dyDescent="0.25">
      <c r="P13961" s="4"/>
    </row>
    <row r="13962" spans="16:16" x14ac:dyDescent="0.25">
      <c r="P13962" s="4"/>
    </row>
    <row r="13963" spans="16:16" x14ac:dyDescent="0.25">
      <c r="P13963" s="4"/>
    </row>
    <row r="13964" spans="16:16" x14ac:dyDescent="0.25">
      <c r="P13964" s="4"/>
    </row>
    <row r="13965" spans="16:16" x14ac:dyDescent="0.25">
      <c r="P13965" s="4"/>
    </row>
    <row r="13966" spans="16:16" x14ac:dyDescent="0.25">
      <c r="P13966" s="4"/>
    </row>
    <row r="13967" spans="16:16" x14ac:dyDescent="0.25">
      <c r="P13967" s="4"/>
    </row>
    <row r="13968" spans="16:16" x14ac:dyDescent="0.25">
      <c r="P13968" s="4"/>
    </row>
    <row r="13969" spans="16:16" x14ac:dyDescent="0.25">
      <c r="P13969" s="4"/>
    </row>
    <row r="13970" spans="16:16" x14ac:dyDescent="0.25">
      <c r="P13970" s="4"/>
    </row>
    <row r="13971" spans="16:16" x14ac:dyDescent="0.25">
      <c r="P13971" s="4"/>
    </row>
    <row r="13972" spans="16:16" x14ac:dyDescent="0.25">
      <c r="P13972" s="4"/>
    </row>
    <row r="13973" spans="16:16" x14ac:dyDescent="0.25">
      <c r="P13973" s="4"/>
    </row>
    <row r="13974" spans="16:16" x14ac:dyDescent="0.25">
      <c r="P13974" s="4"/>
    </row>
    <row r="13975" spans="16:16" x14ac:dyDescent="0.25">
      <c r="P13975" s="4"/>
    </row>
    <row r="13976" spans="16:16" x14ac:dyDescent="0.25">
      <c r="P13976" s="4"/>
    </row>
    <row r="13977" spans="16:16" x14ac:dyDescent="0.25">
      <c r="P13977" s="4"/>
    </row>
    <row r="13978" spans="16:16" x14ac:dyDescent="0.25">
      <c r="P13978" s="4"/>
    </row>
    <row r="13979" spans="16:16" x14ac:dyDescent="0.25">
      <c r="P13979" s="4"/>
    </row>
    <row r="13980" spans="16:16" x14ac:dyDescent="0.25">
      <c r="P13980" s="4"/>
    </row>
    <row r="13981" spans="16:16" x14ac:dyDescent="0.25">
      <c r="P13981" s="4"/>
    </row>
    <row r="13982" spans="16:16" x14ac:dyDescent="0.25">
      <c r="P13982" s="4"/>
    </row>
    <row r="13983" spans="16:16" x14ac:dyDescent="0.25">
      <c r="P13983" s="4"/>
    </row>
    <row r="13984" spans="16:16" x14ac:dyDescent="0.25">
      <c r="P13984" s="4"/>
    </row>
    <row r="13985" spans="16:16" x14ac:dyDescent="0.25">
      <c r="P13985" s="4"/>
    </row>
    <row r="13986" spans="16:16" x14ac:dyDescent="0.25">
      <c r="P13986" s="4"/>
    </row>
    <row r="13987" spans="16:16" x14ac:dyDescent="0.25">
      <c r="P13987" s="4"/>
    </row>
    <row r="13988" spans="16:16" x14ac:dyDescent="0.25">
      <c r="P13988" s="4"/>
    </row>
    <row r="13989" spans="16:16" x14ac:dyDescent="0.25">
      <c r="P13989" s="4"/>
    </row>
    <row r="13990" spans="16:16" x14ac:dyDescent="0.25">
      <c r="P13990" s="4"/>
    </row>
    <row r="13991" spans="16:16" x14ac:dyDescent="0.25">
      <c r="P13991" s="4"/>
    </row>
    <row r="13992" spans="16:16" x14ac:dyDescent="0.25">
      <c r="P13992" s="4"/>
    </row>
    <row r="13993" spans="16:16" x14ac:dyDescent="0.25">
      <c r="P13993" s="4"/>
    </row>
    <row r="13994" spans="16:16" x14ac:dyDescent="0.25">
      <c r="P13994" s="4"/>
    </row>
    <row r="13995" spans="16:16" x14ac:dyDescent="0.25">
      <c r="P13995" s="4"/>
    </row>
    <row r="13996" spans="16:16" x14ac:dyDescent="0.25">
      <c r="P13996" s="4"/>
    </row>
    <row r="13997" spans="16:16" x14ac:dyDescent="0.25">
      <c r="P13997" s="4"/>
    </row>
    <row r="13998" spans="16:16" x14ac:dyDescent="0.25">
      <c r="P13998" s="4"/>
    </row>
    <row r="13999" spans="16:16" x14ac:dyDescent="0.25">
      <c r="P13999" s="4"/>
    </row>
    <row r="14000" spans="16:16" x14ac:dyDescent="0.25">
      <c r="P14000" s="4"/>
    </row>
    <row r="14001" spans="16:16" x14ac:dyDescent="0.25">
      <c r="P14001" s="4"/>
    </row>
    <row r="14002" spans="16:16" x14ac:dyDescent="0.25">
      <c r="P14002" s="4"/>
    </row>
    <row r="14003" spans="16:16" x14ac:dyDescent="0.25">
      <c r="P14003" s="4"/>
    </row>
    <row r="14004" spans="16:16" x14ac:dyDescent="0.25">
      <c r="P14004" s="4"/>
    </row>
    <row r="14005" spans="16:16" x14ac:dyDescent="0.25">
      <c r="P14005" s="4"/>
    </row>
    <row r="14006" spans="16:16" x14ac:dyDescent="0.25">
      <c r="P14006" s="4"/>
    </row>
    <row r="14007" spans="16:16" x14ac:dyDescent="0.25">
      <c r="P14007" s="4"/>
    </row>
    <row r="14008" spans="16:16" x14ac:dyDescent="0.25">
      <c r="P14008" s="4"/>
    </row>
    <row r="14009" spans="16:16" x14ac:dyDescent="0.25">
      <c r="P14009" s="4"/>
    </row>
    <row r="14010" spans="16:16" x14ac:dyDescent="0.25">
      <c r="P14010" s="4"/>
    </row>
    <row r="14011" spans="16:16" x14ac:dyDescent="0.25">
      <c r="P14011" s="4"/>
    </row>
    <row r="14012" spans="16:16" x14ac:dyDescent="0.25">
      <c r="P14012" s="4"/>
    </row>
    <row r="14013" spans="16:16" x14ac:dyDescent="0.25">
      <c r="P14013" s="4"/>
    </row>
    <row r="14014" spans="16:16" x14ac:dyDescent="0.25">
      <c r="P14014" s="4"/>
    </row>
    <row r="14015" spans="16:16" x14ac:dyDescent="0.25">
      <c r="P14015" s="4"/>
    </row>
    <row r="14016" spans="16:16" x14ac:dyDescent="0.25">
      <c r="P14016" s="4"/>
    </row>
    <row r="14017" spans="16:16" x14ac:dyDescent="0.25">
      <c r="P14017" s="4"/>
    </row>
    <row r="14018" spans="16:16" x14ac:dyDescent="0.25">
      <c r="P14018" s="4"/>
    </row>
    <row r="14019" spans="16:16" x14ac:dyDescent="0.25">
      <c r="P14019" s="4"/>
    </row>
    <row r="14020" spans="16:16" x14ac:dyDescent="0.25">
      <c r="P14020" s="4"/>
    </row>
    <row r="14021" spans="16:16" x14ac:dyDescent="0.25">
      <c r="P14021" s="4"/>
    </row>
    <row r="14022" spans="16:16" x14ac:dyDescent="0.25">
      <c r="P14022" s="4"/>
    </row>
    <row r="14023" spans="16:16" x14ac:dyDescent="0.25">
      <c r="P14023" s="4"/>
    </row>
    <row r="14024" spans="16:16" x14ac:dyDescent="0.25">
      <c r="P14024" s="4"/>
    </row>
    <row r="14025" spans="16:16" x14ac:dyDescent="0.25">
      <c r="P14025" s="4"/>
    </row>
    <row r="14026" spans="16:16" x14ac:dyDescent="0.25">
      <c r="P14026" s="4"/>
    </row>
    <row r="14027" spans="16:16" x14ac:dyDescent="0.25">
      <c r="P14027" s="4"/>
    </row>
    <row r="14028" spans="16:16" x14ac:dyDescent="0.25">
      <c r="P14028" s="4"/>
    </row>
    <row r="14029" spans="16:16" x14ac:dyDescent="0.25">
      <c r="P14029" s="4"/>
    </row>
    <row r="14030" spans="16:16" x14ac:dyDescent="0.25">
      <c r="P14030" s="4"/>
    </row>
    <row r="14031" spans="16:16" x14ac:dyDescent="0.25">
      <c r="P14031" s="4"/>
    </row>
    <row r="14032" spans="16:16" x14ac:dyDescent="0.25">
      <c r="P14032" s="4"/>
    </row>
    <row r="14033" spans="16:16" x14ac:dyDescent="0.25">
      <c r="P14033" s="4"/>
    </row>
    <row r="14034" spans="16:16" x14ac:dyDescent="0.25">
      <c r="P14034" s="4"/>
    </row>
    <row r="14035" spans="16:16" x14ac:dyDescent="0.25">
      <c r="P14035" s="4"/>
    </row>
    <row r="14036" spans="16:16" x14ac:dyDescent="0.25">
      <c r="P14036" s="4"/>
    </row>
    <row r="14037" spans="16:16" x14ac:dyDescent="0.25">
      <c r="P14037" s="4"/>
    </row>
    <row r="14038" spans="16:16" x14ac:dyDescent="0.25">
      <c r="P14038" s="4"/>
    </row>
    <row r="14039" spans="16:16" x14ac:dyDescent="0.25">
      <c r="P14039" s="4"/>
    </row>
    <row r="14040" spans="16:16" x14ac:dyDescent="0.25">
      <c r="P14040" s="4"/>
    </row>
    <row r="14041" spans="16:16" x14ac:dyDescent="0.25">
      <c r="P14041" s="4"/>
    </row>
    <row r="14042" spans="16:16" x14ac:dyDescent="0.25">
      <c r="P14042" s="4"/>
    </row>
    <row r="14043" spans="16:16" x14ac:dyDescent="0.25">
      <c r="P14043" s="4"/>
    </row>
    <row r="14044" spans="16:16" x14ac:dyDescent="0.25">
      <c r="P14044" s="4"/>
    </row>
    <row r="14045" spans="16:16" x14ac:dyDescent="0.25">
      <c r="P14045" s="4"/>
    </row>
    <row r="14046" spans="16:16" x14ac:dyDescent="0.25">
      <c r="P14046" s="4"/>
    </row>
    <row r="14047" spans="16:16" x14ac:dyDescent="0.25">
      <c r="P14047" s="4"/>
    </row>
    <row r="14048" spans="16:16" x14ac:dyDescent="0.25">
      <c r="P14048" s="4"/>
    </row>
    <row r="14049" spans="16:16" x14ac:dyDescent="0.25">
      <c r="P14049" s="4"/>
    </row>
    <row r="14050" spans="16:16" x14ac:dyDescent="0.25">
      <c r="P14050" s="4"/>
    </row>
    <row r="14051" spans="16:16" x14ac:dyDescent="0.25">
      <c r="P14051" s="4"/>
    </row>
    <row r="14052" spans="16:16" x14ac:dyDescent="0.25">
      <c r="P14052" s="4"/>
    </row>
    <row r="14053" spans="16:16" x14ac:dyDescent="0.25">
      <c r="P14053" s="4"/>
    </row>
    <row r="14054" spans="16:16" x14ac:dyDescent="0.25">
      <c r="P14054" s="4"/>
    </row>
    <row r="14055" spans="16:16" x14ac:dyDescent="0.25">
      <c r="P14055" s="4"/>
    </row>
    <row r="14056" spans="16:16" x14ac:dyDescent="0.25">
      <c r="P14056" s="4"/>
    </row>
    <row r="14057" spans="16:16" x14ac:dyDescent="0.25">
      <c r="P14057" s="4"/>
    </row>
    <row r="14058" spans="16:16" x14ac:dyDescent="0.25">
      <c r="P14058" s="4"/>
    </row>
    <row r="14059" spans="16:16" x14ac:dyDescent="0.25">
      <c r="P14059" s="4"/>
    </row>
    <row r="14060" spans="16:16" x14ac:dyDescent="0.25">
      <c r="P14060" s="4"/>
    </row>
    <row r="14061" spans="16:16" x14ac:dyDescent="0.25">
      <c r="P14061" s="4"/>
    </row>
    <row r="14062" spans="16:16" x14ac:dyDescent="0.25">
      <c r="P14062" s="4"/>
    </row>
    <row r="14063" spans="16:16" x14ac:dyDescent="0.25">
      <c r="P14063" s="4"/>
    </row>
    <row r="14064" spans="16:16" x14ac:dyDescent="0.25">
      <c r="P14064" s="4"/>
    </row>
    <row r="14065" spans="16:16" x14ac:dyDescent="0.25">
      <c r="P14065" s="4"/>
    </row>
    <row r="14066" spans="16:16" x14ac:dyDescent="0.25">
      <c r="P14066" s="4"/>
    </row>
    <row r="14067" spans="16:16" x14ac:dyDescent="0.25">
      <c r="P14067" s="4"/>
    </row>
    <row r="14068" spans="16:16" x14ac:dyDescent="0.25">
      <c r="P14068" s="4"/>
    </row>
    <row r="14069" spans="16:16" x14ac:dyDescent="0.25">
      <c r="P14069" s="4"/>
    </row>
    <row r="14070" spans="16:16" x14ac:dyDescent="0.25">
      <c r="P14070" s="4"/>
    </row>
    <row r="14071" spans="16:16" x14ac:dyDescent="0.25">
      <c r="P14071" s="4"/>
    </row>
    <row r="14072" spans="16:16" x14ac:dyDescent="0.25">
      <c r="P14072" s="4"/>
    </row>
    <row r="14073" spans="16:16" x14ac:dyDescent="0.25">
      <c r="P14073" s="4"/>
    </row>
    <row r="14074" spans="16:16" x14ac:dyDescent="0.25">
      <c r="P14074" s="4"/>
    </row>
    <row r="14075" spans="16:16" x14ac:dyDescent="0.25">
      <c r="P14075" s="4"/>
    </row>
    <row r="14076" spans="16:16" x14ac:dyDescent="0.25">
      <c r="P14076" s="4"/>
    </row>
    <row r="14077" spans="16:16" x14ac:dyDescent="0.25">
      <c r="P14077" s="4"/>
    </row>
    <row r="14078" spans="16:16" x14ac:dyDescent="0.25">
      <c r="P14078" s="4"/>
    </row>
    <row r="14079" spans="16:16" x14ac:dyDescent="0.25">
      <c r="P14079" s="4"/>
    </row>
    <row r="14080" spans="16:16" x14ac:dyDescent="0.25">
      <c r="P14080" s="4"/>
    </row>
    <row r="14081" spans="16:16" x14ac:dyDescent="0.25">
      <c r="P14081" s="4"/>
    </row>
    <row r="14082" spans="16:16" x14ac:dyDescent="0.25">
      <c r="P14082" s="4"/>
    </row>
    <row r="14083" spans="16:16" x14ac:dyDescent="0.25">
      <c r="P14083" s="4"/>
    </row>
    <row r="14084" spans="16:16" x14ac:dyDescent="0.25">
      <c r="P14084" s="4"/>
    </row>
    <row r="14085" spans="16:16" x14ac:dyDescent="0.25">
      <c r="P14085" s="4"/>
    </row>
    <row r="14086" spans="16:16" x14ac:dyDescent="0.25">
      <c r="P14086" s="4"/>
    </row>
    <row r="14087" spans="16:16" x14ac:dyDescent="0.25">
      <c r="P14087" s="4"/>
    </row>
    <row r="14088" spans="16:16" x14ac:dyDescent="0.25">
      <c r="P14088" s="4"/>
    </row>
    <row r="14089" spans="16:16" x14ac:dyDescent="0.25">
      <c r="P14089" s="4"/>
    </row>
    <row r="14090" spans="16:16" x14ac:dyDescent="0.25">
      <c r="P14090" s="4"/>
    </row>
    <row r="14091" spans="16:16" x14ac:dyDescent="0.25">
      <c r="P14091" s="4"/>
    </row>
    <row r="14092" spans="16:16" x14ac:dyDescent="0.25">
      <c r="P14092" s="4"/>
    </row>
    <row r="14093" spans="16:16" x14ac:dyDescent="0.25">
      <c r="P14093" s="4"/>
    </row>
    <row r="14094" spans="16:16" x14ac:dyDescent="0.25">
      <c r="P14094" s="4"/>
    </row>
    <row r="14095" spans="16:16" x14ac:dyDescent="0.25">
      <c r="P14095" s="4"/>
    </row>
    <row r="14096" spans="16:16" x14ac:dyDescent="0.25">
      <c r="P14096" s="4"/>
    </row>
    <row r="14097" spans="16:16" x14ac:dyDescent="0.25">
      <c r="P14097" s="4"/>
    </row>
    <row r="14098" spans="16:16" x14ac:dyDescent="0.25">
      <c r="P14098" s="4"/>
    </row>
    <row r="14099" spans="16:16" x14ac:dyDescent="0.25">
      <c r="P14099" s="4"/>
    </row>
    <row r="14100" spans="16:16" x14ac:dyDescent="0.25">
      <c r="P14100" s="4"/>
    </row>
    <row r="14101" spans="16:16" x14ac:dyDescent="0.25">
      <c r="P14101" s="4"/>
    </row>
    <row r="14102" spans="16:16" x14ac:dyDescent="0.25">
      <c r="P14102" s="4"/>
    </row>
    <row r="14103" spans="16:16" x14ac:dyDescent="0.25">
      <c r="P14103" s="4"/>
    </row>
    <row r="14104" spans="16:16" x14ac:dyDescent="0.25">
      <c r="P14104" s="4"/>
    </row>
    <row r="14105" spans="16:16" x14ac:dyDescent="0.25">
      <c r="P14105" s="4"/>
    </row>
    <row r="14106" spans="16:16" x14ac:dyDescent="0.25">
      <c r="P14106" s="4"/>
    </row>
    <row r="14107" spans="16:16" x14ac:dyDescent="0.25">
      <c r="P14107" s="4"/>
    </row>
    <row r="14108" spans="16:16" x14ac:dyDescent="0.25">
      <c r="P14108" s="4"/>
    </row>
    <row r="14109" spans="16:16" x14ac:dyDescent="0.25">
      <c r="P14109" s="4"/>
    </row>
    <row r="14110" spans="16:16" x14ac:dyDescent="0.25">
      <c r="P14110" s="4"/>
    </row>
    <row r="14111" spans="16:16" x14ac:dyDescent="0.25">
      <c r="P14111" s="4"/>
    </row>
    <row r="14112" spans="16:16" x14ac:dyDescent="0.25">
      <c r="P14112" s="4"/>
    </row>
    <row r="14113" spans="16:16" x14ac:dyDescent="0.25">
      <c r="P14113" s="4"/>
    </row>
    <row r="14114" spans="16:16" x14ac:dyDescent="0.25">
      <c r="P14114" s="4"/>
    </row>
    <row r="14115" spans="16:16" x14ac:dyDescent="0.25">
      <c r="P14115" s="4"/>
    </row>
    <row r="14116" spans="16:16" x14ac:dyDescent="0.25">
      <c r="P14116" s="4"/>
    </row>
    <row r="14117" spans="16:16" x14ac:dyDescent="0.25">
      <c r="P14117" s="4"/>
    </row>
    <row r="14118" spans="16:16" x14ac:dyDescent="0.25">
      <c r="P14118" s="4"/>
    </row>
    <row r="14119" spans="16:16" x14ac:dyDescent="0.25">
      <c r="P14119" s="4"/>
    </row>
    <row r="14120" spans="16:16" x14ac:dyDescent="0.25">
      <c r="P14120" s="4"/>
    </row>
    <row r="14121" spans="16:16" x14ac:dyDescent="0.25">
      <c r="P14121" s="4"/>
    </row>
    <row r="14122" spans="16:16" x14ac:dyDescent="0.25">
      <c r="P14122" s="4"/>
    </row>
    <row r="14123" spans="16:16" x14ac:dyDescent="0.25">
      <c r="P14123" s="4"/>
    </row>
    <row r="14124" spans="16:16" x14ac:dyDescent="0.25">
      <c r="P14124" s="4"/>
    </row>
    <row r="14125" spans="16:16" x14ac:dyDescent="0.25">
      <c r="P14125" s="4"/>
    </row>
    <row r="14126" spans="16:16" x14ac:dyDescent="0.25">
      <c r="P14126" s="4"/>
    </row>
    <row r="14127" spans="16:16" x14ac:dyDescent="0.25">
      <c r="P14127" s="4"/>
    </row>
    <row r="14128" spans="16:16" x14ac:dyDescent="0.25">
      <c r="P14128" s="4"/>
    </row>
    <row r="14129" spans="16:16" x14ac:dyDescent="0.25">
      <c r="P14129" s="4"/>
    </row>
    <row r="14130" spans="16:16" x14ac:dyDescent="0.25">
      <c r="P14130" s="4"/>
    </row>
    <row r="14131" spans="16:16" x14ac:dyDescent="0.25">
      <c r="P14131" s="4"/>
    </row>
    <row r="14132" spans="16:16" x14ac:dyDescent="0.25">
      <c r="P14132" s="4"/>
    </row>
    <row r="14133" spans="16:16" x14ac:dyDescent="0.25">
      <c r="P14133" s="4"/>
    </row>
    <row r="14134" spans="16:16" x14ac:dyDescent="0.25">
      <c r="P14134" s="4"/>
    </row>
    <row r="14135" spans="16:16" x14ac:dyDescent="0.25">
      <c r="P14135" s="4"/>
    </row>
    <row r="14136" spans="16:16" x14ac:dyDescent="0.25">
      <c r="P14136" s="4"/>
    </row>
    <row r="14137" spans="16:16" x14ac:dyDescent="0.25">
      <c r="P14137" s="4"/>
    </row>
    <row r="14138" spans="16:16" x14ac:dyDescent="0.25">
      <c r="P14138" s="4"/>
    </row>
    <row r="14139" spans="16:16" x14ac:dyDescent="0.25">
      <c r="P14139" s="4"/>
    </row>
    <row r="14140" spans="16:16" x14ac:dyDescent="0.25">
      <c r="P14140" s="4"/>
    </row>
    <row r="14141" spans="16:16" x14ac:dyDescent="0.25">
      <c r="P14141" s="4"/>
    </row>
    <row r="14142" spans="16:16" x14ac:dyDescent="0.25">
      <c r="P14142" s="4"/>
    </row>
    <row r="14143" spans="16:16" x14ac:dyDescent="0.25">
      <c r="P14143" s="4"/>
    </row>
    <row r="14144" spans="16:16" x14ac:dyDescent="0.25">
      <c r="P14144" s="4"/>
    </row>
    <row r="14145" spans="16:16" x14ac:dyDescent="0.25">
      <c r="P14145" s="4"/>
    </row>
    <row r="14146" spans="16:16" x14ac:dyDescent="0.25">
      <c r="P14146" s="4"/>
    </row>
    <row r="14147" spans="16:16" x14ac:dyDescent="0.25">
      <c r="P14147" s="4"/>
    </row>
    <row r="14148" spans="16:16" x14ac:dyDescent="0.25">
      <c r="P14148" s="4"/>
    </row>
    <row r="14149" spans="16:16" x14ac:dyDescent="0.25">
      <c r="P14149" s="4"/>
    </row>
    <row r="14150" spans="16:16" x14ac:dyDescent="0.25">
      <c r="P14150" s="4"/>
    </row>
    <row r="14151" spans="16:16" x14ac:dyDescent="0.25">
      <c r="P14151" s="4"/>
    </row>
    <row r="14152" spans="16:16" x14ac:dyDescent="0.25">
      <c r="P14152" s="4"/>
    </row>
    <row r="14153" spans="16:16" x14ac:dyDescent="0.25">
      <c r="P14153" s="4"/>
    </row>
    <row r="14154" spans="16:16" x14ac:dyDescent="0.25">
      <c r="P14154" s="4"/>
    </row>
    <row r="14155" spans="16:16" x14ac:dyDescent="0.25">
      <c r="P14155" s="4"/>
    </row>
    <row r="14156" spans="16:16" x14ac:dyDescent="0.25">
      <c r="P14156" s="4"/>
    </row>
    <row r="14157" spans="16:16" x14ac:dyDescent="0.25">
      <c r="P14157" s="4"/>
    </row>
    <row r="14158" spans="16:16" x14ac:dyDescent="0.25">
      <c r="P14158" s="4"/>
    </row>
    <row r="14159" spans="16:16" x14ac:dyDescent="0.25">
      <c r="P14159" s="4"/>
    </row>
    <row r="14160" spans="16:16" x14ac:dyDescent="0.25">
      <c r="P14160" s="4"/>
    </row>
    <row r="14161" spans="16:16" x14ac:dyDescent="0.25">
      <c r="P14161" s="4"/>
    </row>
    <row r="14162" spans="16:16" x14ac:dyDescent="0.25">
      <c r="P14162" s="4"/>
    </row>
    <row r="14163" spans="16:16" x14ac:dyDescent="0.25">
      <c r="P14163" s="4"/>
    </row>
    <row r="14164" spans="16:16" x14ac:dyDescent="0.25">
      <c r="P14164" s="4"/>
    </row>
    <row r="14165" spans="16:16" x14ac:dyDescent="0.25">
      <c r="P14165" s="4"/>
    </row>
    <row r="14166" spans="16:16" x14ac:dyDescent="0.25">
      <c r="P14166" s="4"/>
    </row>
    <row r="14167" spans="16:16" x14ac:dyDescent="0.25">
      <c r="P14167" s="4"/>
    </row>
    <row r="14168" spans="16:16" x14ac:dyDescent="0.25">
      <c r="P14168" s="4"/>
    </row>
    <row r="14169" spans="16:16" x14ac:dyDescent="0.25">
      <c r="P14169" s="4"/>
    </row>
    <row r="14170" spans="16:16" x14ac:dyDescent="0.25">
      <c r="P14170" s="4"/>
    </row>
    <row r="14171" spans="16:16" x14ac:dyDescent="0.25">
      <c r="P14171" s="4"/>
    </row>
    <row r="14172" spans="16:16" x14ac:dyDescent="0.25">
      <c r="P14172" s="4"/>
    </row>
    <row r="14173" spans="16:16" x14ac:dyDescent="0.25">
      <c r="P14173" s="4"/>
    </row>
    <row r="14174" spans="16:16" x14ac:dyDescent="0.25">
      <c r="P14174" s="4"/>
    </row>
    <row r="14175" spans="16:16" x14ac:dyDescent="0.25">
      <c r="P14175" s="4"/>
    </row>
    <row r="14176" spans="16:16" x14ac:dyDescent="0.25">
      <c r="P14176" s="4"/>
    </row>
    <row r="14177" spans="16:16" x14ac:dyDescent="0.25">
      <c r="P14177" s="4"/>
    </row>
    <row r="14178" spans="16:16" x14ac:dyDescent="0.25">
      <c r="P14178" s="4"/>
    </row>
    <row r="14179" spans="16:16" x14ac:dyDescent="0.25">
      <c r="P14179" s="4"/>
    </row>
    <row r="14180" spans="16:16" x14ac:dyDescent="0.25">
      <c r="P14180" s="4"/>
    </row>
    <row r="14181" spans="16:16" x14ac:dyDescent="0.25">
      <c r="P14181" s="4"/>
    </row>
    <row r="14182" spans="16:16" x14ac:dyDescent="0.25">
      <c r="P14182" s="4"/>
    </row>
    <row r="14183" spans="16:16" x14ac:dyDescent="0.25">
      <c r="P14183" s="4"/>
    </row>
    <row r="14184" spans="16:16" x14ac:dyDescent="0.25">
      <c r="P14184" s="4"/>
    </row>
    <row r="14185" spans="16:16" x14ac:dyDescent="0.25">
      <c r="P14185" s="4"/>
    </row>
    <row r="14186" spans="16:16" x14ac:dyDescent="0.25">
      <c r="P14186" s="4"/>
    </row>
    <row r="14187" spans="16:16" x14ac:dyDescent="0.25">
      <c r="P14187" s="4"/>
    </row>
    <row r="14188" spans="16:16" x14ac:dyDescent="0.25">
      <c r="P14188" s="4"/>
    </row>
    <row r="14189" spans="16:16" x14ac:dyDescent="0.25">
      <c r="P14189" s="4"/>
    </row>
    <row r="14190" spans="16:16" x14ac:dyDescent="0.25">
      <c r="P14190" s="4"/>
    </row>
    <row r="14191" spans="16:16" x14ac:dyDescent="0.25">
      <c r="P14191" s="4"/>
    </row>
    <row r="14192" spans="16:16" x14ac:dyDescent="0.25">
      <c r="P14192" s="4"/>
    </row>
    <row r="14193" spans="16:16" x14ac:dyDescent="0.25">
      <c r="P14193" s="4"/>
    </row>
    <row r="14194" spans="16:16" x14ac:dyDescent="0.25">
      <c r="P14194" s="4"/>
    </row>
    <row r="14195" spans="16:16" x14ac:dyDescent="0.25">
      <c r="P14195" s="4"/>
    </row>
    <row r="14196" spans="16:16" x14ac:dyDescent="0.25">
      <c r="P14196" s="4"/>
    </row>
    <row r="14197" spans="16:16" x14ac:dyDescent="0.25">
      <c r="P14197" s="4"/>
    </row>
    <row r="14198" spans="16:16" x14ac:dyDescent="0.25">
      <c r="P14198" s="4"/>
    </row>
    <row r="14199" spans="16:16" x14ac:dyDescent="0.25">
      <c r="P14199" s="4"/>
    </row>
    <row r="14200" spans="16:16" x14ac:dyDescent="0.25">
      <c r="P14200" s="4"/>
    </row>
    <row r="14201" spans="16:16" x14ac:dyDescent="0.25">
      <c r="P14201" s="4"/>
    </row>
    <row r="14202" spans="16:16" x14ac:dyDescent="0.25">
      <c r="P14202" s="4"/>
    </row>
    <row r="14203" spans="16:16" x14ac:dyDescent="0.25">
      <c r="P14203" s="4"/>
    </row>
    <row r="14204" spans="16:16" x14ac:dyDescent="0.25">
      <c r="P14204" s="4"/>
    </row>
    <row r="14205" spans="16:16" x14ac:dyDescent="0.25">
      <c r="P14205" s="4"/>
    </row>
    <row r="14206" spans="16:16" x14ac:dyDescent="0.25">
      <c r="P14206" s="4"/>
    </row>
    <row r="14207" spans="16:16" x14ac:dyDescent="0.25">
      <c r="P14207" s="4"/>
    </row>
    <row r="14208" spans="16:16" x14ac:dyDescent="0.25">
      <c r="P14208" s="4"/>
    </row>
    <row r="14209" spans="16:16" x14ac:dyDescent="0.25">
      <c r="P14209" s="4"/>
    </row>
    <row r="14210" spans="16:16" x14ac:dyDescent="0.25">
      <c r="P14210" s="4"/>
    </row>
    <row r="14211" spans="16:16" x14ac:dyDescent="0.25">
      <c r="P14211" s="4"/>
    </row>
    <row r="14212" spans="16:16" x14ac:dyDescent="0.25">
      <c r="P14212" s="4"/>
    </row>
    <row r="14213" spans="16:16" x14ac:dyDescent="0.25">
      <c r="P14213" s="4"/>
    </row>
    <row r="14214" spans="16:16" x14ac:dyDescent="0.25">
      <c r="P14214" s="4"/>
    </row>
    <row r="14215" spans="16:16" x14ac:dyDescent="0.25">
      <c r="P14215" s="4"/>
    </row>
    <row r="14216" spans="16:16" x14ac:dyDescent="0.25">
      <c r="P14216" s="4"/>
    </row>
    <row r="14217" spans="16:16" x14ac:dyDescent="0.25">
      <c r="P14217" s="4"/>
    </row>
    <row r="14218" spans="16:16" x14ac:dyDescent="0.25">
      <c r="P14218" s="4"/>
    </row>
    <row r="14219" spans="16:16" x14ac:dyDescent="0.25">
      <c r="P14219" s="4"/>
    </row>
    <row r="14220" spans="16:16" x14ac:dyDescent="0.25">
      <c r="P14220" s="4"/>
    </row>
    <row r="14221" spans="16:16" x14ac:dyDescent="0.25">
      <c r="P14221" s="4"/>
    </row>
    <row r="14222" spans="16:16" x14ac:dyDescent="0.25">
      <c r="P14222" s="4"/>
    </row>
    <row r="14223" spans="16:16" x14ac:dyDescent="0.25">
      <c r="P14223" s="4"/>
    </row>
    <row r="14224" spans="16:16" x14ac:dyDescent="0.25">
      <c r="P14224" s="4"/>
    </row>
    <row r="14225" spans="16:16" x14ac:dyDescent="0.25">
      <c r="P14225" s="4"/>
    </row>
    <row r="14226" spans="16:16" x14ac:dyDescent="0.25">
      <c r="P14226" s="4"/>
    </row>
    <row r="14227" spans="16:16" x14ac:dyDescent="0.25">
      <c r="P14227" s="4"/>
    </row>
    <row r="14228" spans="16:16" x14ac:dyDescent="0.25">
      <c r="P14228" s="4"/>
    </row>
    <row r="14229" spans="16:16" x14ac:dyDescent="0.25">
      <c r="P14229" s="4"/>
    </row>
    <row r="14230" spans="16:16" x14ac:dyDescent="0.25">
      <c r="P14230" s="4"/>
    </row>
    <row r="14231" spans="16:16" x14ac:dyDescent="0.25">
      <c r="P14231" s="4"/>
    </row>
    <row r="14232" spans="16:16" x14ac:dyDescent="0.25">
      <c r="P14232" s="4"/>
    </row>
    <row r="14233" spans="16:16" x14ac:dyDescent="0.25">
      <c r="P14233" s="4"/>
    </row>
    <row r="14234" spans="16:16" x14ac:dyDescent="0.25">
      <c r="P14234" s="4"/>
    </row>
    <row r="14235" spans="16:16" x14ac:dyDescent="0.25">
      <c r="P14235" s="4"/>
    </row>
    <row r="14236" spans="16:16" x14ac:dyDescent="0.25">
      <c r="P14236" s="4"/>
    </row>
    <row r="14237" spans="16:16" x14ac:dyDescent="0.25">
      <c r="P14237" s="4"/>
    </row>
    <row r="14238" spans="16:16" x14ac:dyDescent="0.25">
      <c r="P14238" s="4"/>
    </row>
    <row r="14239" spans="16:16" x14ac:dyDescent="0.25">
      <c r="P14239" s="4"/>
    </row>
    <row r="14240" spans="16:16" x14ac:dyDescent="0.25">
      <c r="P14240" s="4"/>
    </row>
    <row r="14241" spans="16:16" x14ac:dyDescent="0.25">
      <c r="P14241" s="4"/>
    </row>
    <row r="14242" spans="16:16" x14ac:dyDescent="0.25">
      <c r="P14242" s="4"/>
    </row>
    <row r="14243" spans="16:16" x14ac:dyDescent="0.25">
      <c r="P14243" s="4"/>
    </row>
    <row r="14244" spans="16:16" x14ac:dyDescent="0.25">
      <c r="P14244" s="4"/>
    </row>
    <row r="14245" spans="16:16" x14ac:dyDescent="0.25">
      <c r="P14245" s="4"/>
    </row>
    <row r="14246" spans="16:16" x14ac:dyDescent="0.25">
      <c r="P14246" s="4"/>
    </row>
    <row r="14247" spans="16:16" x14ac:dyDescent="0.25">
      <c r="P14247" s="4"/>
    </row>
    <row r="14248" spans="16:16" x14ac:dyDescent="0.25">
      <c r="P14248" s="4"/>
    </row>
    <row r="14249" spans="16:16" x14ac:dyDescent="0.25">
      <c r="P14249" s="4"/>
    </row>
    <row r="14250" spans="16:16" x14ac:dyDescent="0.25">
      <c r="P14250" s="4"/>
    </row>
    <row r="14251" spans="16:16" x14ac:dyDescent="0.25">
      <c r="P14251" s="4"/>
    </row>
    <row r="14252" spans="16:16" x14ac:dyDescent="0.25">
      <c r="P14252" s="4"/>
    </row>
    <row r="14253" spans="16:16" x14ac:dyDescent="0.25">
      <c r="P14253" s="4"/>
    </row>
    <row r="14254" spans="16:16" x14ac:dyDescent="0.25">
      <c r="P14254" s="4"/>
    </row>
    <row r="14255" spans="16:16" x14ac:dyDescent="0.25">
      <c r="P14255" s="4"/>
    </row>
    <row r="14256" spans="16:16" x14ac:dyDescent="0.25">
      <c r="P14256" s="4"/>
    </row>
    <row r="14257" spans="16:16" x14ac:dyDescent="0.25">
      <c r="P14257" s="4"/>
    </row>
    <row r="14258" spans="16:16" x14ac:dyDescent="0.25">
      <c r="P14258" s="4"/>
    </row>
    <row r="14259" spans="16:16" x14ac:dyDescent="0.25">
      <c r="P14259" s="4"/>
    </row>
    <row r="14260" spans="16:16" x14ac:dyDescent="0.25">
      <c r="P14260" s="4"/>
    </row>
    <row r="14261" spans="16:16" x14ac:dyDescent="0.25">
      <c r="P14261" s="4"/>
    </row>
    <row r="14262" spans="16:16" x14ac:dyDescent="0.25">
      <c r="P14262" s="4"/>
    </row>
    <row r="14263" spans="16:16" x14ac:dyDescent="0.25">
      <c r="P14263" s="4"/>
    </row>
    <row r="14264" spans="16:16" x14ac:dyDescent="0.25">
      <c r="P14264" s="4"/>
    </row>
    <row r="14265" spans="16:16" x14ac:dyDescent="0.25">
      <c r="P14265" s="4"/>
    </row>
    <row r="14266" spans="16:16" x14ac:dyDescent="0.25">
      <c r="P14266" s="4"/>
    </row>
    <row r="14267" spans="16:16" x14ac:dyDescent="0.25">
      <c r="P14267" s="4"/>
    </row>
    <row r="14268" spans="16:16" x14ac:dyDescent="0.25">
      <c r="P14268" s="4"/>
    </row>
    <row r="14269" spans="16:16" x14ac:dyDescent="0.25">
      <c r="P14269" s="4"/>
    </row>
    <row r="14270" spans="16:16" x14ac:dyDescent="0.25">
      <c r="P14270" s="4"/>
    </row>
    <row r="14271" spans="16:16" x14ac:dyDescent="0.25">
      <c r="P14271" s="4"/>
    </row>
    <row r="14272" spans="16:16" x14ac:dyDescent="0.25">
      <c r="P14272" s="4"/>
    </row>
    <row r="14273" spans="16:16" x14ac:dyDescent="0.25">
      <c r="P14273" s="4"/>
    </row>
    <row r="14274" spans="16:16" x14ac:dyDescent="0.25">
      <c r="P14274" s="4"/>
    </row>
    <row r="14275" spans="16:16" x14ac:dyDescent="0.25">
      <c r="P14275" s="4"/>
    </row>
    <row r="14276" spans="16:16" x14ac:dyDescent="0.25">
      <c r="P14276" s="4"/>
    </row>
    <row r="14277" spans="16:16" x14ac:dyDescent="0.25">
      <c r="P14277" s="4"/>
    </row>
    <row r="14278" spans="16:16" x14ac:dyDescent="0.25">
      <c r="P14278" s="4"/>
    </row>
    <row r="14279" spans="16:16" x14ac:dyDescent="0.25">
      <c r="P14279" s="4"/>
    </row>
    <row r="14280" spans="16:16" x14ac:dyDescent="0.25">
      <c r="P14280" s="4"/>
    </row>
    <row r="14281" spans="16:16" x14ac:dyDescent="0.25">
      <c r="P14281" s="4"/>
    </row>
    <row r="14282" spans="16:16" x14ac:dyDescent="0.25">
      <c r="P14282" s="4"/>
    </row>
    <row r="14283" spans="16:16" x14ac:dyDescent="0.25">
      <c r="P14283" s="4"/>
    </row>
    <row r="14284" spans="16:16" x14ac:dyDescent="0.25">
      <c r="P14284" s="4"/>
    </row>
    <row r="14285" spans="16:16" x14ac:dyDescent="0.25">
      <c r="P14285" s="4"/>
    </row>
    <row r="14286" spans="16:16" x14ac:dyDescent="0.25">
      <c r="P14286" s="4"/>
    </row>
    <row r="14287" spans="16:16" x14ac:dyDescent="0.25">
      <c r="P14287" s="4"/>
    </row>
    <row r="14288" spans="16:16" x14ac:dyDescent="0.25">
      <c r="P14288" s="4"/>
    </row>
    <row r="14289" spans="16:16" x14ac:dyDescent="0.25">
      <c r="P14289" s="4"/>
    </row>
    <row r="14290" spans="16:16" x14ac:dyDescent="0.25">
      <c r="P14290" s="4"/>
    </row>
    <row r="14291" spans="16:16" x14ac:dyDescent="0.25">
      <c r="P14291" s="4"/>
    </row>
    <row r="14292" spans="16:16" x14ac:dyDescent="0.25">
      <c r="P14292" s="4"/>
    </row>
    <row r="14293" spans="16:16" x14ac:dyDescent="0.25">
      <c r="P14293" s="4"/>
    </row>
    <row r="14294" spans="16:16" x14ac:dyDescent="0.25">
      <c r="P14294" s="4"/>
    </row>
    <row r="14295" spans="16:16" x14ac:dyDescent="0.25">
      <c r="P14295" s="4"/>
    </row>
    <row r="14296" spans="16:16" x14ac:dyDescent="0.25">
      <c r="P14296" s="4"/>
    </row>
    <row r="14297" spans="16:16" x14ac:dyDescent="0.25">
      <c r="P14297" s="4"/>
    </row>
    <row r="14298" spans="16:16" x14ac:dyDescent="0.25">
      <c r="P14298" s="4"/>
    </row>
    <row r="14299" spans="16:16" x14ac:dyDescent="0.25">
      <c r="P14299" s="4"/>
    </row>
    <row r="14300" spans="16:16" x14ac:dyDescent="0.25">
      <c r="P14300" s="4"/>
    </row>
    <row r="14301" spans="16:16" x14ac:dyDescent="0.25">
      <c r="P14301" s="4"/>
    </row>
    <row r="14302" spans="16:16" x14ac:dyDescent="0.25">
      <c r="P14302" s="4"/>
    </row>
    <row r="14303" spans="16:16" x14ac:dyDescent="0.25">
      <c r="P14303" s="4"/>
    </row>
    <row r="14304" spans="16:16" x14ac:dyDescent="0.25">
      <c r="P14304" s="4"/>
    </row>
    <row r="14305" spans="16:16" x14ac:dyDescent="0.25">
      <c r="P14305" s="4"/>
    </row>
    <row r="14306" spans="16:16" x14ac:dyDescent="0.25">
      <c r="P14306" s="4"/>
    </row>
    <row r="14307" spans="16:16" x14ac:dyDescent="0.25">
      <c r="P14307" s="4"/>
    </row>
    <row r="14308" spans="16:16" x14ac:dyDescent="0.25">
      <c r="P14308" s="4"/>
    </row>
    <row r="14309" spans="16:16" x14ac:dyDescent="0.25">
      <c r="P14309" s="4"/>
    </row>
    <row r="14310" spans="16:16" x14ac:dyDescent="0.25">
      <c r="P14310" s="4"/>
    </row>
    <row r="14311" spans="16:16" x14ac:dyDescent="0.25">
      <c r="P14311" s="4"/>
    </row>
    <row r="14312" spans="16:16" x14ac:dyDescent="0.25">
      <c r="P14312" s="4"/>
    </row>
    <row r="14313" spans="16:16" x14ac:dyDescent="0.25">
      <c r="P14313" s="4"/>
    </row>
    <row r="14314" spans="16:16" x14ac:dyDescent="0.25">
      <c r="P14314" s="4"/>
    </row>
    <row r="14315" spans="16:16" x14ac:dyDescent="0.25">
      <c r="P14315" s="4"/>
    </row>
    <row r="14316" spans="16:16" x14ac:dyDescent="0.25">
      <c r="P14316" s="4"/>
    </row>
    <row r="14317" spans="16:16" x14ac:dyDescent="0.25">
      <c r="P14317" s="4"/>
    </row>
    <row r="14318" spans="16:16" x14ac:dyDescent="0.25">
      <c r="P14318" s="4"/>
    </row>
    <row r="14319" spans="16:16" x14ac:dyDescent="0.25">
      <c r="P14319" s="4"/>
    </row>
    <row r="14320" spans="16:16" x14ac:dyDescent="0.25">
      <c r="P14320" s="4"/>
    </row>
    <row r="14321" spans="16:16" x14ac:dyDescent="0.25">
      <c r="P14321" s="4"/>
    </row>
    <row r="14322" spans="16:16" x14ac:dyDescent="0.25">
      <c r="P14322" s="4"/>
    </row>
    <row r="14323" spans="16:16" x14ac:dyDescent="0.25">
      <c r="P14323" s="4"/>
    </row>
    <row r="14324" spans="16:16" x14ac:dyDescent="0.25">
      <c r="P14324" s="4"/>
    </row>
    <row r="14325" spans="16:16" x14ac:dyDescent="0.25">
      <c r="P14325" s="4"/>
    </row>
    <row r="14326" spans="16:16" x14ac:dyDescent="0.25">
      <c r="P14326" s="4"/>
    </row>
    <row r="14327" spans="16:16" x14ac:dyDescent="0.25">
      <c r="P14327" s="4"/>
    </row>
    <row r="14328" spans="16:16" x14ac:dyDescent="0.25">
      <c r="P14328" s="4"/>
    </row>
    <row r="14329" spans="16:16" x14ac:dyDescent="0.25">
      <c r="P14329" s="4"/>
    </row>
    <row r="14330" spans="16:16" x14ac:dyDescent="0.25">
      <c r="P14330" s="4"/>
    </row>
    <row r="14331" spans="16:16" x14ac:dyDescent="0.25">
      <c r="P14331" s="4"/>
    </row>
    <row r="14332" spans="16:16" x14ac:dyDescent="0.25">
      <c r="P14332" s="4"/>
    </row>
    <row r="14333" spans="16:16" x14ac:dyDescent="0.25">
      <c r="P14333" s="4"/>
    </row>
    <row r="14334" spans="16:16" x14ac:dyDescent="0.25">
      <c r="P14334" s="4"/>
    </row>
    <row r="14335" spans="16:16" x14ac:dyDescent="0.25">
      <c r="P14335" s="4"/>
    </row>
    <row r="14336" spans="16:16" x14ac:dyDescent="0.25">
      <c r="P14336" s="4"/>
    </row>
    <row r="14337" spans="16:16" x14ac:dyDescent="0.25">
      <c r="P14337" s="4"/>
    </row>
    <row r="14338" spans="16:16" x14ac:dyDescent="0.25">
      <c r="P14338" s="4"/>
    </row>
    <row r="14339" spans="16:16" x14ac:dyDescent="0.25">
      <c r="P14339" s="4"/>
    </row>
    <row r="14340" spans="16:16" x14ac:dyDescent="0.25">
      <c r="P14340" s="4"/>
    </row>
    <row r="14341" spans="16:16" x14ac:dyDescent="0.25">
      <c r="P14341" s="4"/>
    </row>
    <row r="14342" spans="16:16" x14ac:dyDescent="0.25">
      <c r="P14342" s="4"/>
    </row>
    <row r="14343" spans="16:16" x14ac:dyDescent="0.25">
      <c r="P14343" s="4"/>
    </row>
    <row r="14344" spans="16:16" x14ac:dyDescent="0.25">
      <c r="P14344" s="4"/>
    </row>
    <row r="14345" spans="16:16" x14ac:dyDescent="0.25">
      <c r="P14345" s="4"/>
    </row>
    <row r="14346" spans="16:16" x14ac:dyDescent="0.25">
      <c r="P14346" s="4"/>
    </row>
    <row r="14347" spans="16:16" x14ac:dyDescent="0.25">
      <c r="P14347" s="4"/>
    </row>
    <row r="14348" spans="16:16" x14ac:dyDescent="0.25">
      <c r="P14348" s="4"/>
    </row>
    <row r="14349" spans="16:16" x14ac:dyDescent="0.25">
      <c r="P14349" s="4"/>
    </row>
    <row r="14350" spans="16:16" x14ac:dyDescent="0.25">
      <c r="P14350" s="4"/>
    </row>
    <row r="14351" spans="16:16" x14ac:dyDescent="0.25">
      <c r="P14351" s="4"/>
    </row>
    <row r="14352" spans="16:16" x14ac:dyDescent="0.25">
      <c r="P14352" s="4"/>
    </row>
    <row r="14353" spans="16:16" x14ac:dyDescent="0.25">
      <c r="P14353" s="4"/>
    </row>
    <row r="14354" spans="16:16" x14ac:dyDescent="0.25">
      <c r="P14354" s="4"/>
    </row>
    <row r="14355" spans="16:16" x14ac:dyDescent="0.25">
      <c r="P14355" s="4"/>
    </row>
    <row r="14356" spans="16:16" x14ac:dyDescent="0.25">
      <c r="P14356" s="4"/>
    </row>
    <row r="14357" spans="16:16" x14ac:dyDescent="0.25">
      <c r="P14357" s="4"/>
    </row>
    <row r="14358" spans="16:16" x14ac:dyDescent="0.25">
      <c r="P14358" s="4"/>
    </row>
    <row r="14359" spans="16:16" x14ac:dyDescent="0.25">
      <c r="P14359" s="4"/>
    </row>
    <row r="14360" spans="16:16" x14ac:dyDescent="0.25">
      <c r="P14360" s="4"/>
    </row>
    <row r="14361" spans="16:16" x14ac:dyDescent="0.25">
      <c r="P14361" s="4"/>
    </row>
    <row r="14362" spans="16:16" x14ac:dyDescent="0.25">
      <c r="P14362" s="4"/>
    </row>
    <row r="14363" spans="16:16" x14ac:dyDescent="0.25">
      <c r="P14363" s="4"/>
    </row>
    <row r="14364" spans="16:16" x14ac:dyDescent="0.25">
      <c r="P14364" s="4"/>
    </row>
    <row r="14365" spans="16:16" x14ac:dyDescent="0.25">
      <c r="P14365" s="4"/>
    </row>
    <row r="14366" spans="16:16" x14ac:dyDescent="0.25">
      <c r="P14366" s="4"/>
    </row>
    <row r="14367" spans="16:16" x14ac:dyDescent="0.25">
      <c r="P14367" s="4"/>
    </row>
    <row r="14368" spans="16:16" x14ac:dyDescent="0.25">
      <c r="P14368" s="4"/>
    </row>
    <row r="14369" spans="16:16" x14ac:dyDescent="0.25">
      <c r="P14369" s="4"/>
    </row>
    <row r="14370" spans="16:16" x14ac:dyDescent="0.25">
      <c r="P14370" s="4"/>
    </row>
    <row r="14371" spans="16:16" x14ac:dyDescent="0.25">
      <c r="P14371" s="4"/>
    </row>
    <row r="14372" spans="16:16" x14ac:dyDescent="0.25">
      <c r="P14372" s="4"/>
    </row>
    <row r="14373" spans="16:16" x14ac:dyDescent="0.25">
      <c r="P14373" s="4"/>
    </row>
    <row r="14374" spans="16:16" x14ac:dyDescent="0.25">
      <c r="P14374" s="4"/>
    </row>
    <row r="14375" spans="16:16" x14ac:dyDescent="0.25">
      <c r="P14375" s="4"/>
    </row>
    <row r="14376" spans="16:16" x14ac:dyDescent="0.25">
      <c r="P14376" s="4"/>
    </row>
    <row r="14377" spans="16:16" x14ac:dyDescent="0.25">
      <c r="P14377" s="4"/>
    </row>
    <row r="14378" spans="16:16" x14ac:dyDescent="0.25">
      <c r="P14378" s="4"/>
    </row>
    <row r="14379" spans="16:16" x14ac:dyDescent="0.25">
      <c r="P14379" s="4"/>
    </row>
    <row r="14380" spans="16:16" x14ac:dyDescent="0.25">
      <c r="P14380" s="4"/>
    </row>
    <row r="14381" spans="16:16" x14ac:dyDescent="0.25">
      <c r="P14381" s="4"/>
    </row>
    <row r="14382" spans="16:16" x14ac:dyDescent="0.25">
      <c r="P14382" s="4"/>
    </row>
    <row r="14383" spans="16:16" x14ac:dyDescent="0.25">
      <c r="P14383" s="4"/>
    </row>
    <row r="14384" spans="16:16" x14ac:dyDescent="0.25">
      <c r="P14384" s="4"/>
    </row>
    <row r="14385" spans="16:16" x14ac:dyDescent="0.25">
      <c r="P14385" s="4"/>
    </row>
    <row r="14386" spans="16:16" x14ac:dyDescent="0.25">
      <c r="P14386" s="4"/>
    </row>
    <row r="14387" spans="16:16" x14ac:dyDescent="0.25">
      <c r="P14387" s="4"/>
    </row>
    <row r="14388" spans="16:16" x14ac:dyDescent="0.25">
      <c r="P14388" s="4"/>
    </row>
    <row r="14389" spans="16:16" x14ac:dyDescent="0.25">
      <c r="P14389" s="4"/>
    </row>
    <row r="14390" spans="16:16" x14ac:dyDescent="0.25">
      <c r="P14390" s="4"/>
    </row>
    <row r="14391" spans="16:16" x14ac:dyDescent="0.25">
      <c r="P14391" s="4"/>
    </row>
    <row r="14392" spans="16:16" x14ac:dyDescent="0.25">
      <c r="P14392" s="4"/>
    </row>
    <row r="14393" spans="16:16" x14ac:dyDescent="0.25">
      <c r="P14393" s="4"/>
    </row>
    <row r="14394" spans="16:16" x14ac:dyDescent="0.25">
      <c r="P14394" s="4"/>
    </row>
    <row r="14395" spans="16:16" x14ac:dyDescent="0.25">
      <c r="P14395" s="4"/>
    </row>
    <row r="14396" spans="16:16" x14ac:dyDescent="0.25">
      <c r="P14396" s="4"/>
    </row>
    <row r="14397" spans="16:16" x14ac:dyDescent="0.25">
      <c r="P14397" s="4"/>
    </row>
    <row r="14398" spans="16:16" x14ac:dyDescent="0.25">
      <c r="P14398" s="4"/>
    </row>
    <row r="14399" spans="16:16" x14ac:dyDescent="0.25">
      <c r="P14399" s="4"/>
    </row>
    <row r="14400" spans="16:16" x14ac:dyDescent="0.25">
      <c r="P14400" s="4"/>
    </row>
    <row r="14401" spans="16:16" x14ac:dyDescent="0.25">
      <c r="P14401" s="4"/>
    </row>
    <row r="14402" spans="16:16" x14ac:dyDescent="0.25">
      <c r="P14402" s="4"/>
    </row>
    <row r="14403" spans="16:16" x14ac:dyDescent="0.25">
      <c r="P14403" s="4"/>
    </row>
    <row r="14404" spans="16:16" x14ac:dyDescent="0.25">
      <c r="P14404" s="4"/>
    </row>
    <row r="14405" spans="16:16" x14ac:dyDescent="0.25">
      <c r="P14405" s="4"/>
    </row>
    <row r="14406" spans="16:16" x14ac:dyDescent="0.25">
      <c r="P14406" s="4"/>
    </row>
    <row r="14407" spans="16:16" x14ac:dyDescent="0.25">
      <c r="P14407" s="4"/>
    </row>
    <row r="14408" spans="16:16" x14ac:dyDescent="0.25">
      <c r="P14408" s="4"/>
    </row>
    <row r="14409" spans="16:16" x14ac:dyDescent="0.25">
      <c r="P14409" s="4"/>
    </row>
    <row r="14410" spans="16:16" x14ac:dyDescent="0.25">
      <c r="P14410" s="4"/>
    </row>
    <row r="14411" spans="16:16" x14ac:dyDescent="0.25">
      <c r="P14411" s="4"/>
    </row>
    <row r="14412" spans="16:16" x14ac:dyDescent="0.25">
      <c r="P14412" s="4"/>
    </row>
    <row r="14413" spans="16:16" x14ac:dyDescent="0.25">
      <c r="P14413" s="4"/>
    </row>
    <row r="14414" spans="16:16" x14ac:dyDescent="0.25">
      <c r="P14414" s="4"/>
    </row>
    <row r="14415" spans="16:16" x14ac:dyDescent="0.25">
      <c r="P14415" s="4"/>
    </row>
    <row r="14416" spans="16:16" x14ac:dyDescent="0.25">
      <c r="P14416" s="4"/>
    </row>
    <row r="14417" spans="16:16" x14ac:dyDescent="0.25">
      <c r="P14417" s="4"/>
    </row>
    <row r="14418" spans="16:16" x14ac:dyDescent="0.25">
      <c r="P14418" s="4"/>
    </row>
    <row r="14419" spans="16:16" x14ac:dyDescent="0.25">
      <c r="P14419" s="4"/>
    </row>
    <row r="14420" spans="16:16" x14ac:dyDescent="0.25">
      <c r="P14420" s="4"/>
    </row>
    <row r="14421" spans="16:16" x14ac:dyDescent="0.25">
      <c r="P14421" s="4"/>
    </row>
    <row r="14422" spans="16:16" x14ac:dyDescent="0.25">
      <c r="P14422" s="4"/>
    </row>
    <row r="14423" spans="16:16" x14ac:dyDescent="0.25">
      <c r="P14423" s="4"/>
    </row>
    <row r="14424" spans="16:16" x14ac:dyDescent="0.25">
      <c r="P14424" s="4"/>
    </row>
    <row r="14425" spans="16:16" x14ac:dyDescent="0.25">
      <c r="P14425" s="4"/>
    </row>
    <row r="14426" spans="16:16" x14ac:dyDescent="0.25">
      <c r="P14426" s="4"/>
    </row>
    <row r="14427" spans="16:16" x14ac:dyDescent="0.25">
      <c r="P14427" s="4"/>
    </row>
    <row r="14428" spans="16:16" x14ac:dyDescent="0.25">
      <c r="P14428" s="4"/>
    </row>
    <row r="14429" spans="16:16" x14ac:dyDescent="0.25">
      <c r="P14429" s="4"/>
    </row>
    <row r="14430" spans="16:16" x14ac:dyDescent="0.25">
      <c r="P14430" s="4"/>
    </row>
    <row r="14431" spans="16:16" x14ac:dyDescent="0.25">
      <c r="P14431" s="4"/>
    </row>
    <row r="14432" spans="16:16" x14ac:dyDescent="0.25">
      <c r="P14432" s="4"/>
    </row>
    <row r="14433" spans="16:16" x14ac:dyDescent="0.25">
      <c r="P14433" s="4"/>
    </row>
    <row r="14434" spans="16:16" x14ac:dyDescent="0.25">
      <c r="P14434" s="4"/>
    </row>
    <row r="14435" spans="16:16" x14ac:dyDescent="0.25">
      <c r="P14435" s="4"/>
    </row>
    <row r="14436" spans="16:16" x14ac:dyDescent="0.25">
      <c r="P14436" s="4"/>
    </row>
    <row r="14437" spans="16:16" x14ac:dyDescent="0.25">
      <c r="P14437" s="4"/>
    </row>
    <row r="14438" spans="16:16" x14ac:dyDescent="0.25">
      <c r="P14438" s="4"/>
    </row>
    <row r="14439" spans="16:16" x14ac:dyDescent="0.25">
      <c r="P14439" s="4"/>
    </row>
    <row r="14440" spans="16:16" x14ac:dyDescent="0.25">
      <c r="P14440" s="4"/>
    </row>
    <row r="14441" spans="16:16" x14ac:dyDescent="0.25">
      <c r="P14441" s="4"/>
    </row>
    <row r="14442" spans="16:16" x14ac:dyDescent="0.25">
      <c r="P14442" s="4"/>
    </row>
    <row r="14443" spans="16:16" x14ac:dyDescent="0.25">
      <c r="P14443" s="4"/>
    </row>
    <row r="14444" spans="16:16" x14ac:dyDescent="0.25">
      <c r="P14444" s="4"/>
    </row>
    <row r="14445" spans="16:16" x14ac:dyDescent="0.25">
      <c r="P14445" s="4"/>
    </row>
    <row r="14446" spans="16:16" x14ac:dyDescent="0.25">
      <c r="P14446" s="4"/>
    </row>
    <row r="14447" spans="16:16" x14ac:dyDescent="0.25">
      <c r="P14447" s="4"/>
    </row>
    <row r="14448" spans="16:16" x14ac:dyDescent="0.25">
      <c r="P14448" s="4"/>
    </row>
    <row r="14449" spans="16:16" x14ac:dyDescent="0.25">
      <c r="P14449" s="4"/>
    </row>
    <row r="14450" spans="16:16" x14ac:dyDescent="0.25">
      <c r="P14450" s="4"/>
    </row>
    <row r="14451" spans="16:16" x14ac:dyDescent="0.25">
      <c r="P14451" s="4"/>
    </row>
    <row r="14452" spans="16:16" x14ac:dyDescent="0.25">
      <c r="P14452" s="4"/>
    </row>
    <row r="14453" spans="16:16" x14ac:dyDescent="0.25">
      <c r="P14453" s="4"/>
    </row>
    <row r="14454" spans="16:16" x14ac:dyDescent="0.25">
      <c r="P14454" s="4"/>
    </row>
    <row r="14455" spans="16:16" x14ac:dyDescent="0.25">
      <c r="P14455" s="4"/>
    </row>
    <row r="14456" spans="16:16" x14ac:dyDescent="0.25">
      <c r="P14456" s="4"/>
    </row>
    <row r="14457" spans="16:16" x14ac:dyDescent="0.25">
      <c r="P14457" s="4"/>
    </row>
    <row r="14458" spans="16:16" x14ac:dyDescent="0.25">
      <c r="P14458" s="4"/>
    </row>
    <row r="14459" spans="16:16" x14ac:dyDescent="0.25">
      <c r="P14459" s="4"/>
    </row>
    <row r="14460" spans="16:16" x14ac:dyDescent="0.25">
      <c r="P14460" s="4"/>
    </row>
    <row r="14461" spans="16:16" x14ac:dyDescent="0.25">
      <c r="P14461" s="4"/>
    </row>
    <row r="14462" spans="16:16" x14ac:dyDescent="0.25">
      <c r="P14462" s="4"/>
    </row>
    <row r="14463" spans="16:16" x14ac:dyDescent="0.25">
      <c r="P14463" s="4"/>
    </row>
    <row r="14464" spans="16:16" x14ac:dyDescent="0.25">
      <c r="P14464" s="4"/>
    </row>
    <row r="14465" spans="16:16" x14ac:dyDescent="0.25">
      <c r="P14465" s="4"/>
    </row>
    <row r="14466" spans="16:16" x14ac:dyDescent="0.25">
      <c r="P14466" s="4"/>
    </row>
    <row r="14467" spans="16:16" x14ac:dyDescent="0.25">
      <c r="P14467" s="4"/>
    </row>
    <row r="14468" spans="16:16" x14ac:dyDescent="0.25">
      <c r="P14468" s="4"/>
    </row>
    <row r="14469" spans="16:16" x14ac:dyDescent="0.25">
      <c r="P14469" s="4"/>
    </row>
    <row r="14470" spans="16:16" x14ac:dyDescent="0.25">
      <c r="P14470" s="4"/>
    </row>
    <row r="14471" spans="16:16" x14ac:dyDescent="0.25">
      <c r="P14471" s="4"/>
    </row>
    <row r="14472" spans="16:16" x14ac:dyDescent="0.25">
      <c r="P14472" s="4"/>
    </row>
    <row r="14473" spans="16:16" x14ac:dyDescent="0.25">
      <c r="P14473" s="4"/>
    </row>
    <row r="14474" spans="16:16" x14ac:dyDescent="0.25">
      <c r="P14474" s="4"/>
    </row>
    <row r="14475" spans="16:16" x14ac:dyDescent="0.25">
      <c r="P14475" s="4"/>
    </row>
    <row r="14476" spans="16:16" x14ac:dyDescent="0.25">
      <c r="P14476" s="4"/>
    </row>
    <row r="14477" spans="16:16" x14ac:dyDescent="0.25">
      <c r="P14477" s="4"/>
    </row>
    <row r="14478" spans="16:16" x14ac:dyDescent="0.25">
      <c r="P14478" s="4"/>
    </row>
    <row r="14479" spans="16:16" x14ac:dyDescent="0.25">
      <c r="P14479" s="4"/>
    </row>
    <row r="14480" spans="16:16" x14ac:dyDescent="0.25">
      <c r="P14480" s="4"/>
    </row>
    <row r="14481" spans="16:16" x14ac:dyDescent="0.25">
      <c r="P14481" s="4"/>
    </row>
    <row r="14482" spans="16:16" x14ac:dyDescent="0.25">
      <c r="P14482" s="4"/>
    </row>
    <row r="14483" spans="16:16" x14ac:dyDescent="0.25">
      <c r="P14483" s="4"/>
    </row>
    <row r="14484" spans="16:16" x14ac:dyDescent="0.25">
      <c r="P14484" s="4"/>
    </row>
    <row r="14485" spans="16:16" x14ac:dyDescent="0.25">
      <c r="P14485" s="4"/>
    </row>
    <row r="14486" spans="16:16" x14ac:dyDescent="0.25">
      <c r="P14486" s="4"/>
    </row>
    <row r="14487" spans="16:16" x14ac:dyDescent="0.25">
      <c r="P14487" s="4"/>
    </row>
    <row r="14488" spans="16:16" x14ac:dyDescent="0.25">
      <c r="P14488" s="4"/>
    </row>
    <row r="14489" spans="16:16" x14ac:dyDescent="0.25">
      <c r="P14489" s="4"/>
    </row>
    <row r="14490" spans="16:16" x14ac:dyDescent="0.25">
      <c r="P14490" s="4"/>
    </row>
    <row r="14491" spans="16:16" x14ac:dyDescent="0.25">
      <c r="P14491" s="4"/>
    </row>
    <row r="14492" spans="16:16" x14ac:dyDescent="0.25">
      <c r="P14492" s="4"/>
    </row>
    <row r="14493" spans="16:16" x14ac:dyDescent="0.25">
      <c r="P14493" s="4"/>
    </row>
    <row r="14494" spans="16:16" x14ac:dyDescent="0.25">
      <c r="P14494" s="4"/>
    </row>
    <row r="14495" spans="16:16" x14ac:dyDescent="0.25">
      <c r="P14495" s="4"/>
    </row>
    <row r="14496" spans="16:16" x14ac:dyDescent="0.25">
      <c r="P14496" s="4"/>
    </row>
    <row r="14497" spans="16:16" x14ac:dyDescent="0.25">
      <c r="P14497" s="4"/>
    </row>
    <row r="14498" spans="16:16" x14ac:dyDescent="0.25">
      <c r="P14498" s="4"/>
    </row>
    <row r="14499" spans="16:16" x14ac:dyDescent="0.25">
      <c r="P14499" s="4"/>
    </row>
    <row r="14500" spans="16:16" x14ac:dyDescent="0.25">
      <c r="P14500" s="4"/>
    </row>
    <row r="14501" spans="16:16" x14ac:dyDescent="0.25">
      <c r="P14501" s="4"/>
    </row>
    <row r="14502" spans="16:16" x14ac:dyDescent="0.25">
      <c r="P14502" s="4"/>
    </row>
    <row r="14503" spans="16:16" x14ac:dyDescent="0.25">
      <c r="P14503" s="4"/>
    </row>
    <row r="14504" spans="16:16" x14ac:dyDescent="0.25">
      <c r="P14504" s="4"/>
    </row>
    <row r="14505" spans="16:16" x14ac:dyDescent="0.25">
      <c r="P14505" s="4"/>
    </row>
    <row r="14506" spans="16:16" x14ac:dyDescent="0.25">
      <c r="P14506" s="4"/>
    </row>
    <row r="14507" spans="16:16" x14ac:dyDescent="0.25">
      <c r="P14507" s="4"/>
    </row>
    <row r="14508" spans="16:16" x14ac:dyDescent="0.25">
      <c r="P14508" s="4"/>
    </row>
    <row r="14509" spans="16:16" x14ac:dyDescent="0.25">
      <c r="P14509" s="4"/>
    </row>
    <row r="14510" spans="16:16" x14ac:dyDescent="0.25">
      <c r="P14510" s="4"/>
    </row>
    <row r="14511" spans="16:16" x14ac:dyDescent="0.25">
      <c r="P14511" s="4"/>
    </row>
    <row r="14512" spans="16:16" x14ac:dyDescent="0.25">
      <c r="P14512" s="4"/>
    </row>
    <row r="14513" spans="16:16" x14ac:dyDescent="0.25">
      <c r="P14513" s="4"/>
    </row>
    <row r="14514" spans="16:16" x14ac:dyDescent="0.25">
      <c r="P14514" s="4"/>
    </row>
    <row r="14515" spans="16:16" x14ac:dyDescent="0.25">
      <c r="P14515" s="4"/>
    </row>
    <row r="14516" spans="16:16" x14ac:dyDescent="0.25">
      <c r="P14516" s="4"/>
    </row>
    <row r="14517" spans="16:16" x14ac:dyDescent="0.25">
      <c r="P14517" s="4"/>
    </row>
    <row r="14518" spans="16:16" x14ac:dyDescent="0.25">
      <c r="P14518" s="4"/>
    </row>
    <row r="14519" spans="16:16" x14ac:dyDescent="0.25">
      <c r="P14519" s="4"/>
    </row>
    <row r="14520" spans="16:16" x14ac:dyDescent="0.25">
      <c r="P14520" s="4"/>
    </row>
    <row r="14521" spans="16:16" x14ac:dyDescent="0.25">
      <c r="P14521" s="4"/>
    </row>
    <row r="14522" spans="16:16" x14ac:dyDescent="0.25">
      <c r="P14522" s="4"/>
    </row>
    <row r="14523" spans="16:16" x14ac:dyDescent="0.25">
      <c r="P14523" s="4"/>
    </row>
    <row r="14524" spans="16:16" x14ac:dyDescent="0.25">
      <c r="P14524" s="4"/>
    </row>
    <row r="14525" spans="16:16" x14ac:dyDescent="0.25">
      <c r="P14525" s="4"/>
    </row>
    <row r="14526" spans="16:16" x14ac:dyDescent="0.25">
      <c r="P14526" s="4"/>
    </row>
    <row r="14527" spans="16:16" x14ac:dyDescent="0.25">
      <c r="P14527" s="4"/>
    </row>
    <row r="14528" spans="16:16" x14ac:dyDescent="0.25">
      <c r="P14528" s="4"/>
    </row>
    <row r="14529" spans="16:16" x14ac:dyDescent="0.25">
      <c r="P14529" s="4"/>
    </row>
    <row r="14530" spans="16:16" x14ac:dyDescent="0.25">
      <c r="P14530" s="4"/>
    </row>
    <row r="14531" spans="16:16" x14ac:dyDescent="0.25">
      <c r="P14531" s="4"/>
    </row>
    <row r="14532" spans="16:16" x14ac:dyDescent="0.25">
      <c r="P14532" s="4"/>
    </row>
    <row r="14533" spans="16:16" x14ac:dyDescent="0.25">
      <c r="P14533" s="4"/>
    </row>
    <row r="14534" spans="16:16" x14ac:dyDescent="0.25">
      <c r="P14534" s="4"/>
    </row>
    <row r="14535" spans="16:16" x14ac:dyDescent="0.25">
      <c r="P14535" s="4"/>
    </row>
    <row r="14536" spans="16:16" x14ac:dyDescent="0.25">
      <c r="P14536" s="4"/>
    </row>
    <row r="14537" spans="16:16" x14ac:dyDescent="0.25">
      <c r="P14537" s="4"/>
    </row>
    <row r="14538" spans="16:16" x14ac:dyDescent="0.25">
      <c r="P14538" s="4"/>
    </row>
    <row r="14539" spans="16:16" x14ac:dyDescent="0.25">
      <c r="P14539" s="4"/>
    </row>
    <row r="14540" spans="16:16" x14ac:dyDescent="0.25">
      <c r="P14540" s="4"/>
    </row>
    <row r="14541" spans="16:16" x14ac:dyDescent="0.25">
      <c r="P14541" s="4"/>
    </row>
    <row r="14542" spans="16:16" x14ac:dyDescent="0.25">
      <c r="P14542" s="4"/>
    </row>
    <row r="14543" spans="16:16" x14ac:dyDescent="0.25">
      <c r="P14543" s="4"/>
    </row>
    <row r="14544" spans="16:16" x14ac:dyDescent="0.25">
      <c r="P14544" s="4"/>
    </row>
    <row r="14545" spans="16:16" x14ac:dyDescent="0.25">
      <c r="P14545" s="4"/>
    </row>
    <row r="14546" spans="16:16" x14ac:dyDescent="0.25">
      <c r="P14546" s="4"/>
    </row>
    <row r="14547" spans="16:16" x14ac:dyDescent="0.25">
      <c r="P14547" s="4"/>
    </row>
    <row r="14548" spans="16:16" x14ac:dyDescent="0.25">
      <c r="P14548" s="4"/>
    </row>
    <row r="14549" spans="16:16" x14ac:dyDescent="0.25">
      <c r="P14549" s="4"/>
    </row>
    <row r="14550" spans="16:16" x14ac:dyDescent="0.25">
      <c r="P14550" s="4"/>
    </row>
    <row r="14551" spans="16:16" x14ac:dyDescent="0.25">
      <c r="P14551" s="4"/>
    </row>
    <row r="14552" spans="16:16" x14ac:dyDescent="0.25">
      <c r="P14552" s="4"/>
    </row>
    <row r="14553" spans="16:16" x14ac:dyDescent="0.25">
      <c r="P14553" s="4"/>
    </row>
    <row r="14554" spans="16:16" x14ac:dyDescent="0.25">
      <c r="P14554" s="4"/>
    </row>
    <row r="14555" spans="16:16" x14ac:dyDescent="0.25">
      <c r="P14555" s="4"/>
    </row>
    <row r="14556" spans="16:16" x14ac:dyDescent="0.25">
      <c r="P14556" s="4"/>
    </row>
    <row r="14557" spans="16:16" x14ac:dyDescent="0.25">
      <c r="P14557" s="4"/>
    </row>
    <row r="14558" spans="16:16" x14ac:dyDescent="0.25">
      <c r="P14558" s="4"/>
    </row>
    <row r="14559" spans="16:16" x14ac:dyDescent="0.25">
      <c r="P14559" s="4"/>
    </row>
    <row r="14560" spans="16:16" x14ac:dyDescent="0.25">
      <c r="P14560" s="4"/>
    </row>
    <row r="14561" spans="16:16" x14ac:dyDescent="0.25">
      <c r="P14561" s="4"/>
    </row>
    <row r="14562" spans="16:16" x14ac:dyDescent="0.25">
      <c r="P14562" s="4"/>
    </row>
    <row r="14563" spans="16:16" x14ac:dyDescent="0.25">
      <c r="P14563" s="4"/>
    </row>
    <row r="14564" spans="16:16" x14ac:dyDescent="0.25">
      <c r="P14564" s="4"/>
    </row>
    <row r="14565" spans="16:16" x14ac:dyDescent="0.25">
      <c r="P14565" s="4"/>
    </row>
    <row r="14566" spans="16:16" x14ac:dyDescent="0.25">
      <c r="P14566" s="4"/>
    </row>
    <row r="14567" spans="16:16" x14ac:dyDescent="0.25">
      <c r="P14567" s="4"/>
    </row>
    <row r="14568" spans="16:16" x14ac:dyDescent="0.25">
      <c r="P14568" s="4"/>
    </row>
    <row r="14569" spans="16:16" x14ac:dyDescent="0.25">
      <c r="P14569" s="4"/>
    </row>
    <row r="14570" spans="16:16" x14ac:dyDescent="0.25">
      <c r="P14570" s="4"/>
    </row>
    <row r="14571" spans="16:16" x14ac:dyDescent="0.25">
      <c r="P14571" s="4"/>
    </row>
    <row r="14572" spans="16:16" x14ac:dyDescent="0.25">
      <c r="P14572" s="4"/>
    </row>
    <row r="14573" spans="16:16" x14ac:dyDescent="0.25">
      <c r="P14573" s="4"/>
    </row>
    <row r="14574" spans="16:16" x14ac:dyDescent="0.25">
      <c r="P14574" s="4"/>
    </row>
    <row r="14575" spans="16:16" x14ac:dyDescent="0.25">
      <c r="P14575" s="4"/>
    </row>
    <row r="14576" spans="16:16" x14ac:dyDescent="0.25">
      <c r="P14576" s="4"/>
    </row>
    <row r="14577" spans="16:16" x14ac:dyDescent="0.25">
      <c r="P14577" s="4"/>
    </row>
    <row r="14578" spans="16:16" x14ac:dyDescent="0.25">
      <c r="P14578" s="4"/>
    </row>
    <row r="14579" spans="16:16" x14ac:dyDescent="0.25">
      <c r="P14579" s="4"/>
    </row>
    <row r="14580" spans="16:16" x14ac:dyDescent="0.25">
      <c r="P14580" s="4"/>
    </row>
    <row r="14581" spans="16:16" x14ac:dyDescent="0.25">
      <c r="P14581" s="4"/>
    </row>
    <row r="14582" spans="16:16" x14ac:dyDescent="0.25">
      <c r="P14582" s="4"/>
    </row>
    <row r="14583" spans="16:16" x14ac:dyDescent="0.25">
      <c r="P14583" s="4"/>
    </row>
    <row r="14584" spans="16:16" x14ac:dyDescent="0.25">
      <c r="P14584" s="4"/>
    </row>
    <row r="14585" spans="16:16" x14ac:dyDescent="0.25">
      <c r="P14585" s="4"/>
    </row>
    <row r="14586" spans="16:16" x14ac:dyDescent="0.25">
      <c r="P14586" s="4"/>
    </row>
    <row r="14587" spans="16:16" x14ac:dyDescent="0.25">
      <c r="P14587" s="4"/>
    </row>
    <row r="14588" spans="16:16" x14ac:dyDescent="0.25">
      <c r="P14588" s="4"/>
    </row>
    <row r="14589" spans="16:16" x14ac:dyDescent="0.25">
      <c r="P14589" s="4"/>
    </row>
    <row r="14590" spans="16:16" x14ac:dyDescent="0.25">
      <c r="P14590" s="4"/>
    </row>
    <row r="14591" spans="16:16" x14ac:dyDescent="0.25">
      <c r="P14591" s="4"/>
    </row>
    <row r="14592" spans="16:16" x14ac:dyDescent="0.25">
      <c r="P14592" s="4"/>
    </row>
    <row r="14593" spans="16:16" x14ac:dyDescent="0.25">
      <c r="P14593" s="4"/>
    </row>
    <row r="14594" spans="16:16" x14ac:dyDescent="0.25">
      <c r="P14594" s="4"/>
    </row>
    <row r="14595" spans="16:16" x14ac:dyDescent="0.25">
      <c r="P14595" s="4"/>
    </row>
    <row r="14596" spans="16:16" x14ac:dyDescent="0.25">
      <c r="P14596" s="4"/>
    </row>
    <row r="14597" spans="16:16" x14ac:dyDescent="0.25">
      <c r="P14597" s="4"/>
    </row>
    <row r="14598" spans="16:16" x14ac:dyDescent="0.25">
      <c r="P14598" s="4"/>
    </row>
    <row r="14599" spans="16:16" x14ac:dyDescent="0.25">
      <c r="P14599" s="4"/>
    </row>
    <row r="14600" spans="16:16" x14ac:dyDescent="0.25">
      <c r="P14600" s="4"/>
    </row>
    <row r="14601" spans="16:16" x14ac:dyDescent="0.25">
      <c r="P14601" s="4"/>
    </row>
    <row r="14602" spans="16:16" x14ac:dyDescent="0.25">
      <c r="P14602" s="4"/>
    </row>
    <row r="14603" spans="16:16" x14ac:dyDescent="0.25">
      <c r="P14603" s="4"/>
    </row>
    <row r="14604" spans="16:16" x14ac:dyDescent="0.25">
      <c r="P14604" s="4"/>
    </row>
    <row r="14605" spans="16:16" x14ac:dyDescent="0.25">
      <c r="P14605" s="4"/>
    </row>
    <row r="14606" spans="16:16" x14ac:dyDescent="0.25">
      <c r="P14606" s="4"/>
    </row>
    <row r="14607" spans="16:16" x14ac:dyDescent="0.25">
      <c r="P14607" s="4"/>
    </row>
    <row r="14608" spans="16:16" x14ac:dyDescent="0.25">
      <c r="P14608" s="4"/>
    </row>
    <row r="14609" spans="16:16" x14ac:dyDescent="0.25">
      <c r="P14609" s="4"/>
    </row>
    <row r="14610" spans="16:16" x14ac:dyDescent="0.25">
      <c r="P14610" s="4"/>
    </row>
    <row r="14611" spans="16:16" x14ac:dyDescent="0.25">
      <c r="P14611" s="4"/>
    </row>
    <row r="14612" spans="16:16" x14ac:dyDescent="0.25">
      <c r="P14612" s="4"/>
    </row>
    <row r="14613" spans="16:16" x14ac:dyDescent="0.25">
      <c r="P14613" s="4"/>
    </row>
    <row r="14614" spans="16:16" x14ac:dyDescent="0.25">
      <c r="P14614" s="4"/>
    </row>
    <row r="14615" spans="16:16" x14ac:dyDescent="0.25">
      <c r="P14615" s="4"/>
    </row>
    <row r="14616" spans="16:16" x14ac:dyDescent="0.25">
      <c r="P14616" s="4"/>
    </row>
    <row r="14617" spans="16:16" x14ac:dyDescent="0.25">
      <c r="P14617" s="4"/>
    </row>
    <row r="14618" spans="16:16" x14ac:dyDescent="0.25">
      <c r="P14618" s="4"/>
    </row>
    <row r="14619" spans="16:16" x14ac:dyDescent="0.25">
      <c r="P14619" s="4"/>
    </row>
    <row r="14620" spans="16:16" x14ac:dyDescent="0.25">
      <c r="P14620" s="4"/>
    </row>
    <row r="14621" spans="16:16" x14ac:dyDescent="0.25">
      <c r="P14621" s="4"/>
    </row>
    <row r="14622" spans="16:16" x14ac:dyDescent="0.25">
      <c r="P14622" s="4"/>
    </row>
    <row r="14623" spans="16:16" x14ac:dyDescent="0.25">
      <c r="P14623" s="4"/>
    </row>
    <row r="14624" spans="16:16" x14ac:dyDescent="0.25">
      <c r="P14624" s="4"/>
    </row>
    <row r="14625" spans="16:16" x14ac:dyDescent="0.25">
      <c r="P14625" s="4"/>
    </row>
    <row r="14626" spans="16:16" x14ac:dyDescent="0.25">
      <c r="P14626" s="4"/>
    </row>
    <row r="14627" spans="16:16" x14ac:dyDescent="0.25">
      <c r="P14627" s="4"/>
    </row>
    <row r="14628" spans="16:16" x14ac:dyDescent="0.25">
      <c r="P14628" s="4"/>
    </row>
    <row r="14629" spans="16:16" x14ac:dyDescent="0.25">
      <c r="P14629" s="4"/>
    </row>
    <row r="14630" spans="16:16" x14ac:dyDescent="0.25">
      <c r="P14630" s="4"/>
    </row>
    <row r="14631" spans="16:16" x14ac:dyDescent="0.25">
      <c r="P14631" s="4"/>
    </row>
    <row r="14632" spans="16:16" x14ac:dyDescent="0.25">
      <c r="P14632" s="4"/>
    </row>
    <row r="14633" spans="16:16" x14ac:dyDescent="0.25">
      <c r="P14633" s="4"/>
    </row>
    <row r="14634" spans="16:16" x14ac:dyDescent="0.25">
      <c r="P14634" s="4"/>
    </row>
    <row r="14635" spans="16:16" x14ac:dyDescent="0.25">
      <c r="P14635" s="4"/>
    </row>
    <row r="14636" spans="16:16" x14ac:dyDescent="0.25">
      <c r="P14636" s="4"/>
    </row>
    <row r="14637" spans="16:16" x14ac:dyDescent="0.25">
      <c r="P14637" s="4"/>
    </row>
    <row r="14638" spans="16:16" x14ac:dyDescent="0.25">
      <c r="P14638" s="4"/>
    </row>
    <row r="14639" spans="16:16" x14ac:dyDescent="0.25">
      <c r="P14639" s="4"/>
    </row>
    <row r="14640" spans="16:16" x14ac:dyDescent="0.25">
      <c r="P14640" s="4"/>
    </row>
    <row r="14641" spans="16:16" x14ac:dyDescent="0.25">
      <c r="P14641" s="4"/>
    </row>
    <row r="14642" spans="16:16" x14ac:dyDescent="0.25">
      <c r="P14642" s="4"/>
    </row>
    <row r="14643" spans="16:16" x14ac:dyDescent="0.25">
      <c r="P14643" s="4"/>
    </row>
    <row r="14644" spans="16:16" x14ac:dyDescent="0.25">
      <c r="P14644" s="4"/>
    </row>
    <row r="14645" spans="16:16" x14ac:dyDescent="0.25">
      <c r="P14645" s="4"/>
    </row>
    <row r="14646" spans="16:16" x14ac:dyDescent="0.25">
      <c r="P14646" s="4"/>
    </row>
    <row r="14647" spans="16:16" x14ac:dyDescent="0.25">
      <c r="P14647" s="4"/>
    </row>
    <row r="14648" spans="16:16" x14ac:dyDescent="0.25">
      <c r="P14648" s="4"/>
    </row>
    <row r="14649" spans="16:16" x14ac:dyDescent="0.25">
      <c r="P14649" s="4"/>
    </row>
    <row r="14650" spans="16:16" x14ac:dyDescent="0.25">
      <c r="P14650" s="4"/>
    </row>
    <row r="14651" spans="16:16" x14ac:dyDescent="0.25">
      <c r="P14651" s="4"/>
    </row>
    <row r="14652" spans="16:16" x14ac:dyDescent="0.25">
      <c r="P14652" s="4"/>
    </row>
    <row r="14653" spans="16:16" x14ac:dyDescent="0.25">
      <c r="P14653" s="4"/>
    </row>
    <row r="14654" spans="16:16" x14ac:dyDescent="0.25">
      <c r="P14654" s="4"/>
    </row>
    <row r="14655" spans="16:16" x14ac:dyDescent="0.25">
      <c r="P14655" s="4"/>
    </row>
    <row r="14656" spans="16:16" x14ac:dyDescent="0.25">
      <c r="P14656" s="4"/>
    </row>
    <row r="14657" spans="16:16" x14ac:dyDescent="0.25">
      <c r="P14657" s="4"/>
    </row>
    <row r="14658" spans="16:16" x14ac:dyDescent="0.25">
      <c r="P14658" s="4"/>
    </row>
    <row r="14659" spans="16:16" x14ac:dyDescent="0.25">
      <c r="P14659" s="4"/>
    </row>
    <row r="14660" spans="16:16" x14ac:dyDescent="0.25">
      <c r="P14660" s="4"/>
    </row>
    <row r="14661" spans="16:16" x14ac:dyDescent="0.25">
      <c r="P14661" s="4"/>
    </row>
    <row r="14662" spans="16:16" x14ac:dyDescent="0.25">
      <c r="P14662" s="4"/>
    </row>
    <row r="14663" spans="16:16" x14ac:dyDescent="0.25">
      <c r="P14663" s="4"/>
    </row>
    <row r="14664" spans="16:16" x14ac:dyDescent="0.25">
      <c r="P14664" s="4"/>
    </row>
    <row r="14665" spans="16:16" x14ac:dyDescent="0.25">
      <c r="P14665" s="4"/>
    </row>
    <row r="14666" spans="16:16" x14ac:dyDescent="0.25">
      <c r="P14666" s="4"/>
    </row>
    <row r="14667" spans="16:16" x14ac:dyDescent="0.25">
      <c r="P14667" s="4"/>
    </row>
    <row r="14668" spans="16:16" x14ac:dyDescent="0.25">
      <c r="P14668" s="4"/>
    </row>
    <row r="14669" spans="16:16" x14ac:dyDescent="0.25">
      <c r="P14669" s="4"/>
    </row>
    <row r="14670" spans="16:16" x14ac:dyDescent="0.25">
      <c r="P14670" s="4"/>
    </row>
    <row r="14671" spans="16:16" x14ac:dyDescent="0.25">
      <c r="P14671" s="4"/>
    </row>
    <row r="14672" spans="16:16" x14ac:dyDescent="0.25">
      <c r="P14672" s="4"/>
    </row>
    <row r="14673" spans="16:16" x14ac:dyDescent="0.25">
      <c r="P14673" s="4"/>
    </row>
    <row r="14674" spans="16:16" x14ac:dyDescent="0.25">
      <c r="P14674" s="4"/>
    </row>
    <row r="14675" spans="16:16" x14ac:dyDescent="0.25">
      <c r="P14675" s="4"/>
    </row>
    <row r="14676" spans="16:16" x14ac:dyDescent="0.25">
      <c r="P14676" s="4"/>
    </row>
    <row r="14677" spans="16:16" x14ac:dyDescent="0.25">
      <c r="P14677" s="4"/>
    </row>
    <row r="14678" spans="16:16" x14ac:dyDescent="0.25">
      <c r="P14678" s="4"/>
    </row>
    <row r="14679" spans="16:16" x14ac:dyDescent="0.25">
      <c r="P14679" s="4"/>
    </row>
    <row r="14680" spans="16:16" x14ac:dyDescent="0.25">
      <c r="P14680" s="4"/>
    </row>
    <row r="14681" spans="16:16" x14ac:dyDescent="0.25">
      <c r="P14681" s="4"/>
    </row>
    <row r="14682" spans="16:16" x14ac:dyDescent="0.25">
      <c r="P14682" s="4"/>
    </row>
    <row r="14683" spans="16:16" x14ac:dyDescent="0.25">
      <c r="P14683" s="4"/>
    </row>
    <row r="14684" spans="16:16" x14ac:dyDescent="0.25">
      <c r="P14684" s="4"/>
    </row>
    <row r="14685" spans="16:16" x14ac:dyDescent="0.25">
      <c r="P14685" s="4"/>
    </row>
    <row r="14686" spans="16:16" x14ac:dyDescent="0.25">
      <c r="P14686" s="4"/>
    </row>
    <row r="14687" spans="16:16" x14ac:dyDescent="0.25">
      <c r="P14687" s="4"/>
    </row>
    <row r="14688" spans="16:16" x14ac:dyDescent="0.25">
      <c r="P14688" s="4"/>
    </row>
    <row r="14689" spans="16:16" x14ac:dyDescent="0.25">
      <c r="P14689" s="4"/>
    </row>
    <row r="14690" spans="16:16" x14ac:dyDescent="0.25">
      <c r="P14690" s="4"/>
    </row>
    <row r="14691" spans="16:16" x14ac:dyDescent="0.25">
      <c r="P14691" s="4"/>
    </row>
    <row r="14692" spans="16:16" x14ac:dyDescent="0.25">
      <c r="P14692" s="4"/>
    </row>
    <row r="14693" spans="16:16" x14ac:dyDescent="0.25">
      <c r="P14693" s="4"/>
    </row>
    <row r="14694" spans="16:16" x14ac:dyDescent="0.25">
      <c r="P14694" s="4"/>
    </row>
    <row r="14695" spans="16:16" x14ac:dyDescent="0.25">
      <c r="P14695" s="4"/>
    </row>
    <row r="14696" spans="16:16" x14ac:dyDescent="0.25">
      <c r="P14696" s="4"/>
    </row>
    <row r="14697" spans="16:16" x14ac:dyDescent="0.25">
      <c r="P14697" s="4"/>
    </row>
    <row r="14698" spans="16:16" x14ac:dyDescent="0.25">
      <c r="P14698" s="4"/>
    </row>
    <row r="14699" spans="16:16" x14ac:dyDescent="0.25">
      <c r="P14699" s="4"/>
    </row>
    <row r="14700" spans="16:16" x14ac:dyDescent="0.25">
      <c r="P14700" s="4"/>
    </row>
    <row r="14701" spans="16:16" x14ac:dyDescent="0.25">
      <c r="P14701" s="4"/>
    </row>
    <row r="14702" spans="16:16" x14ac:dyDescent="0.25">
      <c r="P14702" s="4"/>
    </row>
    <row r="14703" spans="16:16" x14ac:dyDescent="0.25">
      <c r="P14703" s="4"/>
    </row>
    <row r="14704" spans="16:16" x14ac:dyDescent="0.25">
      <c r="P14704" s="4"/>
    </row>
    <row r="14705" spans="16:16" x14ac:dyDescent="0.25">
      <c r="P14705" s="4"/>
    </row>
    <row r="14706" spans="16:16" x14ac:dyDescent="0.25">
      <c r="P14706" s="4"/>
    </row>
    <row r="14707" spans="16:16" x14ac:dyDescent="0.25">
      <c r="P14707" s="4"/>
    </row>
    <row r="14708" spans="16:16" x14ac:dyDescent="0.25">
      <c r="P14708" s="4"/>
    </row>
    <row r="14709" spans="16:16" x14ac:dyDescent="0.25">
      <c r="P14709" s="4"/>
    </row>
    <row r="14710" spans="16:16" x14ac:dyDescent="0.25">
      <c r="P14710" s="4"/>
    </row>
    <row r="14711" spans="16:16" x14ac:dyDescent="0.25">
      <c r="P14711" s="4"/>
    </row>
    <row r="14712" spans="16:16" x14ac:dyDescent="0.25">
      <c r="P14712" s="4"/>
    </row>
    <row r="14713" spans="16:16" x14ac:dyDescent="0.25">
      <c r="P14713" s="4"/>
    </row>
    <row r="14714" spans="16:16" x14ac:dyDescent="0.25">
      <c r="P14714" s="4"/>
    </row>
    <row r="14715" spans="16:16" x14ac:dyDescent="0.25">
      <c r="P14715" s="4"/>
    </row>
    <row r="14716" spans="16:16" x14ac:dyDescent="0.25">
      <c r="P14716" s="4"/>
    </row>
    <row r="14717" spans="16:16" x14ac:dyDescent="0.25">
      <c r="P14717" s="4"/>
    </row>
    <row r="14718" spans="16:16" x14ac:dyDescent="0.25">
      <c r="P14718" s="4"/>
    </row>
    <row r="14719" spans="16:16" x14ac:dyDescent="0.25">
      <c r="P14719" s="4"/>
    </row>
    <row r="14720" spans="16:16" x14ac:dyDescent="0.25">
      <c r="P14720" s="4"/>
    </row>
    <row r="14721" spans="16:16" x14ac:dyDescent="0.25">
      <c r="P14721" s="4"/>
    </row>
    <row r="14722" spans="16:16" x14ac:dyDescent="0.25">
      <c r="P14722" s="4"/>
    </row>
    <row r="14723" spans="16:16" x14ac:dyDescent="0.25">
      <c r="P14723" s="4"/>
    </row>
    <row r="14724" spans="16:16" x14ac:dyDescent="0.25">
      <c r="P14724" s="4"/>
    </row>
    <row r="14725" spans="16:16" x14ac:dyDescent="0.25">
      <c r="P14725" s="4"/>
    </row>
    <row r="14726" spans="16:16" x14ac:dyDescent="0.25">
      <c r="P14726" s="4"/>
    </row>
    <row r="14727" spans="16:16" x14ac:dyDescent="0.25">
      <c r="P14727" s="4"/>
    </row>
    <row r="14728" spans="16:16" x14ac:dyDescent="0.25">
      <c r="P14728" s="4"/>
    </row>
    <row r="14729" spans="16:16" x14ac:dyDescent="0.25">
      <c r="P14729" s="4"/>
    </row>
    <row r="14730" spans="16:16" x14ac:dyDescent="0.25">
      <c r="P14730" s="4"/>
    </row>
    <row r="14731" spans="16:16" x14ac:dyDescent="0.25">
      <c r="P14731" s="4"/>
    </row>
    <row r="14732" spans="16:16" x14ac:dyDescent="0.25">
      <c r="P14732" s="4"/>
    </row>
    <row r="14733" spans="16:16" x14ac:dyDescent="0.25">
      <c r="P14733" s="4"/>
    </row>
    <row r="14734" spans="16:16" x14ac:dyDescent="0.25">
      <c r="P14734" s="4"/>
    </row>
    <row r="14735" spans="16:16" x14ac:dyDescent="0.25">
      <c r="P14735" s="4"/>
    </row>
    <row r="14736" spans="16:16" x14ac:dyDescent="0.25">
      <c r="P14736" s="4"/>
    </row>
    <row r="14737" spans="16:16" x14ac:dyDescent="0.25">
      <c r="P14737" s="4"/>
    </row>
    <row r="14738" spans="16:16" x14ac:dyDescent="0.25">
      <c r="P14738" s="4"/>
    </row>
    <row r="14739" spans="16:16" x14ac:dyDescent="0.25">
      <c r="P14739" s="4"/>
    </row>
    <row r="14740" spans="16:16" x14ac:dyDescent="0.25">
      <c r="P14740" s="4"/>
    </row>
    <row r="14741" spans="16:16" x14ac:dyDescent="0.25">
      <c r="P14741" s="4"/>
    </row>
    <row r="14742" spans="16:16" x14ac:dyDescent="0.25">
      <c r="P14742" s="4"/>
    </row>
    <row r="14743" spans="16:16" x14ac:dyDescent="0.25">
      <c r="P14743" s="4"/>
    </row>
    <row r="14744" spans="16:16" x14ac:dyDescent="0.25">
      <c r="P14744" s="4"/>
    </row>
    <row r="14745" spans="16:16" x14ac:dyDescent="0.25">
      <c r="P14745" s="4"/>
    </row>
    <row r="14746" spans="16:16" x14ac:dyDescent="0.25">
      <c r="P14746" s="4"/>
    </row>
    <row r="14747" spans="16:16" x14ac:dyDescent="0.25">
      <c r="P14747" s="4"/>
    </row>
    <row r="14748" spans="16:16" x14ac:dyDescent="0.25">
      <c r="P14748" s="4"/>
    </row>
    <row r="14749" spans="16:16" x14ac:dyDescent="0.25">
      <c r="P14749" s="4"/>
    </row>
    <row r="14750" spans="16:16" x14ac:dyDescent="0.25">
      <c r="P14750" s="4"/>
    </row>
    <row r="14751" spans="16:16" x14ac:dyDescent="0.25">
      <c r="P14751" s="4"/>
    </row>
    <row r="14752" spans="16:16" x14ac:dyDescent="0.25">
      <c r="P14752" s="4"/>
    </row>
    <row r="14753" spans="16:16" x14ac:dyDescent="0.25">
      <c r="P14753" s="4"/>
    </row>
    <row r="14754" spans="16:16" x14ac:dyDescent="0.25">
      <c r="P14754" s="4"/>
    </row>
    <row r="14755" spans="16:16" x14ac:dyDescent="0.25">
      <c r="P14755" s="4"/>
    </row>
    <row r="14756" spans="16:16" x14ac:dyDescent="0.25">
      <c r="P14756" s="4"/>
    </row>
    <row r="14757" spans="16:16" x14ac:dyDescent="0.25">
      <c r="P14757" s="4"/>
    </row>
    <row r="14758" spans="16:16" x14ac:dyDescent="0.25">
      <c r="P14758" s="4"/>
    </row>
    <row r="14759" spans="16:16" x14ac:dyDescent="0.25">
      <c r="P14759" s="4"/>
    </row>
    <row r="14760" spans="16:16" x14ac:dyDescent="0.25">
      <c r="P14760" s="4"/>
    </row>
    <row r="14761" spans="16:16" x14ac:dyDescent="0.25">
      <c r="P14761" s="4"/>
    </row>
    <row r="14762" spans="16:16" x14ac:dyDescent="0.25">
      <c r="P14762" s="4"/>
    </row>
    <row r="14763" spans="16:16" x14ac:dyDescent="0.25">
      <c r="P14763" s="4"/>
    </row>
    <row r="14764" spans="16:16" x14ac:dyDescent="0.25">
      <c r="P14764" s="4"/>
    </row>
    <row r="14765" spans="16:16" x14ac:dyDescent="0.25">
      <c r="P14765" s="4"/>
    </row>
    <row r="14766" spans="16:16" x14ac:dyDescent="0.25">
      <c r="P14766" s="4"/>
    </row>
    <row r="14767" spans="16:16" x14ac:dyDescent="0.25">
      <c r="P14767" s="4"/>
    </row>
    <row r="14768" spans="16:16" x14ac:dyDescent="0.25">
      <c r="P14768" s="4"/>
    </row>
    <row r="14769" spans="16:16" x14ac:dyDescent="0.25">
      <c r="P14769" s="4"/>
    </row>
    <row r="14770" spans="16:16" x14ac:dyDescent="0.25">
      <c r="P14770" s="4"/>
    </row>
    <row r="14771" spans="16:16" x14ac:dyDescent="0.25">
      <c r="P14771" s="4"/>
    </row>
    <row r="14772" spans="16:16" x14ac:dyDescent="0.25">
      <c r="P14772" s="4"/>
    </row>
    <row r="14773" spans="16:16" x14ac:dyDescent="0.25">
      <c r="P14773" s="4"/>
    </row>
    <row r="14774" spans="16:16" x14ac:dyDescent="0.25">
      <c r="P14774" s="4"/>
    </row>
    <row r="14775" spans="16:16" x14ac:dyDescent="0.25">
      <c r="P14775" s="4"/>
    </row>
    <row r="14776" spans="16:16" x14ac:dyDescent="0.25">
      <c r="P14776" s="4"/>
    </row>
    <row r="14777" spans="16:16" x14ac:dyDescent="0.25">
      <c r="P14777" s="4"/>
    </row>
    <row r="14778" spans="16:16" x14ac:dyDescent="0.25">
      <c r="P14778" s="4"/>
    </row>
    <row r="14779" spans="16:16" x14ac:dyDescent="0.25">
      <c r="P14779" s="4"/>
    </row>
    <row r="14780" spans="16:16" x14ac:dyDescent="0.25">
      <c r="P14780" s="4"/>
    </row>
    <row r="14781" spans="16:16" x14ac:dyDescent="0.25">
      <c r="P14781" s="4"/>
    </row>
    <row r="14782" spans="16:16" x14ac:dyDescent="0.25">
      <c r="P14782" s="4"/>
    </row>
    <row r="14783" spans="16:16" x14ac:dyDescent="0.25">
      <c r="P14783" s="4"/>
    </row>
    <row r="14784" spans="16:16" x14ac:dyDescent="0.25">
      <c r="P14784" s="4"/>
    </row>
    <row r="14785" spans="16:16" x14ac:dyDescent="0.25">
      <c r="P14785" s="4"/>
    </row>
    <row r="14786" spans="16:16" x14ac:dyDescent="0.25">
      <c r="P14786" s="4"/>
    </row>
    <row r="14787" spans="16:16" x14ac:dyDescent="0.25">
      <c r="P14787" s="4"/>
    </row>
    <row r="14788" spans="16:16" x14ac:dyDescent="0.25">
      <c r="P14788" s="4"/>
    </row>
    <row r="14789" spans="16:16" x14ac:dyDescent="0.25">
      <c r="P14789" s="4"/>
    </row>
    <row r="14790" spans="16:16" x14ac:dyDescent="0.25">
      <c r="P14790" s="4"/>
    </row>
    <row r="14791" spans="16:16" x14ac:dyDescent="0.25">
      <c r="P14791" s="4"/>
    </row>
    <row r="14792" spans="16:16" x14ac:dyDescent="0.25">
      <c r="P14792" s="4"/>
    </row>
    <row r="14793" spans="16:16" x14ac:dyDescent="0.25">
      <c r="P14793" s="4"/>
    </row>
    <row r="14794" spans="16:16" x14ac:dyDescent="0.25">
      <c r="P14794" s="4"/>
    </row>
    <row r="14795" spans="16:16" x14ac:dyDescent="0.25">
      <c r="P14795" s="4"/>
    </row>
    <row r="14796" spans="16:16" x14ac:dyDescent="0.25">
      <c r="P14796" s="4"/>
    </row>
    <row r="14797" spans="16:16" x14ac:dyDescent="0.25">
      <c r="P14797" s="4"/>
    </row>
    <row r="14798" spans="16:16" x14ac:dyDescent="0.25">
      <c r="P14798" s="4"/>
    </row>
    <row r="14799" spans="16:16" x14ac:dyDescent="0.25">
      <c r="P14799" s="4"/>
    </row>
    <row r="14800" spans="16:16" x14ac:dyDescent="0.25">
      <c r="P14800" s="4"/>
    </row>
    <row r="14801" spans="16:16" x14ac:dyDescent="0.25">
      <c r="P14801" s="4"/>
    </row>
    <row r="14802" spans="16:16" x14ac:dyDescent="0.25">
      <c r="P14802" s="4"/>
    </row>
    <row r="14803" spans="16:16" x14ac:dyDescent="0.25">
      <c r="P14803" s="4"/>
    </row>
    <row r="14804" spans="16:16" x14ac:dyDescent="0.25">
      <c r="P14804" s="4"/>
    </row>
    <row r="14805" spans="16:16" x14ac:dyDescent="0.25">
      <c r="P14805" s="4"/>
    </row>
    <row r="14806" spans="16:16" x14ac:dyDescent="0.25">
      <c r="P14806" s="4"/>
    </row>
    <row r="14807" spans="16:16" x14ac:dyDescent="0.25">
      <c r="P14807" s="4"/>
    </row>
    <row r="14808" spans="16:16" x14ac:dyDescent="0.25">
      <c r="P14808" s="4"/>
    </row>
    <row r="14809" spans="16:16" x14ac:dyDescent="0.25">
      <c r="P14809" s="4"/>
    </row>
    <row r="14810" spans="16:16" x14ac:dyDescent="0.25">
      <c r="P14810" s="4"/>
    </row>
    <row r="14811" spans="16:16" x14ac:dyDescent="0.25">
      <c r="P14811" s="4"/>
    </row>
    <row r="14812" spans="16:16" x14ac:dyDescent="0.25">
      <c r="P14812" s="4"/>
    </row>
    <row r="14813" spans="16:16" x14ac:dyDescent="0.25">
      <c r="P14813" s="4"/>
    </row>
    <row r="14814" spans="16:16" x14ac:dyDescent="0.25">
      <c r="P14814" s="4"/>
    </row>
    <row r="14815" spans="16:16" x14ac:dyDescent="0.25">
      <c r="P14815" s="4"/>
    </row>
    <row r="14816" spans="16:16" x14ac:dyDescent="0.25">
      <c r="P14816" s="4"/>
    </row>
    <row r="14817" spans="16:16" x14ac:dyDescent="0.25">
      <c r="P14817" s="4"/>
    </row>
    <row r="14818" spans="16:16" x14ac:dyDescent="0.25">
      <c r="P14818" s="4"/>
    </row>
    <row r="14819" spans="16:16" x14ac:dyDescent="0.25">
      <c r="P14819" s="4"/>
    </row>
    <row r="14820" spans="16:16" x14ac:dyDescent="0.25">
      <c r="P14820" s="4"/>
    </row>
    <row r="14821" spans="16:16" x14ac:dyDescent="0.25">
      <c r="P14821" s="4"/>
    </row>
    <row r="14822" spans="16:16" x14ac:dyDescent="0.25">
      <c r="P14822" s="4"/>
    </row>
    <row r="14823" spans="16:16" x14ac:dyDescent="0.25">
      <c r="P14823" s="4"/>
    </row>
    <row r="14824" spans="16:16" x14ac:dyDescent="0.25">
      <c r="P14824" s="4"/>
    </row>
    <row r="14825" spans="16:16" x14ac:dyDescent="0.25">
      <c r="P14825" s="4"/>
    </row>
    <row r="14826" spans="16:16" x14ac:dyDescent="0.25">
      <c r="P14826" s="4"/>
    </row>
    <row r="14827" spans="16:16" x14ac:dyDescent="0.25">
      <c r="P14827" s="4"/>
    </row>
    <row r="14828" spans="16:16" x14ac:dyDescent="0.25">
      <c r="P14828" s="4"/>
    </row>
    <row r="14829" spans="16:16" x14ac:dyDescent="0.25">
      <c r="P14829" s="4"/>
    </row>
    <row r="14830" spans="16:16" x14ac:dyDescent="0.25">
      <c r="P14830" s="4"/>
    </row>
    <row r="14831" spans="16:16" x14ac:dyDescent="0.25">
      <c r="P14831" s="4"/>
    </row>
    <row r="14832" spans="16:16" x14ac:dyDescent="0.25">
      <c r="P14832" s="4"/>
    </row>
    <row r="14833" spans="16:16" x14ac:dyDescent="0.25">
      <c r="P14833" s="4"/>
    </row>
    <row r="14834" spans="16:16" x14ac:dyDescent="0.25">
      <c r="P14834" s="4"/>
    </row>
    <row r="14835" spans="16:16" x14ac:dyDescent="0.25">
      <c r="P14835" s="4"/>
    </row>
    <row r="14836" spans="16:16" x14ac:dyDescent="0.25">
      <c r="P14836" s="4"/>
    </row>
    <row r="14837" spans="16:16" x14ac:dyDescent="0.25">
      <c r="P14837" s="4"/>
    </row>
    <row r="14838" spans="16:16" x14ac:dyDescent="0.25">
      <c r="P14838" s="4"/>
    </row>
    <row r="14839" spans="16:16" x14ac:dyDescent="0.25">
      <c r="P14839" s="4"/>
    </row>
    <row r="14840" spans="16:16" x14ac:dyDescent="0.25">
      <c r="P14840" s="4"/>
    </row>
    <row r="14841" spans="16:16" x14ac:dyDescent="0.25">
      <c r="P14841" s="4"/>
    </row>
    <row r="14842" spans="16:16" x14ac:dyDescent="0.25">
      <c r="P14842" s="4"/>
    </row>
    <row r="14843" spans="16:16" x14ac:dyDescent="0.25">
      <c r="P14843" s="4"/>
    </row>
    <row r="14844" spans="16:16" x14ac:dyDescent="0.25">
      <c r="P14844" s="4"/>
    </row>
    <row r="14845" spans="16:16" x14ac:dyDescent="0.25">
      <c r="P14845" s="4"/>
    </row>
    <row r="14846" spans="16:16" x14ac:dyDescent="0.25">
      <c r="P14846" s="4"/>
    </row>
    <row r="14847" spans="16:16" x14ac:dyDescent="0.25">
      <c r="P14847" s="4"/>
    </row>
    <row r="14848" spans="16:16" x14ac:dyDescent="0.25">
      <c r="P14848" s="4"/>
    </row>
    <row r="14849" spans="16:16" x14ac:dyDescent="0.25">
      <c r="P14849" s="4"/>
    </row>
    <row r="14850" spans="16:16" x14ac:dyDescent="0.25">
      <c r="P14850" s="4"/>
    </row>
    <row r="14851" spans="16:16" x14ac:dyDescent="0.25">
      <c r="P14851" s="4"/>
    </row>
    <row r="14852" spans="16:16" x14ac:dyDescent="0.25">
      <c r="P14852" s="4"/>
    </row>
    <row r="14853" spans="16:16" x14ac:dyDescent="0.25">
      <c r="P14853" s="4"/>
    </row>
    <row r="14854" spans="16:16" x14ac:dyDescent="0.25">
      <c r="P14854" s="4"/>
    </row>
    <row r="14855" spans="16:16" x14ac:dyDescent="0.25">
      <c r="P14855" s="4"/>
    </row>
    <row r="14856" spans="16:16" x14ac:dyDescent="0.25">
      <c r="P14856" s="4"/>
    </row>
    <row r="14857" spans="16:16" x14ac:dyDescent="0.25">
      <c r="P14857" s="4"/>
    </row>
    <row r="14858" spans="16:16" x14ac:dyDescent="0.25">
      <c r="P14858" s="4"/>
    </row>
    <row r="14859" spans="16:16" x14ac:dyDescent="0.25">
      <c r="P14859" s="4"/>
    </row>
    <row r="14860" spans="16:16" x14ac:dyDescent="0.25">
      <c r="P14860" s="4"/>
    </row>
    <row r="14861" spans="16:16" x14ac:dyDescent="0.25">
      <c r="P14861" s="4"/>
    </row>
    <row r="14862" spans="16:16" x14ac:dyDescent="0.25">
      <c r="P14862" s="4"/>
    </row>
    <row r="14863" spans="16:16" x14ac:dyDescent="0.25">
      <c r="P14863" s="4"/>
    </row>
    <row r="14864" spans="16:16" x14ac:dyDescent="0.25">
      <c r="P14864" s="4"/>
    </row>
    <row r="14865" spans="16:16" x14ac:dyDescent="0.25">
      <c r="P14865" s="4"/>
    </row>
    <row r="14866" spans="16:16" x14ac:dyDescent="0.25">
      <c r="P14866" s="4"/>
    </row>
    <row r="14867" spans="16:16" x14ac:dyDescent="0.25">
      <c r="P14867" s="4"/>
    </row>
    <row r="14868" spans="16:16" x14ac:dyDescent="0.25">
      <c r="P14868" s="4"/>
    </row>
    <row r="14869" spans="16:16" x14ac:dyDescent="0.25">
      <c r="P14869" s="4"/>
    </row>
    <row r="14870" spans="16:16" x14ac:dyDescent="0.25">
      <c r="P14870" s="4"/>
    </row>
    <row r="14871" spans="16:16" x14ac:dyDescent="0.25">
      <c r="P14871" s="4"/>
    </row>
    <row r="14872" spans="16:16" x14ac:dyDescent="0.25">
      <c r="P14872" s="4"/>
    </row>
    <row r="14873" spans="16:16" x14ac:dyDescent="0.25">
      <c r="P14873" s="4"/>
    </row>
    <row r="14874" spans="16:16" x14ac:dyDescent="0.25">
      <c r="P14874" s="4"/>
    </row>
    <row r="14875" spans="16:16" x14ac:dyDescent="0.25">
      <c r="P14875" s="4"/>
    </row>
    <row r="14876" spans="16:16" x14ac:dyDescent="0.25">
      <c r="P14876" s="4"/>
    </row>
    <row r="14877" spans="16:16" x14ac:dyDescent="0.25">
      <c r="P14877" s="4"/>
    </row>
    <row r="14878" spans="16:16" x14ac:dyDescent="0.25">
      <c r="P14878" s="4"/>
    </row>
    <row r="14879" spans="16:16" x14ac:dyDescent="0.25">
      <c r="P14879" s="4"/>
    </row>
    <row r="14880" spans="16:16" x14ac:dyDescent="0.25">
      <c r="P14880" s="4"/>
    </row>
    <row r="14881" spans="16:16" x14ac:dyDescent="0.25">
      <c r="P14881" s="4"/>
    </row>
    <row r="14882" spans="16:16" x14ac:dyDescent="0.25">
      <c r="P14882" s="4"/>
    </row>
    <row r="14883" spans="16:16" x14ac:dyDescent="0.25">
      <c r="P14883" s="4"/>
    </row>
    <row r="14884" spans="16:16" x14ac:dyDescent="0.25">
      <c r="P14884" s="4"/>
    </row>
    <row r="14885" spans="16:16" x14ac:dyDescent="0.25">
      <c r="P14885" s="4"/>
    </row>
    <row r="14886" spans="16:16" x14ac:dyDescent="0.25">
      <c r="P14886" s="4"/>
    </row>
    <row r="14887" spans="16:16" x14ac:dyDescent="0.25">
      <c r="P14887" s="4"/>
    </row>
    <row r="14888" spans="16:16" x14ac:dyDescent="0.25">
      <c r="P14888" s="4"/>
    </row>
    <row r="14889" spans="16:16" x14ac:dyDescent="0.25">
      <c r="P14889" s="4"/>
    </row>
    <row r="14890" spans="16:16" x14ac:dyDescent="0.25">
      <c r="P14890" s="4"/>
    </row>
    <row r="14891" spans="16:16" x14ac:dyDescent="0.25">
      <c r="P14891" s="4"/>
    </row>
    <row r="14892" spans="16:16" x14ac:dyDescent="0.25">
      <c r="P14892" s="4"/>
    </row>
    <row r="14893" spans="16:16" x14ac:dyDescent="0.25">
      <c r="P14893" s="4"/>
    </row>
    <row r="14894" spans="16:16" x14ac:dyDescent="0.25">
      <c r="P14894" s="4"/>
    </row>
    <row r="14895" spans="16:16" x14ac:dyDescent="0.25">
      <c r="P14895" s="4"/>
    </row>
    <row r="14896" spans="16:16" x14ac:dyDescent="0.25">
      <c r="P14896" s="4"/>
    </row>
    <row r="14897" spans="16:16" x14ac:dyDescent="0.25">
      <c r="P14897" s="4"/>
    </row>
    <row r="14898" spans="16:16" x14ac:dyDescent="0.25">
      <c r="P14898" s="4"/>
    </row>
    <row r="14899" spans="16:16" x14ac:dyDescent="0.25">
      <c r="P14899" s="4"/>
    </row>
    <row r="14900" spans="16:16" x14ac:dyDescent="0.25">
      <c r="P14900" s="4"/>
    </row>
    <row r="14901" spans="16:16" x14ac:dyDescent="0.25">
      <c r="P14901" s="4"/>
    </row>
    <row r="14902" spans="16:16" x14ac:dyDescent="0.25">
      <c r="P14902" s="4"/>
    </row>
    <row r="14903" spans="16:16" x14ac:dyDescent="0.25">
      <c r="P14903" s="4"/>
    </row>
    <row r="14904" spans="16:16" x14ac:dyDescent="0.25">
      <c r="P14904" s="4"/>
    </row>
    <row r="14905" spans="16:16" x14ac:dyDescent="0.25">
      <c r="P14905" s="4"/>
    </row>
    <row r="14906" spans="16:16" x14ac:dyDescent="0.25">
      <c r="P14906" s="4"/>
    </row>
    <row r="14907" spans="16:16" x14ac:dyDescent="0.25">
      <c r="P14907" s="4"/>
    </row>
    <row r="14908" spans="16:16" x14ac:dyDescent="0.25">
      <c r="P14908" s="4"/>
    </row>
    <row r="14909" spans="16:16" x14ac:dyDescent="0.25">
      <c r="P14909" s="4"/>
    </row>
    <row r="14910" spans="16:16" x14ac:dyDescent="0.25">
      <c r="P14910" s="4"/>
    </row>
    <row r="14911" spans="16:16" x14ac:dyDescent="0.25">
      <c r="P14911" s="4"/>
    </row>
    <row r="14912" spans="16:16" x14ac:dyDescent="0.25">
      <c r="P14912" s="4"/>
    </row>
    <row r="14913" spans="16:16" x14ac:dyDescent="0.25">
      <c r="P14913" s="4"/>
    </row>
    <row r="14914" spans="16:16" x14ac:dyDescent="0.25">
      <c r="P14914" s="4"/>
    </row>
    <row r="14915" spans="16:16" x14ac:dyDescent="0.25">
      <c r="P14915" s="4"/>
    </row>
    <row r="14916" spans="16:16" x14ac:dyDescent="0.25">
      <c r="P14916" s="4"/>
    </row>
    <row r="14917" spans="16:16" x14ac:dyDescent="0.25">
      <c r="P14917" s="4"/>
    </row>
    <row r="14918" spans="16:16" x14ac:dyDescent="0.25">
      <c r="P14918" s="4"/>
    </row>
    <row r="14919" spans="16:16" x14ac:dyDescent="0.25">
      <c r="P14919" s="4"/>
    </row>
    <row r="14920" spans="16:16" x14ac:dyDescent="0.25">
      <c r="P14920" s="4"/>
    </row>
    <row r="14921" spans="16:16" x14ac:dyDescent="0.25">
      <c r="P14921" s="4"/>
    </row>
    <row r="14922" spans="16:16" x14ac:dyDescent="0.25">
      <c r="P14922" s="4"/>
    </row>
    <row r="14923" spans="16:16" x14ac:dyDescent="0.25">
      <c r="P14923" s="4"/>
    </row>
    <row r="14924" spans="16:16" x14ac:dyDescent="0.25">
      <c r="P14924" s="4"/>
    </row>
    <row r="14925" spans="16:16" x14ac:dyDescent="0.25">
      <c r="P14925" s="4"/>
    </row>
    <row r="14926" spans="16:16" x14ac:dyDescent="0.25">
      <c r="P14926" s="4"/>
    </row>
    <row r="14927" spans="16:16" x14ac:dyDescent="0.25">
      <c r="P14927" s="4"/>
    </row>
    <row r="14928" spans="16:16" x14ac:dyDescent="0.25">
      <c r="P14928" s="4"/>
    </row>
    <row r="14929" spans="16:16" x14ac:dyDescent="0.25">
      <c r="P14929" s="4"/>
    </row>
    <row r="14930" spans="16:16" x14ac:dyDescent="0.25">
      <c r="P14930" s="4"/>
    </row>
    <row r="14931" spans="16:16" x14ac:dyDescent="0.25">
      <c r="P14931" s="4"/>
    </row>
    <row r="14932" spans="16:16" x14ac:dyDescent="0.25">
      <c r="P14932" s="4"/>
    </row>
    <row r="14933" spans="16:16" x14ac:dyDescent="0.25">
      <c r="P14933" s="4"/>
    </row>
    <row r="14934" spans="16:16" x14ac:dyDescent="0.25">
      <c r="P14934" s="4"/>
    </row>
    <row r="14935" spans="16:16" x14ac:dyDescent="0.25">
      <c r="P14935" s="4"/>
    </row>
    <row r="14936" spans="16:16" x14ac:dyDescent="0.25">
      <c r="P14936" s="4"/>
    </row>
    <row r="14937" spans="16:16" x14ac:dyDescent="0.25">
      <c r="P14937" s="4"/>
    </row>
    <row r="14938" spans="16:16" x14ac:dyDescent="0.25">
      <c r="P14938" s="4"/>
    </row>
    <row r="14939" spans="16:16" x14ac:dyDescent="0.25">
      <c r="P14939" s="4"/>
    </row>
    <row r="14940" spans="16:16" x14ac:dyDescent="0.25">
      <c r="P14940" s="4"/>
    </row>
    <row r="14941" spans="16:16" x14ac:dyDescent="0.25">
      <c r="P14941" s="4"/>
    </row>
    <row r="14942" spans="16:16" x14ac:dyDescent="0.25">
      <c r="P14942" s="4"/>
    </row>
    <row r="14943" spans="16:16" x14ac:dyDescent="0.25">
      <c r="P14943" s="4"/>
    </row>
    <row r="14944" spans="16:16" x14ac:dyDescent="0.25">
      <c r="P14944" s="4"/>
    </row>
    <row r="14945" spans="16:16" x14ac:dyDescent="0.25">
      <c r="P14945" s="4"/>
    </row>
    <row r="14946" spans="16:16" x14ac:dyDescent="0.25">
      <c r="P14946" s="4"/>
    </row>
    <row r="14947" spans="16:16" x14ac:dyDescent="0.25">
      <c r="P14947" s="4"/>
    </row>
    <row r="14948" spans="16:16" x14ac:dyDescent="0.25">
      <c r="P14948" s="4"/>
    </row>
    <row r="14949" spans="16:16" x14ac:dyDescent="0.25">
      <c r="P14949" s="4"/>
    </row>
    <row r="14950" spans="16:16" x14ac:dyDescent="0.25">
      <c r="P14950" s="4"/>
    </row>
    <row r="14951" spans="16:16" x14ac:dyDescent="0.25">
      <c r="P14951" s="4"/>
    </row>
    <row r="14952" spans="16:16" x14ac:dyDescent="0.25">
      <c r="P14952" s="4"/>
    </row>
    <row r="14953" spans="16:16" x14ac:dyDescent="0.25">
      <c r="P14953" s="4"/>
    </row>
    <row r="14954" spans="16:16" x14ac:dyDescent="0.25">
      <c r="P14954" s="4"/>
    </row>
    <row r="14955" spans="16:16" x14ac:dyDescent="0.25">
      <c r="P14955" s="4"/>
    </row>
    <row r="14956" spans="16:16" x14ac:dyDescent="0.25">
      <c r="P14956" s="4"/>
    </row>
    <row r="14957" spans="16:16" x14ac:dyDescent="0.25">
      <c r="P14957" s="4"/>
    </row>
    <row r="14958" spans="16:16" x14ac:dyDescent="0.25">
      <c r="P14958" s="4"/>
    </row>
    <row r="14959" spans="16:16" x14ac:dyDescent="0.25">
      <c r="P14959" s="4"/>
    </row>
    <row r="14960" spans="16:16" x14ac:dyDescent="0.25">
      <c r="P14960" s="4"/>
    </row>
    <row r="14961" spans="16:16" x14ac:dyDescent="0.25">
      <c r="P14961" s="4"/>
    </row>
    <row r="14962" spans="16:16" x14ac:dyDescent="0.25">
      <c r="P14962" s="4"/>
    </row>
    <row r="14963" spans="16:16" x14ac:dyDescent="0.25">
      <c r="P14963" s="4"/>
    </row>
    <row r="14964" spans="16:16" x14ac:dyDescent="0.25">
      <c r="P14964" s="4"/>
    </row>
    <row r="14965" spans="16:16" x14ac:dyDescent="0.25">
      <c r="P14965" s="4"/>
    </row>
    <row r="14966" spans="16:16" x14ac:dyDescent="0.25">
      <c r="P14966" s="4"/>
    </row>
    <row r="14967" spans="16:16" x14ac:dyDescent="0.25">
      <c r="P14967" s="4"/>
    </row>
    <row r="14968" spans="16:16" x14ac:dyDescent="0.25">
      <c r="P14968" s="4"/>
    </row>
    <row r="14969" spans="16:16" x14ac:dyDescent="0.25">
      <c r="P14969" s="4"/>
    </row>
    <row r="14970" spans="16:16" x14ac:dyDescent="0.25">
      <c r="P14970" s="4"/>
    </row>
    <row r="14971" spans="16:16" x14ac:dyDescent="0.25">
      <c r="P14971" s="4"/>
    </row>
    <row r="14972" spans="16:16" x14ac:dyDescent="0.25">
      <c r="P14972" s="4"/>
    </row>
    <row r="14973" spans="16:16" x14ac:dyDescent="0.25">
      <c r="P14973" s="4"/>
    </row>
    <row r="14974" spans="16:16" x14ac:dyDescent="0.25">
      <c r="P14974" s="4"/>
    </row>
    <row r="14975" spans="16:16" x14ac:dyDescent="0.25">
      <c r="P14975" s="4"/>
    </row>
    <row r="14976" spans="16:16" x14ac:dyDescent="0.25">
      <c r="P14976" s="4"/>
    </row>
    <row r="14977" spans="16:16" x14ac:dyDescent="0.25">
      <c r="P14977" s="4"/>
    </row>
    <row r="14978" spans="16:16" x14ac:dyDescent="0.25">
      <c r="P14978" s="4"/>
    </row>
    <row r="14979" spans="16:16" x14ac:dyDescent="0.25">
      <c r="P14979" s="4"/>
    </row>
    <row r="14980" spans="16:16" x14ac:dyDescent="0.25">
      <c r="P14980" s="4"/>
    </row>
    <row r="14981" spans="16:16" x14ac:dyDescent="0.25">
      <c r="P14981" s="4"/>
    </row>
    <row r="14982" spans="16:16" x14ac:dyDescent="0.25">
      <c r="P14982" s="4"/>
    </row>
    <row r="14983" spans="16:16" x14ac:dyDescent="0.25">
      <c r="P14983" s="4"/>
    </row>
    <row r="14984" spans="16:16" x14ac:dyDescent="0.25">
      <c r="P14984" s="4"/>
    </row>
    <row r="14985" spans="16:16" x14ac:dyDescent="0.25">
      <c r="P14985" s="4"/>
    </row>
    <row r="14986" spans="16:16" x14ac:dyDescent="0.25">
      <c r="P14986" s="4"/>
    </row>
    <row r="14987" spans="16:16" x14ac:dyDescent="0.25">
      <c r="P14987" s="4"/>
    </row>
    <row r="14988" spans="16:16" x14ac:dyDescent="0.25">
      <c r="P14988" s="4"/>
    </row>
    <row r="14989" spans="16:16" x14ac:dyDescent="0.25">
      <c r="P14989" s="4"/>
    </row>
    <row r="14990" spans="16:16" x14ac:dyDescent="0.25">
      <c r="P14990" s="4"/>
    </row>
    <row r="14991" spans="16:16" x14ac:dyDescent="0.25">
      <c r="P14991" s="4"/>
    </row>
    <row r="14992" spans="16:16" x14ac:dyDescent="0.25">
      <c r="P14992" s="4"/>
    </row>
    <row r="14993" spans="16:16" x14ac:dyDescent="0.25">
      <c r="P14993" s="4"/>
    </row>
    <row r="14994" spans="16:16" x14ac:dyDescent="0.25">
      <c r="P14994" s="4"/>
    </row>
    <row r="14995" spans="16:16" x14ac:dyDescent="0.25">
      <c r="P14995" s="4"/>
    </row>
    <row r="14996" spans="16:16" x14ac:dyDescent="0.25">
      <c r="P14996" s="4"/>
    </row>
    <row r="14997" spans="16:16" x14ac:dyDescent="0.25">
      <c r="P14997" s="4"/>
    </row>
    <row r="14998" spans="16:16" x14ac:dyDescent="0.25">
      <c r="P14998" s="4"/>
    </row>
    <row r="14999" spans="16:16" x14ac:dyDescent="0.25">
      <c r="P14999" s="4"/>
    </row>
    <row r="15000" spans="16:16" x14ac:dyDescent="0.25">
      <c r="P15000" s="4"/>
    </row>
    <row r="15001" spans="16:16" x14ac:dyDescent="0.25">
      <c r="P15001" s="4"/>
    </row>
    <row r="15002" spans="16:16" x14ac:dyDescent="0.25">
      <c r="P15002" s="4"/>
    </row>
    <row r="15003" spans="16:16" x14ac:dyDescent="0.25">
      <c r="P15003" s="4"/>
    </row>
    <row r="15004" spans="16:16" x14ac:dyDescent="0.25">
      <c r="P15004" s="4"/>
    </row>
    <row r="15005" spans="16:16" x14ac:dyDescent="0.25">
      <c r="P15005" s="4"/>
    </row>
    <row r="15006" spans="16:16" x14ac:dyDescent="0.25">
      <c r="P15006" s="4"/>
    </row>
    <row r="15007" spans="16:16" x14ac:dyDescent="0.25">
      <c r="P15007" s="4"/>
    </row>
    <row r="15008" spans="16:16" x14ac:dyDescent="0.25">
      <c r="P15008" s="4"/>
    </row>
    <row r="15009" spans="16:16" x14ac:dyDescent="0.25">
      <c r="P15009" s="4"/>
    </row>
    <row r="15010" spans="16:16" x14ac:dyDescent="0.25">
      <c r="P15010" s="4"/>
    </row>
    <row r="15011" spans="16:16" x14ac:dyDescent="0.25">
      <c r="P15011" s="4"/>
    </row>
    <row r="15012" spans="16:16" x14ac:dyDescent="0.25">
      <c r="P15012" s="4"/>
    </row>
    <row r="15013" spans="16:16" x14ac:dyDescent="0.25">
      <c r="P15013" s="4"/>
    </row>
    <row r="15014" spans="16:16" x14ac:dyDescent="0.25">
      <c r="P15014" s="4"/>
    </row>
    <row r="15015" spans="16:16" x14ac:dyDescent="0.25">
      <c r="P15015" s="4"/>
    </row>
    <row r="15016" spans="16:16" x14ac:dyDescent="0.25">
      <c r="P15016" s="4"/>
    </row>
    <row r="15017" spans="16:16" x14ac:dyDescent="0.25">
      <c r="P15017" s="4"/>
    </row>
    <row r="15018" spans="16:16" x14ac:dyDescent="0.25">
      <c r="P15018" s="4"/>
    </row>
    <row r="15019" spans="16:16" x14ac:dyDescent="0.25">
      <c r="P15019" s="4"/>
    </row>
    <row r="15020" spans="16:16" x14ac:dyDescent="0.25">
      <c r="P15020" s="4"/>
    </row>
    <row r="15021" spans="16:16" x14ac:dyDescent="0.25">
      <c r="P15021" s="4"/>
    </row>
    <row r="15022" spans="16:16" x14ac:dyDescent="0.25">
      <c r="P15022" s="4"/>
    </row>
    <row r="15023" spans="16:16" x14ac:dyDescent="0.25">
      <c r="P15023" s="4"/>
    </row>
    <row r="15024" spans="16:16" x14ac:dyDescent="0.25">
      <c r="P15024" s="4"/>
    </row>
    <row r="15025" spans="16:16" x14ac:dyDescent="0.25">
      <c r="P15025" s="4"/>
    </row>
    <row r="15026" spans="16:16" x14ac:dyDescent="0.25">
      <c r="P15026" s="4"/>
    </row>
    <row r="15027" spans="16:16" x14ac:dyDescent="0.25">
      <c r="P15027" s="4"/>
    </row>
    <row r="15028" spans="16:16" x14ac:dyDescent="0.25">
      <c r="P15028" s="4"/>
    </row>
    <row r="15029" spans="16:16" x14ac:dyDescent="0.25">
      <c r="P15029" s="4"/>
    </row>
    <row r="15030" spans="16:16" x14ac:dyDescent="0.25">
      <c r="P15030" s="4"/>
    </row>
    <row r="15031" spans="16:16" x14ac:dyDescent="0.25">
      <c r="P15031" s="4"/>
    </row>
    <row r="15032" spans="16:16" x14ac:dyDescent="0.25">
      <c r="P15032" s="4"/>
    </row>
    <row r="15033" spans="16:16" x14ac:dyDescent="0.25">
      <c r="P15033" s="4"/>
    </row>
    <row r="15034" spans="16:16" x14ac:dyDescent="0.25">
      <c r="P15034" s="4"/>
    </row>
    <row r="15035" spans="16:16" x14ac:dyDescent="0.25">
      <c r="P15035" s="4"/>
    </row>
    <row r="15036" spans="16:16" x14ac:dyDescent="0.25">
      <c r="P15036" s="4"/>
    </row>
    <row r="15037" spans="16:16" x14ac:dyDescent="0.25">
      <c r="P15037" s="4"/>
    </row>
    <row r="15038" spans="16:16" x14ac:dyDescent="0.25">
      <c r="P15038" s="4"/>
    </row>
    <row r="15039" spans="16:16" x14ac:dyDescent="0.25">
      <c r="P15039" s="4"/>
    </row>
    <row r="15040" spans="16:16" x14ac:dyDescent="0.25">
      <c r="P15040" s="4"/>
    </row>
    <row r="15041" spans="16:16" x14ac:dyDescent="0.25">
      <c r="P15041" s="4"/>
    </row>
    <row r="15042" spans="16:16" x14ac:dyDescent="0.25">
      <c r="P15042" s="4"/>
    </row>
    <row r="15043" spans="16:16" x14ac:dyDescent="0.25">
      <c r="P15043" s="4"/>
    </row>
    <row r="15044" spans="16:16" x14ac:dyDescent="0.25">
      <c r="P15044" s="4"/>
    </row>
    <row r="15045" spans="16:16" x14ac:dyDescent="0.25">
      <c r="P15045" s="4"/>
    </row>
    <row r="15046" spans="16:16" x14ac:dyDescent="0.25">
      <c r="P15046" s="4"/>
    </row>
    <row r="15047" spans="16:16" x14ac:dyDescent="0.25">
      <c r="P15047" s="4"/>
    </row>
    <row r="15048" spans="16:16" x14ac:dyDescent="0.25">
      <c r="P15048" s="4"/>
    </row>
    <row r="15049" spans="16:16" x14ac:dyDescent="0.25">
      <c r="P15049" s="4"/>
    </row>
    <row r="15050" spans="16:16" x14ac:dyDescent="0.25">
      <c r="P15050" s="4"/>
    </row>
    <row r="15051" spans="16:16" x14ac:dyDescent="0.25">
      <c r="P15051" s="4"/>
    </row>
    <row r="15052" spans="16:16" x14ac:dyDescent="0.25">
      <c r="P15052" s="4"/>
    </row>
    <row r="15053" spans="16:16" x14ac:dyDescent="0.25">
      <c r="P15053" s="4"/>
    </row>
    <row r="15054" spans="16:16" x14ac:dyDescent="0.25">
      <c r="P15054" s="4"/>
    </row>
    <row r="15055" spans="16:16" x14ac:dyDescent="0.25">
      <c r="P15055" s="4"/>
    </row>
    <row r="15056" spans="16:16" x14ac:dyDescent="0.25">
      <c r="P15056" s="4"/>
    </row>
    <row r="15057" spans="16:16" x14ac:dyDescent="0.25">
      <c r="P15057" s="4"/>
    </row>
    <row r="15058" spans="16:16" x14ac:dyDescent="0.25">
      <c r="P15058" s="4"/>
    </row>
    <row r="15059" spans="16:16" x14ac:dyDescent="0.25">
      <c r="P15059" s="4"/>
    </row>
    <row r="15060" spans="16:16" x14ac:dyDescent="0.25">
      <c r="P15060" s="4"/>
    </row>
    <row r="15061" spans="16:16" x14ac:dyDescent="0.25">
      <c r="P15061" s="4"/>
    </row>
    <row r="15062" spans="16:16" x14ac:dyDescent="0.25">
      <c r="P15062" s="4"/>
    </row>
    <row r="15063" spans="16:16" x14ac:dyDescent="0.25">
      <c r="P15063" s="4"/>
    </row>
    <row r="15064" spans="16:16" x14ac:dyDescent="0.25">
      <c r="P15064" s="4"/>
    </row>
    <row r="15065" spans="16:16" x14ac:dyDescent="0.25">
      <c r="P15065" s="4"/>
    </row>
    <row r="15066" spans="16:16" x14ac:dyDescent="0.25">
      <c r="P15066" s="4"/>
    </row>
    <row r="15067" spans="16:16" x14ac:dyDescent="0.25">
      <c r="P15067" s="4"/>
    </row>
    <row r="15068" spans="16:16" x14ac:dyDescent="0.25">
      <c r="P15068" s="4"/>
    </row>
    <row r="15069" spans="16:16" x14ac:dyDescent="0.25">
      <c r="P15069" s="4"/>
    </row>
    <row r="15070" spans="16:16" x14ac:dyDescent="0.25">
      <c r="P15070" s="4"/>
    </row>
    <row r="15071" spans="16:16" x14ac:dyDescent="0.25">
      <c r="P15071" s="4"/>
    </row>
    <row r="15072" spans="16:16" x14ac:dyDescent="0.25">
      <c r="P15072" s="4"/>
    </row>
    <row r="15073" spans="16:16" x14ac:dyDescent="0.25">
      <c r="P15073" s="4"/>
    </row>
    <row r="15074" spans="16:16" x14ac:dyDescent="0.25">
      <c r="P15074" s="4"/>
    </row>
    <row r="15075" spans="16:16" x14ac:dyDescent="0.25">
      <c r="P15075" s="4"/>
    </row>
    <row r="15076" spans="16:16" x14ac:dyDescent="0.25">
      <c r="P15076" s="4"/>
    </row>
    <row r="15077" spans="16:16" x14ac:dyDescent="0.25">
      <c r="P15077" s="4"/>
    </row>
    <row r="15078" spans="16:16" x14ac:dyDescent="0.25">
      <c r="P15078" s="4"/>
    </row>
    <row r="15079" spans="16:16" x14ac:dyDescent="0.25">
      <c r="P15079" s="4"/>
    </row>
    <row r="15080" spans="16:16" x14ac:dyDescent="0.25">
      <c r="P15080" s="4"/>
    </row>
    <row r="15081" spans="16:16" x14ac:dyDescent="0.25">
      <c r="P15081" s="4"/>
    </row>
    <row r="15082" spans="16:16" x14ac:dyDescent="0.25">
      <c r="P15082" s="4"/>
    </row>
    <row r="15083" spans="16:16" x14ac:dyDescent="0.25">
      <c r="P15083" s="4"/>
    </row>
    <row r="15084" spans="16:16" x14ac:dyDescent="0.25">
      <c r="P15084" s="4"/>
    </row>
    <row r="15085" spans="16:16" x14ac:dyDescent="0.25">
      <c r="P15085" s="4"/>
    </row>
    <row r="15086" spans="16:16" x14ac:dyDescent="0.25">
      <c r="P15086" s="4"/>
    </row>
    <row r="15087" spans="16:16" x14ac:dyDescent="0.25">
      <c r="P15087" s="4"/>
    </row>
    <row r="15088" spans="16:16" x14ac:dyDescent="0.25">
      <c r="P15088" s="4"/>
    </row>
    <row r="15089" spans="16:16" x14ac:dyDescent="0.25">
      <c r="P15089" s="4"/>
    </row>
    <row r="15090" spans="16:16" x14ac:dyDescent="0.25">
      <c r="P15090" s="4"/>
    </row>
    <row r="15091" spans="16:16" x14ac:dyDescent="0.25">
      <c r="P15091" s="4"/>
    </row>
    <row r="15092" spans="16:16" x14ac:dyDescent="0.25">
      <c r="P15092" s="4"/>
    </row>
    <row r="15093" spans="16:16" x14ac:dyDescent="0.25">
      <c r="P15093" s="4"/>
    </row>
    <row r="15094" spans="16:16" x14ac:dyDescent="0.25">
      <c r="P15094" s="4"/>
    </row>
    <row r="15095" spans="16:16" x14ac:dyDescent="0.25">
      <c r="P15095" s="4"/>
    </row>
    <row r="15096" spans="16:16" x14ac:dyDescent="0.25">
      <c r="P15096" s="4"/>
    </row>
    <row r="15097" spans="16:16" x14ac:dyDescent="0.25">
      <c r="P15097" s="4"/>
    </row>
    <row r="15098" spans="16:16" x14ac:dyDescent="0.25">
      <c r="P15098" s="4"/>
    </row>
    <row r="15099" spans="16:16" x14ac:dyDescent="0.25">
      <c r="P15099" s="4"/>
    </row>
    <row r="15100" spans="16:16" x14ac:dyDescent="0.25">
      <c r="P15100" s="4"/>
    </row>
    <row r="15101" spans="16:16" x14ac:dyDescent="0.25">
      <c r="P15101" s="4"/>
    </row>
    <row r="15102" spans="16:16" x14ac:dyDescent="0.25">
      <c r="P15102" s="4"/>
    </row>
    <row r="15103" spans="16:16" x14ac:dyDescent="0.25">
      <c r="P15103" s="4"/>
    </row>
    <row r="15104" spans="16:16" x14ac:dyDescent="0.25">
      <c r="P15104" s="4"/>
    </row>
    <row r="15105" spans="16:16" x14ac:dyDescent="0.25">
      <c r="P15105" s="4"/>
    </row>
    <row r="15106" spans="16:16" x14ac:dyDescent="0.25">
      <c r="P15106" s="4"/>
    </row>
    <row r="15107" spans="16:16" x14ac:dyDescent="0.25">
      <c r="P15107" s="4"/>
    </row>
    <row r="15108" spans="16:16" x14ac:dyDescent="0.25">
      <c r="P15108" s="4"/>
    </row>
    <row r="15109" spans="16:16" x14ac:dyDescent="0.25">
      <c r="P15109" s="4"/>
    </row>
    <row r="15110" spans="16:16" x14ac:dyDescent="0.25">
      <c r="P15110" s="4"/>
    </row>
    <row r="15111" spans="16:16" x14ac:dyDescent="0.25">
      <c r="P15111" s="4"/>
    </row>
    <row r="15112" spans="16:16" x14ac:dyDescent="0.25">
      <c r="P15112" s="4"/>
    </row>
    <row r="15113" spans="16:16" x14ac:dyDescent="0.25">
      <c r="P15113" s="4"/>
    </row>
    <row r="15114" spans="16:16" x14ac:dyDescent="0.25">
      <c r="P15114" s="4"/>
    </row>
    <row r="15115" spans="16:16" x14ac:dyDescent="0.25">
      <c r="P15115" s="4"/>
    </row>
    <row r="15116" spans="16:16" x14ac:dyDescent="0.25">
      <c r="P15116" s="4"/>
    </row>
    <row r="15117" spans="16:16" x14ac:dyDescent="0.25">
      <c r="P15117" s="4"/>
    </row>
    <row r="15118" spans="16:16" x14ac:dyDescent="0.25">
      <c r="P15118" s="4"/>
    </row>
    <row r="15119" spans="16:16" x14ac:dyDescent="0.25">
      <c r="P15119" s="4"/>
    </row>
    <row r="15120" spans="16:16" x14ac:dyDescent="0.25">
      <c r="P15120" s="4"/>
    </row>
    <row r="15121" spans="16:16" x14ac:dyDescent="0.25">
      <c r="P15121" s="4"/>
    </row>
    <row r="15122" spans="16:16" x14ac:dyDescent="0.25">
      <c r="P15122" s="4"/>
    </row>
    <row r="15123" spans="16:16" x14ac:dyDescent="0.25">
      <c r="P15123" s="4"/>
    </row>
    <row r="15124" spans="16:16" x14ac:dyDescent="0.25">
      <c r="P15124" s="4"/>
    </row>
    <row r="15125" spans="16:16" x14ac:dyDescent="0.25">
      <c r="P15125" s="4"/>
    </row>
    <row r="15126" spans="16:16" x14ac:dyDescent="0.25">
      <c r="P15126" s="4"/>
    </row>
    <row r="15127" spans="16:16" x14ac:dyDescent="0.25">
      <c r="P15127" s="4"/>
    </row>
    <row r="15128" spans="16:16" x14ac:dyDescent="0.25">
      <c r="P15128" s="4"/>
    </row>
    <row r="15129" spans="16:16" x14ac:dyDescent="0.25">
      <c r="P15129" s="4"/>
    </row>
    <row r="15130" spans="16:16" x14ac:dyDescent="0.25">
      <c r="P15130" s="4"/>
    </row>
    <row r="15131" spans="16:16" x14ac:dyDescent="0.25">
      <c r="P15131" s="4"/>
    </row>
    <row r="15132" spans="16:16" x14ac:dyDescent="0.25">
      <c r="P15132" s="4"/>
    </row>
    <row r="15133" spans="16:16" x14ac:dyDescent="0.25">
      <c r="P15133" s="4"/>
    </row>
    <row r="15134" spans="16:16" x14ac:dyDescent="0.25">
      <c r="P15134" s="4"/>
    </row>
    <row r="15135" spans="16:16" x14ac:dyDescent="0.25">
      <c r="P15135" s="4"/>
    </row>
    <row r="15136" spans="16:16" x14ac:dyDescent="0.25">
      <c r="P15136" s="4"/>
    </row>
    <row r="15137" spans="16:16" x14ac:dyDescent="0.25">
      <c r="P15137" s="4"/>
    </row>
    <row r="15138" spans="16:16" x14ac:dyDescent="0.25">
      <c r="P15138" s="4"/>
    </row>
    <row r="15139" spans="16:16" x14ac:dyDescent="0.25">
      <c r="P15139" s="4"/>
    </row>
    <row r="15140" spans="16:16" x14ac:dyDescent="0.25">
      <c r="P15140" s="4"/>
    </row>
    <row r="15141" spans="16:16" x14ac:dyDescent="0.25">
      <c r="P15141" s="4"/>
    </row>
    <row r="15142" spans="16:16" x14ac:dyDescent="0.25">
      <c r="P15142" s="4"/>
    </row>
    <row r="15143" spans="16:16" x14ac:dyDescent="0.25">
      <c r="P15143" s="4"/>
    </row>
    <row r="15144" spans="16:16" x14ac:dyDescent="0.25">
      <c r="P15144" s="4"/>
    </row>
    <row r="15145" spans="16:16" x14ac:dyDescent="0.25">
      <c r="P15145" s="4"/>
    </row>
    <row r="15146" spans="16:16" x14ac:dyDescent="0.25">
      <c r="P15146" s="4"/>
    </row>
    <row r="15147" spans="16:16" x14ac:dyDescent="0.25">
      <c r="P15147" s="4"/>
    </row>
    <row r="15148" spans="16:16" x14ac:dyDescent="0.25">
      <c r="P15148" s="4"/>
    </row>
    <row r="15149" spans="16:16" x14ac:dyDescent="0.25">
      <c r="P15149" s="4"/>
    </row>
    <row r="15150" spans="16:16" x14ac:dyDescent="0.25">
      <c r="P15150" s="4"/>
    </row>
    <row r="15151" spans="16:16" x14ac:dyDescent="0.25">
      <c r="P15151" s="4"/>
    </row>
    <row r="15152" spans="16:16" x14ac:dyDescent="0.25">
      <c r="P15152" s="4"/>
    </row>
    <row r="15153" spans="16:16" x14ac:dyDescent="0.25">
      <c r="P15153" s="4"/>
    </row>
    <row r="15154" spans="16:16" x14ac:dyDescent="0.25">
      <c r="P15154" s="4"/>
    </row>
    <row r="15155" spans="16:16" x14ac:dyDescent="0.25">
      <c r="P15155" s="4"/>
    </row>
    <row r="15156" spans="16:16" x14ac:dyDescent="0.25">
      <c r="P15156" s="4"/>
    </row>
    <row r="15157" spans="16:16" x14ac:dyDescent="0.25">
      <c r="P15157" s="4"/>
    </row>
    <row r="15158" spans="16:16" x14ac:dyDescent="0.25">
      <c r="P15158" s="4"/>
    </row>
    <row r="15159" spans="16:16" x14ac:dyDescent="0.25">
      <c r="P15159" s="4"/>
    </row>
    <row r="15160" spans="16:16" x14ac:dyDescent="0.25">
      <c r="P15160" s="4"/>
    </row>
    <row r="15161" spans="16:16" x14ac:dyDescent="0.25">
      <c r="P15161" s="4"/>
    </row>
    <row r="15162" spans="16:16" x14ac:dyDescent="0.25">
      <c r="P15162" s="4"/>
    </row>
    <row r="15163" spans="16:16" x14ac:dyDescent="0.25">
      <c r="P15163" s="4"/>
    </row>
    <row r="15164" spans="16:16" x14ac:dyDescent="0.25">
      <c r="P15164" s="4"/>
    </row>
    <row r="15165" spans="16:16" x14ac:dyDescent="0.25">
      <c r="P15165" s="4"/>
    </row>
    <row r="15166" spans="16:16" x14ac:dyDescent="0.25">
      <c r="P15166" s="4"/>
    </row>
    <row r="15167" spans="16:16" x14ac:dyDescent="0.25">
      <c r="P15167" s="4"/>
    </row>
    <row r="15168" spans="16:16" x14ac:dyDescent="0.25">
      <c r="P15168" s="4"/>
    </row>
    <row r="15169" spans="16:16" x14ac:dyDescent="0.25">
      <c r="P15169" s="4"/>
    </row>
    <row r="15170" spans="16:16" x14ac:dyDescent="0.25">
      <c r="P15170" s="4"/>
    </row>
    <row r="15171" spans="16:16" x14ac:dyDescent="0.25">
      <c r="P15171" s="4"/>
    </row>
    <row r="15172" spans="16:16" x14ac:dyDescent="0.25">
      <c r="P15172" s="4"/>
    </row>
    <row r="15173" spans="16:16" x14ac:dyDescent="0.25">
      <c r="P15173" s="4"/>
    </row>
    <row r="15174" spans="16:16" x14ac:dyDescent="0.25">
      <c r="P15174" s="4"/>
    </row>
    <row r="15175" spans="16:16" x14ac:dyDescent="0.25">
      <c r="P15175" s="4"/>
    </row>
    <row r="15176" spans="16:16" x14ac:dyDescent="0.25">
      <c r="P15176" s="4"/>
    </row>
    <row r="15177" spans="16:16" x14ac:dyDescent="0.25">
      <c r="P15177" s="4"/>
    </row>
    <row r="15178" spans="16:16" x14ac:dyDescent="0.25">
      <c r="P15178" s="4"/>
    </row>
    <row r="15179" spans="16:16" x14ac:dyDescent="0.25">
      <c r="P15179" s="4"/>
    </row>
    <row r="15180" spans="16:16" x14ac:dyDescent="0.25">
      <c r="P15180" s="4"/>
    </row>
    <row r="15181" spans="16:16" x14ac:dyDescent="0.25">
      <c r="P15181" s="4"/>
    </row>
    <row r="15182" spans="16:16" x14ac:dyDescent="0.25">
      <c r="P15182" s="4"/>
    </row>
    <row r="15183" spans="16:16" x14ac:dyDescent="0.25">
      <c r="P15183" s="4"/>
    </row>
    <row r="15184" spans="16:16" x14ac:dyDescent="0.25">
      <c r="P15184" s="4"/>
    </row>
    <row r="15185" spans="16:16" x14ac:dyDescent="0.25">
      <c r="P15185" s="4"/>
    </row>
    <row r="15186" spans="16:16" x14ac:dyDescent="0.25">
      <c r="P15186" s="4"/>
    </row>
    <row r="15187" spans="16:16" x14ac:dyDescent="0.25">
      <c r="P15187" s="4"/>
    </row>
    <row r="15188" spans="16:16" x14ac:dyDescent="0.25">
      <c r="P15188" s="4"/>
    </row>
    <row r="15189" spans="16:16" x14ac:dyDescent="0.25">
      <c r="P15189" s="4"/>
    </row>
    <row r="15190" spans="16:16" x14ac:dyDescent="0.25">
      <c r="P15190" s="4"/>
    </row>
    <row r="15191" spans="16:16" x14ac:dyDescent="0.25">
      <c r="P15191" s="4"/>
    </row>
    <row r="15192" spans="16:16" x14ac:dyDescent="0.25">
      <c r="P15192" s="4"/>
    </row>
    <row r="15193" spans="16:16" x14ac:dyDescent="0.25">
      <c r="P15193" s="4"/>
    </row>
    <row r="15194" spans="16:16" x14ac:dyDescent="0.25">
      <c r="P15194" s="4"/>
    </row>
    <row r="15195" spans="16:16" x14ac:dyDescent="0.25">
      <c r="P15195" s="4"/>
    </row>
    <row r="15196" spans="16:16" x14ac:dyDescent="0.25">
      <c r="P15196" s="4"/>
    </row>
    <row r="15197" spans="16:16" x14ac:dyDescent="0.25">
      <c r="P15197" s="4"/>
    </row>
    <row r="15198" spans="16:16" x14ac:dyDescent="0.25">
      <c r="P15198" s="4"/>
    </row>
    <row r="15199" spans="16:16" x14ac:dyDescent="0.25">
      <c r="P15199" s="4"/>
    </row>
    <row r="15200" spans="16:16" x14ac:dyDescent="0.25">
      <c r="P15200" s="4"/>
    </row>
    <row r="15201" spans="16:16" x14ac:dyDescent="0.25">
      <c r="P15201" s="4"/>
    </row>
    <row r="15202" spans="16:16" x14ac:dyDescent="0.25">
      <c r="P15202" s="4"/>
    </row>
    <row r="15203" spans="16:16" x14ac:dyDescent="0.25">
      <c r="P15203" s="4"/>
    </row>
    <row r="15204" spans="16:16" x14ac:dyDescent="0.25">
      <c r="P15204" s="4"/>
    </row>
    <row r="15205" spans="16:16" x14ac:dyDescent="0.25">
      <c r="P15205" s="4"/>
    </row>
    <row r="15206" spans="16:16" x14ac:dyDescent="0.25">
      <c r="P15206" s="4"/>
    </row>
    <row r="15207" spans="16:16" x14ac:dyDescent="0.25">
      <c r="P15207" s="4"/>
    </row>
    <row r="15208" spans="16:16" x14ac:dyDescent="0.25">
      <c r="P15208" s="4"/>
    </row>
    <row r="15209" spans="16:16" x14ac:dyDescent="0.25">
      <c r="P15209" s="4"/>
    </row>
    <row r="15210" spans="16:16" x14ac:dyDescent="0.25">
      <c r="P15210" s="4"/>
    </row>
    <row r="15211" spans="16:16" x14ac:dyDescent="0.25">
      <c r="P15211" s="4"/>
    </row>
    <row r="15212" spans="16:16" x14ac:dyDescent="0.25">
      <c r="P15212" s="4"/>
    </row>
    <row r="15213" spans="16:16" x14ac:dyDescent="0.25">
      <c r="P15213" s="4"/>
    </row>
    <row r="15214" spans="16:16" x14ac:dyDescent="0.25">
      <c r="P15214" s="4"/>
    </row>
    <row r="15215" spans="16:16" x14ac:dyDescent="0.25">
      <c r="P15215" s="4"/>
    </row>
    <row r="15216" spans="16:16" x14ac:dyDescent="0.25">
      <c r="P15216" s="4"/>
    </row>
    <row r="15217" spans="16:16" x14ac:dyDescent="0.25">
      <c r="P15217" s="4"/>
    </row>
    <row r="15218" spans="16:16" x14ac:dyDescent="0.25">
      <c r="P15218" s="4"/>
    </row>
    <row r="15219" spans="16:16" x14ac:dyDescent="0.25">
      <c r="P15219" s="4"/>
    </row>
    <row r="15220" spans="16:16" x14ac:dyDescent="0.25">
      <c r="P15220" s="4"/>
    </row>
    <row r="15221" spans="16:16" x14ac:dyDescent="0.25">
      <c r="P15221" s="4"/>
    </row>
    <row r="15222" spans="16:16" x14ac:dyDescent="0.25">
      <c r="P15222" s="4"/>
    </row>
    <row r="15223" spans="16:16" x14ac:dyDescent="0.25">
      <c r="P15223" s="4"/>
    </row>
    <row r="15224" spans="16:16" x14ac:dyDescent="0.25">
      <c r="P15224" s="4"/>
    </row>
    <row r="15225" spans="16:16" x14ac:dyDescent="0.25">
      <c r="P15225" s="4"/>
    </row>
    <row r="15226" spans="16:16" x14ac:dyDescent="0.25">
      <c r="P15226" s="4"/>
    </row>
    <row r="15227" spans="16:16" x14ac:dyDescent="0.25">
      <c r="P15227" s="4"/>
    </row>
    <row r="15228" spans="16:16" x14ac:dyDescent="0.25">
      <c r="P15228" s="4"/>
    </row>
    <row r="15229" spans="16:16" x14ac:dyDescent="0.25">
      <c r="P15229" s="4"/>
    </row>
    <row r="15230" spans="16:16" x14ac:dyDescent="0.25">
      <c r="P15230" s="4"/>
    </row>
    <row r="15231" spans="16:16" x14ac:dyDescent="0.25">
      <c r="P15231" s="4"/>
    </row>
    <row r="15232" spans="16:16" x14ac:dyDescent="0.25">
      <c r="P15232" s="4"/>
    </row>
    <row r="15233" spans="16:16" x14ac:dyDescent="0.25">
      <c r="P15233" s="4"/>
    </row>
    <row r="15234" spans="16:16" x14ac:dyDescent="0.25">
      <c r="P15234" s="4"/>
    </row>
    <row r="15235" spans="16:16" x14ac:dyDescent="0.25">
      <c r="P15235" s="4"/>
    </row>
    <row r="15236" spans="16:16" x14ac:dyDescent="0.25">
      <c r="P15236" s="4"/>
    </row>
    <row r="15237" spans="16:16" x14ac:dyDescent="0.25">
      <c r="P15237" s="4"/>
    </row>
    <row r="15238" spans="16:16" x14ac:dyDescent="0.25">
      <c r="P15238" s="4"/>
    </row>
    <row r="15239" spans="16:16" x14ac:dyDescent="0.25">
      <c r="P15239" s="4"/>
    </row>
    <row r="15240" spans="16:16" x14ac:dyDescent="0.25">
      <c r="P15240" s="4"/>
    </row>
    <row r="15241" spans="16:16" x14ac:dyDescent="0.25">
      <c r="P15241" s="4"/>
    </row>
    <row r="15242" spans="16:16" x14ac:dyDescent="0.25">
      <c r="P15242" s="4"/>
    </row>
    <row r="15243" spans="16:16" x14ac:dyDescent="0.25">
      <c r="P15243" s="4"/>
    </row>
    <row r="15244" spans="16:16" x14ac:dyDescent="0.25">
      <c r="P15244" s="4"/>
    </row>
    <row r="15245" spans="16:16" x14ac:dyDescent="0.25">
      <c r="P15245" s="4"/>
    </row>
    <row r="15246" spans="16:16" x14ac:dyDescent="0.25">
      <c r="P15246" s="4"/>
    </row>
    <row r="15247" spans="16:16" x14ac:dyDescent="0.25">
      <c r="P15247" s="4"/>
    </row>
    <row r="15248" spans="16:16" x14ac:dyDescent="0.25">
      <c r="P15248" s="4"/>
    </row>
    <row r="15249" spans="16:16" x14ac:dyDescent="0.25">
      <c r="P15249" s="4"/>
    </row>
    <row r="15250" spans="16:16" x14ac:dyDescent="0.25">
      <c r="P15250" s="4"/>
    </row>
    <row r="15251" spans="16:16" x14ac:dyDescent="0.25">
      <c r="P15251" s="4"/>
    </row>
    <row r="15252" spans="16:16" x14ac:dyDescent="0.25">
      <c r="P15252" s="4"/>
    </row>
    <row r="15253" spans="16:16" x14ac:dyDescent="0.25">
      <c r="P15253" s="4"/>
    </row>
    <row r="15254" spans="16:16" x14ac:dyDescent="0.25">
      <c r="P15254" s="4"/>
    </row>
    <row r="15255" spans="16:16" x14ac:dyDescent="0.25">
      <c r="P15255" s="4"/>
    </row>
    <row r="15256" spans="16:16" x14ac:dyDescent="0.25">
      <c r="P15256" s="4"/>
    </row>
    <row r="15257" spans="16:16" x14ac:dyDescent="0.25">
      <c r="P15257" s="4"/>
    </row>
    <row r="15258" spans="16:16" x14ac:dyDescent="0.25">
      <c r="P15258" s="4"/>
    </row>
    <row r="15259" spans="16:16" x14ac:dyDescent="0.25">
      <c r="P15259" s="4"/>
    </row>
    <row r="15260" spans="16:16" x14ac:dyDescent="0.25">
      <c r="P15260" s="4"/>
    </row>
    <row r="15261" spans="16:16" x14ac:dyDescent="0.25">
      <c r="P15261" s="4"/>
    </row>
    <row r="15262" spans="16:16" x14ac:dyDescent="0.25">
      <c r="P15262" s="4"/>
    </row>
    <row r="15263" spans="16:16" x14ac:dyDescent="0.25">
      <c r="P15263" s="4"/>
    </row>
    <row r="15264" spans="16:16" x14ac:dyDescent="0.25">
      <c r="P15264" s="4"/>
    </row>
    <row r="15265" spans="16:16" x14ac:dyDescent="0.25">
      <c r="P15265" s="4"/>
    </row>
    <row r="15266" spans="16:16" x14ac:dyDescent="0.25">
      <c r="P15266" s="4"/>
    </row>
    <row r="15267" spans="16:16" x14ac:dyDescent="0.25">
      <c r="P15267" s="4"/>
    </row>
    <row r="15268" spans="16:16" x14ac:dyDescent="0.25">
      <c r="P15268" s="4"/>
    </row>
    <row r="15269" spans="16:16" x14ac:dyDescent="0.25">
      <c r="P15269" s="4"/>
    </row>
    <row r="15270" spans="16:16" x14ac:dyDescent="0.25">
      <c r="P15270" s="4"/>
    </row>
    <row r="15271" spans="16:16" x14ac:dyDescent="0.25">
      <c r="P15271" s="4"/>
    </row>
    <row r="15272" spans="16:16" x14ac:dyDescent="0.25">
      <c r="P15272" s="4"/>
    </row>
    <row r="15273" spans="16:16" x14ac:dyDescent="0.25">
      <c r="P15273" s="4"/>
    </row>
    <row r="15274" spans="16:16" x14ac:dyDescent="0.25">
      <c r="P15274" s="4"/>
    </row>
    <row r="15275" spans="16:16" x14ac:dyDescent="0.25">
      <c r="P15275" s="4"/>
    </row>
    <row r="15276" spans="16:16" x14ac:dyDescent="0.25">
      <c r="P15276" s="4"/>
    </row>
    <row r="15277" spans="16:16" x14ac:dyDescent="0.25">
      <c r="P15277" s="4"/>
    </row>
    <row r="15278" spans="16:16" x14ac:dyDescent="0.25">
      <c r="P15278" s="4"/>
    </row>
    <row r="15279" spans="16:16" x14ac:dyDescent="0.25">
      <c r="P15279" s="4"/>
    </row>
    <row r="15280" spans="16:16" x14ac:dyDescent="0.25">
      <c r="P15280" s="4"/>
    </row>
    <row r="15281" spans="16:16" x14ac:dyDescent="0.25">
      <c r="P15281" s="4"/>
    </row>
    <row r="15282" spans="16:16" x14ac:dyDescent="0.25">
      <c r="P15282" s="4"/>
    </row>
    <row r="15283" spans="16:16" x14ac:dyDescent="0.25">
      <c r="P15283" s="4"/>
    </row>
    <row r="15284" spans="16:16" x14ac:dyDescent="0.25">
      <c r="P15284" s="4"/>
    </row>
    <row r="15285" spans="16:16" x14ac:dyDescent="0.25">
      <c r="P15285" s="4"/>
    </row>
    <row r="15286" spans="16:16" x14ac:dyDescent="0.25">
      <c r="P15286" s="4"/>
    </row>
    <row r="15287" spans="16:16" x14ac:dyDescent="0.25">
      <c r="P15287" s="4"/>
    </row>
    <row r="15288" spans="16:16" x14ac:dyDescent="0.25">
      <c r="P15288" s="4"/>
    </row>
    <row r="15289" spans="16:16" x14ac:dyDescent="0.25">
      <c r="P15289" s="4"/>
    </row>
    <row r="15290" spans="16:16" x14ac:dyDescent="0.25">
      <c r="P15290" s="4"/>
    </row>
    <row r="15291" spans="16:16" x14ac:dyDescent="0.25">
      <c r="P15291" s="4"/>
    </row>
    <row r="15292" spans="16:16" x14ac:dyDescent="0.25">
      <c r="P15292" s="4"/>
    </row>
    <row r="15293" spans="16:16" x14ac:dyDescent="0.25">
      <c r="P15293" s="4"/>
    </row>
    <row r="15294" spans="16:16" x14ac:dyDescent="0.25">
      <c r="P15294" s="4"/>
    </row>
    <row r="15295" spans="16:16" x14ac:dyDescent="0.25">
      <c r="P15295" s="4"/>
    </row>
    <row r="15296" spans="16:16" x14ac:dyDescent="0.25">
      <c r="P15296" s="4"/>
    </row>
    <row r="15297" spans="16:16" x14ac:dyDescent="0.25">
      <c r="P15297" s="4"/>
    </row>
    <row r="15298" spans="16:16" x14ac:dyDescent="0.25">
      <c r="P15298" s="4"/>
    </row>
    <row r="15299" spans="16:16" x14ac:dyDescent="0.25">
      <c r="P15299" s="4"/>
    </row>
    <row r="15300" spans="16:16" x14ac:dyDescent="0.25">
      <c r="P15300" s="4"/>
    </row>
    <row r="15301" spans="16:16" x14ac:dyDescent="0.25">
      <c r="P15301" s="4"/>
    </row>
    <row r="15302" spans="16:16" x14ac:dyDescent="0.25">
      <c r="P15302" s="4"/>
    </row>
    <row r="15303" spans="16:16" x14ac:dyDescent="0.25">
      <c r="P15303" s="4"/>
    </row>
    <row r="15304" spans="16:16" x14ac:dyDescent="0.25">
      <c r="P15304" s="4"/>
    </row>
    <row r="15305" spans="16:16" x14ac:dyDescent="0.25">
      <c r="P15305" s="4"/>
    </row>
    <row r="15306" spans="16:16" x14ac:dyDescent="0.25">
      <c r="P15306" s="4"/>
    </row>
    <row r="15307" spans="16:16" x14ac:dyDescent="0.25">
      <c r="P15307" s="4"/>
    </row>
    <row r="15308" spans="16:16" x14ac:dyDescent="0.25">
      <c r="P15308" s="4"/>
    </row>
    <row r="15309" spans="16:16" x14ac:dyDescent="0.25">
      <c r="P15309" s="4"/>
    </row>
    <row r="15310" spans="16:16" x14ac:dyDescent="0.25">
      <c r="P15310" s="4"/>
    </row>
    <row r="15311" spans="16:16" x14ac:dyDescent="0.25">
      <c r="P15311" s="4"/>
    </row>
    <row r="15312" spans="16:16" x14ac:dyDescent="0.25">
      <c r="P15312" s="4"/>
    </row>
    <row r="15313" spans="16:16" x14ac:dyDescent="0.25">
      <c r="P15313" s="4"/>
    </row>
    <row r="15314" spans="16:16" x14ac:dyDescent="0.25">
      <c r="P15314" s="4"/>
    </row>
    <row r="15315" spans="16:16" x14ac:dyDescent="0.25">
      <c r="P15315" s="4"/>
    </row>
    <row r="15316" spans="16:16" x14ac:dyDescent="0.25">
      <c r="P15316" s="4"/>
    </row>
    <row r="15317" spans="16:16" x14ac:dyDescent="0.25">
      <c r="P15317" s="4"/>
    </row>
    <row r="15318" spans="16:16" x14ac:dyDescent="0.25">
      <c r="P15318" s="4"/>
    </row>
    <row r="15319" spans="16:16" x14ac:dyDescent="0.25">
      <c r="P15319" s="4"/>
    </row>
    <row r="15320" spans="16:16" x14ac:dyDescent="0.25">
      <c r="P15320" s="4"/>
    </row>
    <row r="15321" spans="16:16" x14ac:dyDescent="0.25">
      <c r="P15321" s="4"/>
    </row>
    <row r="15322" spans="16:16" x14ac:dyDescent="0.25">
      <c r="P15322" s="4"/>
    </row>
    <row r="15323" spans="16:16" x14ac:dyDescent="0.25">
      <c r="P15323" s="4"/>
    </row>
    <row r="15324" spans="16:16" x14ac:dyDescent="0.25">
      <c r="P15324" s="4"/>
    </row>
    <row r="15325" spans="16:16" x14ac:dyDescent="0.25">
      <c r="P15325" s="4"/>
    </row>
    <row r="15326" spans="16:16" x14ac:dyDescent="0.25">
      <c r="P15326" s="4"/>
    </row>
    <row r="15327" spans="16:16" x14ac:dyDescent="0.25">
      <c r="P15327" s="4"/>
    </row>
    <row r="15328" spans="16:16" x14ac:dyDescent="0.25">
      <c r="P15328" s="4"/>
    </row>
    <row r="15329" spans="16:16" x14ac:dyDescent="0.25">
      <c r="P15329" s="4"/>
    </row>
    <row r="15330" spans="16:16" x14ac:dyDescent="0.25">
      <c r="P15330" s="4"/>
    </row>
    <row r="15331" spans="16:16" x14ac:dyDescent="0.25">
      <c r="P15331" s="4"/>
    </row>
    <row r="15332" spans="16:16" x14ac:dyDescent="0.25">
      <c r="P15332" s="4"/>
    </row>
    <row r="15333" spans="16:16" x14ac:dyDescent="0.25">
      <c r="P15333" s="4"/>
    </row>
    <row r="15334" spans="16:16" x14ac:dyDescent="0.25">
      <c r="P15334" s="4"/>
    </row>
    <row r="15335" spans="16:16" x14ac:dyDescent="0.25">
      <c r="P15335" s="4"/>
    </row>
    <row r="15336" spans="16:16" x14ac:dyDescent="0.25">
      <c r="P15336" s="4"/>
    </row>
    <row r="15337" spans="16:16" x14ac:dyDescent="0.25">
      <c r="P15337" s="4"/>
    </row>
    <row r="15338" spans="16:16" x14ac:dyDescent="0.25">
      <c r="P15338" s="4"/>
    </row>
    <row r="15339" spans="16:16" x14ac:dyDescent="0.25">
      <c r="P15339" s="4"/>
    </row>
    <row r="15340" spans="16:16" x14ac:dyDescent="0.25">
      <c r="P15340" s="4"/>
    </row>
    <row r="15341" spans="16:16" x14ac:dyDescent="0.25">
      <c r="P15341" s="4"/>
    </row>
    <row r="15342" spans="16:16" x14ac:dyDescent="0.25">
      <c r="P15342" s="4"/>
    </row>
    <row r="15343" spans="16:16" x14ac:dyDescent="0.25">
      <c r="P15343" s="4"/>
    </row>
    <row r="15344" spans="16:16" x14ac:dyDescent="0.25">
      <c r="P15344" s="4"/>
    </row>
    <row r="15345" spans="16:16" x14ac:dyDescent="0.25">
      <c r="P15345" s="4"/>
    </row>
    <row r="15346" spans="16:16" x14ac:dyDescent="0.25">
      <c r="P15346" s="4"/>
    </row>
    <row r="15347" spans="16:16" x14ac:dyDescent="0.25">
      <c r="P15347" s="4"/>
    </row>
    <row r="15348" spans="16:16" x14ac:dyDescent="0.25">
      <c r="P15348" s="4"/>
    </row>
    <row r="15349" spans="16:16" x14ac:dyDescent="0.25">
      <c r="P15349" s="4"/>
    </row>
    <row r="15350" spans="16:16" x14ac:dyDescent="0.25">
      <c r="P15350" s="4"/>
    </row>
    <row r="15351" spans="16:16" x14ac:dyDescent="0.25">
      <c r="P15351" s="4"/>
    </row>
    <row r="15352" spans="16:16" x14ac:dyDescent="0.25">
      <c r="P15352" s="4"/>
    </row>
    <row r="15353" spans="16:16" x14ac:dyDescent="0.25">
      <c r="P15353" s="4"/>
    </row>
    <row r="15354" spans="16:16" x14ac:dyDescent="0.25">
      <c r="P15354" s="4"/>
    </row>
    <row r="15355" spans="16:16" x14ac:dyDescent="0.25">
      <c r="P15355" s="4"/>
    </row>
    <row r="15356" spans="16:16" x14ac:dyDescent="0.25">
      <c r="P15356" s="4"/>
    </row>
    <row r="15357" spans="16:16" x14ac:dyDescent="0.25">
      <c r="P15357" s="4"/>
    </row>
    <row r="15358" spans="16:16" x14ac:dyDescent="0.25">
      <c r="P15358" s="4"/>
    </row>
    <row r="15359" spans="16:16" x14ac:dyDescent="0.25">
      <c r="P15359" s="4"/>
    </row>
    <row r="15360" spans="16:16" x14ac:dyDescent="0.25">
      <c r="P15360" s="4"/>
    </row>
    <row r="15361" spans="16:16" x14ac:dyDescent="0.25">
      <c r="P15361" s="4"/>
    </row>
    <row r="15362" spans="16:16" x14ac:dyDescent="0.25">
      <c r="P15362" s="4"/>
    </row>
    <row r="15363" spans="16:16" x14ac:dyDescent="0.25">
      <c r="P15363" s="4"/>
    </row>
    <row r="15364" spans="16:16" x14ac:dyDescent="0.25">
      <c r="P15364" s="4"/>
    </row>
    <row r="15365" spans="16:16" x14ac:dyDescent="0.25">
      <c r="P15365" s="4"/>
    </row>
    <row r="15366" spans="16:16" x14ac:dyDescent="0.25">
      <c r="P15366" s="4"/>
    </row>
    <row r="15367" spans="16:16" x14ac:dyDescent="0.25">
      <c r="P15367" s="4"/>
    </row>
    <row r="15368" spans="16:16" x14ac:dyDescent="0.25">
      <c r="P15368" s="4"/>
    </row>
    <row r="15369" spans="16:16" x14ac:dyDescent="0.25">
      <c r="P15369" s="4"/>
    </row>
    <row r="15370" spans="16:16" x14ac:dyDescent="0.25">
      <c r="P15370" s="4"/>
    </row>
    <row r="15371" spans="16:16" x14ac:dyDescent="0.25">
      <c r="P15371" s="4"/>
    </row>
    <row r="15372" spans="16:16" x14ac:dyDescent="0.25">
      <c r="P15372" s="4"/>
    </row>
    <row r="15373" spans="16:16" x14ac:dyDescent="0.25">
      <c r="P15373" s="4"/>
    </row>
    <row r="15374" spans="16:16" x14ac:dyDescent="0.25">
      <c r="P15374" s="4"/>
    </row>
    <row r="15375" spans="16:16" x14ac:dyDescent="0.25">
      <c r="P15375" s="4"/>
    </row>
    <row r="15376" spans="16:16" x14ac:dyDescent="0.25">
      <c r="P15376" s="4"/>
    </row>
    <row r="15377" spans="16:16" x14ac:dyDescent="0.25">
      <c r="P15377" s="4"/>
    </row>
    <row r="15378" spans="16:16" x14ac:dyDescent="0.25">
      <c r="P15378" s="4"/>
    </row>
    <row r="15379" spans="16:16" x14ac:dyDescent="0.25">
      <c r="P15379" s="4"/>
    </row>
    <row r="15380" spans="16:16" x14ac:dyDescent="0.25">
      <c r="P15380" s="4"/>
    </row>
    <row r="15381" spans="16:16" x14ac:dyDescent="0.25">
      <c r="P15381" s="4"/>
    </row>
    <row r="15382" spans="16:16" x14ac:dyDescent="0.25">
      <c r="P15382" s="4"/>
    </row>
    <row r="15383" spans="16:16" x14ac:dyDescent="0.25">
      <c r="P15383" s="4"/>
    </row>
    <row r="15384" spans="16:16" x14ac:dyDescent="0.25">
      <c r="P15384" s="4"/>
    </row>
    <row r="15385" spans="16:16" x14ac:dyDescent="0.25">
      <c r="P15385" s="4"/>
    </row>
    <row r="15386" spans="16:16" x14ac:dyDescent="0.25">
      <c r="P15386" s="4"/>
    </row>
    <row r="15387" spans="16:16" x14ac:dyDescent="0.25">
      <c r="P15387" s="4"/>
    </row>
    <row r="15388" spans="16:16" x14ac:dyDescent="0.25">
      <c r="P15388" s="4"/>
    </row>
    <row r="15389" spans="16:16" x14ac:dyDescent="0.25">
      <c r="P15389" s="4"/>
    </row>
    <row r="15390" spans="16:16" x14ac:dyDescent="0.25">
      <c r="P15390" s="4"/>
    </row>
    <row r="15391" spans="16:16" x14ac:dyDescent="0.25">
      <c r="P15391" s="4"/>
    </row>
    <row r="15392" spans="16:16" x14ac:dyDescent="0.25">
      <c r="P15392" s="4"/>
    </row>
    <row r="15393" spans="16:16" x14ac:dyDescent="0.25">
      <c r="P15393" s="4"/>
    </row>
    <row r="15394" spans="16:16" x14ac:dyDescent="0.25">
      <c r="P15394" s="4"/>
    </row>
    <row r="15395" spans="16:16" x14ac:dyDescent="0.25">
      <c r="P15395" s="4"/>
    </row>
    <row r="15396" spans="16:16" x14ac:dyDescent="0.25">
      <c r="P15396" s="4"/>
    </row>
    <row r="15397" spans="16:16" x14ac:dyDescent="0.25">
      <c r="P15397" s="4"/>
    </row>
    <row r="15398" spans="16:16" x14ac:dyDescent="0.25">
      <c r="P15398" s="4"/>
    </row>
    <row r="15399" spans="16:16" x14ac:dyDescent="0.25">
      <c r="P15399" s="4"/>
    </row>
    <row r="15400" spans="16:16" x14ac:dyDescent="0.25">
      <c r="P15400" s="4"/>
    </row>
    <row r="15401" spans="16:16" x14ac:dyDescent="0.25">
      <c r="P15401" s="4"/>
    </row>
    <row r="15402" spans="16:16" x14ac:dyDescent="0.25">
      <c r="P15402" s="4"/>
    </row>
    <row r="15403" spans="16:16" x14ac:dyDescent="0.25">
      <c r="P15403" s="4"/>
    </row>
    <row r="15404" spans="16:16" x14ac:dyDescent="0.25">
      <c r="P15404" s="4"/>
    </row>
    <row r="15405" spans="16:16" x14ac:dyDescent="0.25">
      <c r="P15405" s="4"/>
    </row>
    <row r="15406" spans="16:16" x14ac:dyDescent="0.25">
      <c r="P15406" s="4"/>
    </row>
    <row r="15407" spans="16:16" x14ac:dyDescent="0.25">
      <c r="P15407" s="4"/>
    </row>
    <row r="15408" spans="16:16" x14ac:dyDescent="0.25">
      <c r="P15408" s="4"/>
    </row>
    <row r="15409" spans="16:16" x14ac:dyDescent="0.25">
      <c r="P15409" s="4"/>
    </row>
    <row r="15410" spans="16:16" x14ac:dyDescent="0.25">
      <c r="P15410" s="4"/>
    </row>
    <row r="15411" spans="16:16" x14ac:dyDescent="0.25">
      <c r="P15411" s="4"/>
    </row>
    <row r="15412" spans="16:16" x14ac:dyDescent="0.25">
      <c r="P15412" s="4"/>
    </row>
    <row r="15413" spans="16:16" x14ac:dyDescent="0.25">
      <c r="P15413" s="4"/>
    </row>
    <row r="15414" spans="16:16" x14ac:dyDescent="0.25">
      <c r="P15414" s="4"/>
    </row>
    <row r="15415" spans="16:16" x14ac:dyDescent="0.25">
      <c r="P15415" s="4"/>
    </row>
    <row r="15416" spans="16:16" x14ac:dyDescent="0.25">
      <c r="P15416" s="4"/>
    </row>
    <row r="15417" spans="16:16" x14ac:dyDescent="0.25">
      <c r="P15417" s="4"/>
    </row>
    <row r="15418" spans="16:16" x14ac:dyDescent="0.25">
      <c r="P15418" s="4"/>
    </row>
    <row r="15419" spans="16:16" x14ac:dyDescent="0.25">
      <c r="P15419" s="4"/>
    </row>
    <row r="15420" spans="16:16" x14ac:dyDescent="0.25">
      <c r="P15420" s="4"/>
    </row>
    <row r="15421" spans="16:16" x14ac:dyDescent="0.25">
      <c r="P15421" s="4"/>
    </row>
    <row r="15422" spans="16:16" x14ac:dyDescent="0.25">
      <c r="P15422" s="4"/>
    </row>
    <row r="15423" spans="16:16" x14ac:dyDescent="0.25">
      <c r="P15423" s="4"/>
    </row>
    <row r="15424" spans="16:16" x14ac:dyDescent="0.25">
      <c r="P15424" s="4"/>
    </row>
    <row r="15425" spans="16:16" x14ac:dyDescent="0.25">
      <c r="P15425" s="4"/>
    </row>
    <row r="15426" spans="16:16" x14ac:dyDescent="0.25">
      <c r="P15426" s="4"/>
    </row>
    <row r="15427" spans="16:16" x14ac:dyDescent="0.25">
      <c r="P15427" s="4"/>
    </row>
    <row r="15428" spans="16:16" x14ac:dyDescent="0.25">
      <c r="P15428" s="4"/>
    </row>
    <row r="15429" spans="16:16" x14ac:dyDescent="0.25">
      <c r="P15429" s="4"/>
    </row>
    <row r="15430" spans="16:16" x14ac:dyDescent="0.25">
      <c r="P15430" s="4"/>
    </row>
    <row r="15431" spans="16:16" x14ac:dyDescent="0.25">
      <c r="P15431" s="4"/>
    </row>
    <row r="15432" spans="16:16" x14ac:dyDescent="0.25">
      <c r="P15432" s="4"/>
    </row>
    <row r="15433" spans="16:16" x14ac:dyDescent="0.25">
      <c r="P15433" s="4"/>
    </row>
    <row r="15434" spans="16:16" x14ac:dyDescent="0.25">
      <c r="P15434" s="4"/>
    </row>
    <row r="15435" spans="16:16" x14ac:dyDescent="0.25">
      <c r="P15435" s="4"/>
    </row>
    <row r="15436" spans="16:16" x14ac:dyDescent="0.25">
      <c r="P15436" s="4"/>
    </row>
    <row r="15437" spans="16:16" x14ac:dyDescent="0.25">
      <c r="P15437" s="4"/>
    </row>
    <row r="15438" spans="16:16" x14ac:dyDescent="0.25">
      <c r="P15438" s="4"/>
    </row>
    <row r="15439" spans="16:16" x14ac:dyDescent="0.25">
      <c r="P15439" s="4"/>
    </row>
    <row r="15440" spans="16:16" x14ac:dyDescent="0.25">
      <c r="P15440" s="4"/>
    </row>
    <row r="15441" spans="16:16" x14ac:dyDescent="0.25">
      <c r="P15441" s="4"/>
    </row>
    <row r="15442" spans="16:16" x14ac:dyDescent="0.25">
      <c r="P15442" s="4"/>
    </row>
    <row r="15443" spans="16:16" x14ac:dyDescent="0.25">
      <c r="P15443" s="4"/>
    </row>
    <row r="15444" spans="16:16" x14ac:dyDescent="0.25">
      <c r="P15444" s="4"/>
    </row>
    <row r="15445" spans="16:16" x14ac:dyDescent="0.25">
      <c r="P15445" s="4"/>
    </row>
    <row r="15446" spans="16:16" x14ac:dyDescent="0.25">
      <c r="P15446" s="4"/>
    </row>
    <row r="15447" spans="16:16" x14ac:dyDescent="0.25">
      <c r="P15447" s="4"/>
    </row>
    <row r="15448" spans="16:16" x14ac:dyDescent="0.25">
      <c r="P15448" s="4"/>
    </row>
    <row r="15449" spans="16:16" x14ac:dyDescent="0.25">
      <c r="P15449" s="4"/>
    </row>
    <row r="15450" spans="16:16" x14ac:dyDescent="0.25">
      <c r="P15450" s="4"/>
    </row>
    <row r="15451" spans="16:16" x14ac:dyDescent="0.25">
      <c r="P15451" s="4"/>
    </row>
    <row r="15452" spans="16:16" x14ac:dyDescent="0.25">
      <c r="P15452" s="4"/>
    </row>
    <row r="15453" spans="16:16" x14ac:dyDescent="0.25">
      <c r="P15453" s="4"/>
    </row>
    <row r="15454" spans="16:16" x14ac:dyDescent="0.25">
      <c r="P15454" s="4"/>
    </row>
    <row r="15455" spans="16:16" x14ac:dyDescent="0.25">
      <c r="P15455" s="4"/>
    </row>
    <row r="15456" spans="16:16" x14ac:dyDescent="0.25">
      <c r="P15456" s="4"/>
    </row>
    <row r="15457" spans="16:16" x14ac:dyDescent="0.25">
      <c r="P15457" s="4"/>
    </row>
    <row r="15458" spans="16:16" x14ac:dyDescent="0.25">
      <c r="P15458" s="4"/>
    </row>
    <row r="15459" spans="16:16" x14ac:dyDescent="0.25">
      <c r="P15459" s="4"/>
    </row>
    <row r="15460" spans="16:16" x14ac:dyDescent="0.25">
      <c r="P15460" s="4"/>
    </row>
    <row r="15461" spans="16:16" x14ac:dyDescent="0.25">
      <c r="P15461" s="4"/>
    </row>
    <row r="15462" spans="16:16" x14ac:dyDescent="0.25">
      <c r="P15462" s="4"/>
    </row>
    <row r="15463" spans="16:16" x14ac:dyDescent="0.25">
      <c r="P15463" s="4"/>
    </row>
    <row r="15464" spans="16:16" x14ac:dyDescent="0.25">
      <c r="P15464" s="4"/>
    </row>
    <row r="15465" spans="16:16" x14ac:dyDescent="0.25">
      <c r="P15465" s="4"/>
    </row>
    <row r="15466" spans="16:16" x14ac:dyDescent="0.25">
      <c r="P15466" s="4"/>
    </row>
    <row r="15467" spans="16:16" x14ac:dyDescent="0.25">
      <c r="P15467" s="4"/>
    </row>
    <row r="15468" spans="16:16" x14ac:dyDescent="0.25">
      <c r="P15468" s="4"/>
    </row>
    <row r="15469" spans="16:16" x14ac:dyDescent="0.25">
      <c r="P15469" s="4"/>
    </row>
    <row r="15470" spans="16:16" x14ac:dyDescent="0.25">
      <c r="P15470" s="4"/>
    </row>
    <row r="15471" spans="16:16" x14ac:dyDescent="0.25">
      <c r="P15471" s="4"/>
    </row>
    <row r="15472" spans="16:16" x14ac:dyDescent="0.25">
      <c r="P15472" s="4"/>
    </row>
    <row r="15473" spans="16:16" x14ac:dyDescent="0.25">
      <c r="P15473" s="4"/>
    </row>
    <row r="15474" spans="16:16" x14ac:dyDescent="0.25">
      <c r="P15474" s="4"/>
    </row>
    <row r="15475" spans="16:16" x14ac:dyDescent="0.25">
      <c r="P15475" s="4"/>
    </row>
    <row r="15476" spans="16:16" x14ac:dyDescent="0.25">
      <c r="P15476" s="4"/>
    </row>
    <row r="15477" spans="16:16" x14ac:dyDescent="0.25">
      <c r="P15477" s="4"/>
    </row>
    <row r="15478" spans="16:16" x14ac:dyDescent="0.25">
      <c r="P15478" s="4"/>
    </row>
    <row r="15479" spans="16:16" x14ac:dyDescent="0.25">
      <c r="P15479" s="4"/>
    </row>
    <row r="15480" spans="16:16" x14ac:dyDescent="0.25">
      <c r="P15480" s="4"/>
    </row>
    <row r="15481" spans="16:16" x14ac:dyDescent="0.25">
      <c r="P15481" s="4"/>
    </row>
    <row r="15482" spans="16:16" x14ac:dyDescent="0.25">
      <c r="P15482" s="4"/>
    </row>
    <row r="15483" spans="16:16" x14ac:dyDescent="0.25">
      <c r="P15483" s="4"/>
    </row>
    <row r="15484" spans="16:16" x14ac:dyDescent="0.25">
      <c r="P15484" s="4"/>
    </row>
    <row r="15485" spans="16:16" x14ac:dyDescent="0.25">
      <c r="P15485" s="4"/>
    </row>
    <row r="15486" spans="16:16" x14ac:dyDescent="0.25">
      <c r="P15486" s="4"/>
    </row>
    <row r="15487" spans="16:16" x14ac:dyDescent="0.25">
      <c r="P15487" s="4"/>
    </row>
    <row r="15488" spans="16:16" x14ac:dyDescent="0.25">
      <c r="P15488" s="4"/>
    </row>
    <row r="15489" spans="16:16" x14ac:dyDescent="0.25">
      <c r="P15489" s="4"/>
    </row>
    <row r="15490" spans="16:16" x14ac:dyDescent="0.25">
      <c r="P15490" s="4"/>
    </row>
    <row r="15491" spans="16:16" x14ac:dyDescent="0.25">
      <c r="P15491" s="4"/>
    </row>
    <row r="15492" spans="16:16" x14ac:dyDescent="0.25">
      <c r="P15492" s="4"/>
    </row>
    <row r="15493" spans="16:16" x14ac:dyDescent="0.25">
      <c r="P15493" s="4"/>
    </row>
    <row r="15494" spans="16:16" x14ac:dyDescent="0.25">
      <c r="P15494" s="4"/>
    </row>
    <row r="15495" spans="16:16" x14ac:dyDescent="0.25">
      <c r="P15495" s="4"/>
    </row>
    <row r="15496" spans="16:16" x14ac:dyDescent="0.25">
      <c r="P15496" s="4"/>
    </row>
    <row r="15497" spans="16:16" x14ac:dyDescent="0.25">
      <c r="P15497" s="4"/>
    </row>
    <row r="15498" spans="16:16" x14ac:dyDescent="0.25">
      <c r="P15498" s="4"/>
    </row>
    <row r="15499" spans="16:16" x14ac:dyDescent="0.25">
      <c r="P15499" s="4"/>
    </row>
    <row r="15500" spans="16:16" x14ac:dyDescent="0.25">
      <c r="P15500" s="4"/>
    </row>
    <row r="15501" spans="16:16" x14ac:dyDescent="0.25">
      <c r="P15501" s="4"/>
    </row>
    <row r="15502" spans="16:16" x14ac:dyDescent="0.25">
      <c r="P15502" s="4"/>
    </row>
    <row r="15503" spans="16:16" x14ac:dyDescent="0.25">
      <c r="P15503" s="4"/>
    </row>
    <row r="15504" spans="16:16" x14ac:dyDescent="0.25">
      <c r="P15504" s="4"/>
    </row>
    <row r="15505" spans="16:16" x14ac:dyDescent="0.25">
      <c r="P15505" s="4"/>
    </row>
    <row r="15506" spans="16:16" x14ac:dyDescent="0.25">
      <c r="P15506" s="4"/>
    </row>
    <row r="15507" spans="16:16" x14ac:dyDescent="0.25">
      <c r="P15507" s="4"/>
    </row>
    <row r="15508" spans="16:16" x14ac:dyDescent="0.25">
      <c r="P15508" s="4"/>
    </row>
    <row r="15509" spans="16:16" x14ac:dyDescent="0.25">
      <c r="P15509" s="4"/>
    </row>
    <row r="15510" spans="16:16" x14ac:dyDescent="0.25">
      <c r="P15510" s="4"/>
    </row>
    <row r="15511" spans="16:16" x14ac:dyDescent="0.25">
      <c r="P15511" s="4"/>
    </row>
    <row r="15512" spans="16:16" x14ac:dyDescent="0.25">
      <c r="P15512" s="4"/>
    </row>
    <row r="15513" spans="16:16" x14ac:dyDescent="0.25">
      <c r="P15513" s="4"/>
    </row>
    <row r="15514" spans="16:16" x14ac:dyDescent="0.25">
      <c r="P15514" s="4"/>
    </row>
    <row r="15515" spans="16:16" x14ac:dyDescent="0.25">
      <c r="P15515" s="4"/>
    </row>
    <row r="15516" spans="16:16" x14ac:dyDescent="0.25">
      <c r="P15516" s="4"/>
    </row>
    <row r="15517" spans="16:16" x14ac:dyDescent="0.25">
      <c r="P15517" s="4"/>
    </row>
    <row r="15518" spans="16:16" x14ac:dyDescent="0.25">
      <c r="P15518" s="4"/>
    </row>
    <row r="15519" spans="16:16" x14ac:dyDescent="0.25">
      <c r="P15519" s="4"/>
    </row>
    <row r="15520" spans="16:16" x14ac:dyDescent="0.25">
      <c r="P15520" s="4"/>
    </row>
    <row r="15521" spans="16:16" x14ac:dyDescent="0.25">
      <c r="P15521" s="4"/>
    </row>
    <row r="15522" spans="16:16" x14ac:dyDescent="0.25">
      <c r="P15522" s="4"/>
    </row>
    <row r="15523" spans="16:16" x14ac:dyDescent="0.25">
      <c r="P15523" s="4"/>
    </row>
    <row r="15524" spans="16:16" x14ac:dyDescent="0.25">
      <c r="P15524" s="4"/>
    </row>
    <row r="15525" spans="16:16" x14ac:dyDescent="0.25">
      <c r="P15525" s="4"/>
    </row>
    <row r="15526" spans="16:16" x14ac:dyDescent="0.25">
      <c r="P15526" s="4"/>
    </row>
    <row r="15527" spans="16:16" x14ac:dyDescent="0.25">
      <c r="P15527" s="4"/>
    </row>
    <row r="15528" spans="16:16" x14ac:dyDescent="0.25">
      <c r="P15528" s="4"/>
    </row>
    <row r="15529" spans="16:16" x14ac:dyDescent="0.25">
      <c r="P15529" s="4"/>
    </row>
    <row r="15530" spans="16:16" x14ac:dyDescent="0.25">
      <c r="P15530" s="4"/>
    </row>
    <row r="15531" spans="16:16" x14ac:dyDescent="0.25">
      <c r="P15531" s="4"/>
    </row>
    <row r="15532" spans="16:16" x14ac:dyDescent="0.25">
      <c r="P15532" s="4"/>
    </row>
    <row r="15533" spans="16:16" x14ac:dyDescent="0.25">
      <c r="P15533" s="4"/>
    </row>
    <row r="15534" spans="16:16" x14ac:dyDescent="0.25">
      <c r="P15534" s="4"/>
    </row>
    <row r="15535" spans="16:16" x14ac:dyDescent="0.25">
      <c r="P15535" s="4"/>
    </row>
    <row r="15536" spans="16:16" x14ac:dyDescent="0.25">
      <c r="P15536" s="4"/>
    </row>
    <row r="15537" spans="16:16" x14ac:dyDescent="0.25">
      <c r="P15537" s="4"/>
    </row>
    <row r="15538" spans="16:16" x14ac:dyDescent="0.25">
      <c r="P15538" s="4"/>
    </row>
    <row r="15539" spans="16:16" x14ac:dyDescent="0.25">
      <c r="P15539" s="4"/>
    </row>
    <row r="15540" spans="16:16" x14ac:dyDescent="0.25">
      <c r="P15540" s="4"/>
    </row>
    <row r="15541" spans="16:16" x14ac:dyDescent="0.25">
      <c r="P15541" s="4"/>
    </row>
    <row r="15542" spans="16:16" x14ac:dyDescent="0.25">
      <c r="P15542" s="4"/>
    </row>
    <row r="15543" spans="16:16" x14ac:dyDescent="0.25">
      <c r="P15543" s="4"/>
    </row>
    <row r="15544" spans="16:16" x14ac:dyDescent="0.25">
      <c r="P15544" s="4"/>
    </row>
    <row r="15545" spans="16:16" x14ac:dyDescent="0.25">
      <c r="P15545" s="4"/>
    </row>
    <row r="15546" spans="16:16" x14ac:dyDescent="0.25">
      <c r="P15546" s="4"/>
    </row>
    <row r="15547" spans="16:16" x14ac:dyDescent="0.25">
      <c r="P15547" s="4"/>
    </row>
    <row r="15548" spans="16:16" x14ac:dyDescent="0.25">
      <c r="P15548" s="4"/>
    </row>
    <row r="15549" spans="16:16" x14ac:dyDescent="0.25">
      <c r="P15549" s="4"/>
    </row>
    <row r="15550" spans="16:16" x14ac:dyDescent="0.25">
      <c r="P15550" s="4"/>
    </row>
    <row r="15551" spans="16:16" x14ac:dyDescent="0.25">
      <c r="P15551" s="4"/>
    </row>
    <row r="15552" spans="16:16" x14ac:dyDescent="0.25">
      <c r="P15552" s="4"/>
    </row>
    <row r="15553" spans="16:16" x14ac:dyDescent="0.25">
      <c r="P15553" s="4"/>
    </row>
    <row r="15554" spans="16:16" x14ac:dyDescent="0.25">
      <c r="P15554" s="4"/>
    </row>
    <row r="15555" spans="16:16" x14ac:dyDescent="0.25">
      <c r="P15555" s="4"/>
    </row>
    <row r="15556" spans="16:16" x14ac:dyDescent="0.25">
      <c r="P15556" s="4"/>
    </row>
    <row r="15557" spans="16:16" x14ac:dyDescent="0.25">
      <c r="P15557" s="4"/>
    </row>
    <row r="15558" spans="16:16" x14ac:dyDescent="0.25">
      <c r="P15558" s="4"/>
    </row>
    <row r="15559" spans="16:16" x14ac:dyDescent="0.25">
      <c r="P15559" s="4"/>
    </row>
    <row r="15560" spans="16:16" x14ac:dyDescent="0.25">
      <c r="P15560" s="4"/>
    </row>
    <row r="15561" spans="16:16" x14ac:dyDescent="0.25">
      <c r="P15561" s="4"/>
    </row>
    <row r="15562" spans="16:16" x14ac:dyDescent="0.25">
      <c r="P15562" s="4"/>
    </row>
    <row r="15563" spans="16:16" x14ac:dyDescent="0.25">
      <c r="P15563" s="4"/>
    </row>
    <row r="15564" spans="16:16" x14ac:dyDescent="0.25">
      <c r="P15564" s="4"/>
    </row>
    <row r="15565" spans="16:16" x14ac:dyDescent="0.25">
      <c r="P15565" s="4"/>
    </row>
    <row r="15566" spans="16:16" x14ac:dyDescent="0.25">
      <c r="P15566" s="4"/>
    </row>
    <row r="15567" spans="16:16" x14ac:dyDescent="0.25">
      <c r="P15567" s="4"/>
    </row>
    <row r="15568" spans="16:16" x14ac:dyDescent="0.25">
      <c r="P15568" s="4"/>
    </row>
    <row r="15569" spans="16:16" x14ac:dyDescent="0.25">
      <c r="P15569" s="4"/>
    </row>
    <row r="15570" spans="16:16" x14ac:dyDescent="0.25">
      <c r="P15570" s="4"/>
    </row>
    <row r="15571" spans="16:16" x14ac:dyDescent="0.25">
      <c r="P15571" s="4"/>
    </row>
    <row r="15572" spans="16:16" x14ac:dyDescent="0.25">
      <c r="P15572" s="4"/>
    </row>
    <row r="15573" spans="16:16" x14ac:dyDescent="0.25">
      <c r="P15573" s="4"/>
    </row>
    <row r="15574" spans="16:16" x14ac:dyDescent="0.25">
      <c r="P15574" s="4"/>
    </row>
    <row r="15575" spans="16:16" x14ac:dyDescent="0.25">
      <c r="P15575" s="4"/>
    </row>
    <row r="15576" spans="16:16" x14ac:dyDescent="0.25">
      <c r="P15576" s="4"/>
    </row>
    <row r="15577" spans="16:16" x14ac:dyDescent="0.25">
      <c r="P15577" s="4"/>
    </row>
    <row r="15578" spans="16:16" x14ac:dyDescent="0.25">
      <c r="P15578" s="4"/>
    </row>
    <row r="15579" spans="16:16" x14ac:dyDescent="0.25">
      <c r="P15579" s="4"/>
    </row>
    <row r="15580" spans="16:16" x14ac:dyDescent="0.25">
      <c r="P15580" s="4"/>
    </row>
    <row r="15581" spans="16:16" x14ac:dyDescent="0.25">
      <c r="P15581" s="4"/>
    </row>
    <row r="15582" spans="16:16" x14ac:dyDescent="0.25">
      <c r="P15582" s="4"/>
    </row>
    <row r="15583" spans="16:16" x14ac:dyDescent="0.25">
      <c r="P15583" s="4"/>
    </row>
    <row r="15584" spans="16:16" x14ac:dyDescent="0.25">
      <c r="P15584" s="4"/>
    </row>
    <row r="15585" spans="16:16" x14ac:dyDescent="0.25">
      <c r="P15585" s="4"/>
    </row>
    <row r="15586" spans="16:16" x14ac:dyDescent="0.25">
      <c r="P15586" s="4"/>
    </row>
    <row r="15587" spans="16:16" x14ac:dyDescent="0.25">
      <c r="P15587" s="4"/>
    </row>
    <row r="15588" spans="16:16" x14ac:dyDescent="0.25">
      <c r="P15588" s="4"/>
    </row>
    <row r="15589" spans="16:16" x14ac:dyDescent="0.25">
      <c r="P15589" s="4"/>
    </row>
    <row r="15590" spans="16:16" x14ac:dyDescent="0.25">
      <c r="P15590" s="4"/>
    </row>
    <row r="15591" spans="16:16" x14ac:dyDescent="0.25">
      <c r="P15591" s="4"/>
    </row>
    <row r="15592" spans="16:16" x14ac:dyDescent="0.25">
      <c r="P15592" s="4"/>
    </row>
    <row r="15593" spans="16:16" x14ac:dyDescent="0.25">
      <c r="P15593" s="4"/>
    </row>
    <row r="15594" spans="16:16" x14ac:dyDescent="0.25">
      <c r="P15594" s="4"/>
    </row>
    <row r="15595" spans="16:16" x14ac:dyDescent="0.25">
      <c r="P15595" s="4"/>
    </row>
    <row r="15596" spans="16:16" x14ac:dyDescent="0.25">
      <c r="P15596" s="4"/>
    </row>
    <row r="15597" spans="16:16" x14ac:dyDescent="0.25">
      <c r="P15597" s="4"/>
    </row>
    <row r="15598" spans="16:16" x14ac:dyDescent="0.25">
      <c r="P15598" s="4"/>
    </row>
    <row r="15599" spans="16:16" x14ac:dyDescent="0.25">
      <c r="P15599" s="4"/>
    </row>
    <row r="15600" spans="16:16" x14ac:dyDescent="0.25">
      <c r="P15600" s="4"/>
    </row>
    <row r="15601" spans="16:16" x14ac:dyDescent="0.25">
      <c r="P15601" s="4"/>
    </row>
    <row r="15602" spans="16:16" x14ac:dyDescent="0.25">
      <c r="P15602" s="4"/>
    </row>
    <row r="15603" spans="16:16" x14ac:dyDescent="0.25">
      <c r="P15603" s="4"/>
    </row>
    <row r="15604" spans="16:16" x14ac:dyDescent="0.25">
      <c r="P15604" s="4"/>
    </row>
    <row r="15605" spans="16:16" x14ac:dyDescent="0.25">
      <c r="P15605" s="4"/>
    </row>
    <row r="15606" spans="16:16" x14ac:dyDescent="0.25">
      <c r="P15606" s="4"/>
    </row>
    <row r="15607" spans="16:16" x14ac:dyDescent="0.25">
      <c r="P15607" s="4"/>
    </row>
    <row r="15608" spans="16:16" x14ac:dyDescent="0.25">
      <c r="P15608" s="4"/>
    </row>
    <row r="15609" spans="16:16" x14ac:dyDescent="0.25">
      <c r="P15609" s="4"/>
    </row>
    <row r="15610" spans="16:16" x14ac:dyDescent="0.25">
      <c r="P15610" s="4"/>
    </row>
    <row r="15611" spans="16:16" x14ac:dyDescent="0.25">
      <c r="P15611" s="4"/>
    </row>
    <row r="15612" spans="16:16" x14ac:dyDescent="0.25">
      <c r="P15612" s="4"/>
    </row>
    <row r="15613" spans="16:16" x14ac:dyDescent="0.25">
      <c r="P15613" s="4"/>
    </row>
    <row r="15614" spans="16:16" x14ac:dyDescent="0.25">
      <c r="P15614" s="4"/>
    </row>
    <row r="15615" spans="16:16" x14ac:dyDescent="0.25">
      <c r="P15615" s="4"/>
    </row>
    <row r="15616" spans="16:16" x14ac:dyDescent="0.25">
      <c r="P15616" s="4"/>
    </row>
    <row r="15617" spans="16:16" x14ac:dyDescent="0.25">
      <c r="P15617" s="4"/>
    </row>
    <row r="15618" spans="16:16" x14ac:dyDescent="0.25">
      <c r="P15618" s="4"/>
    </row>
    <row r="15619" spans="16:16" x14ac:dyDescent="0.25">
      <c r="P15619" s="4"/>
    </row>
    <row r="15620" spans="16:16" x14ac:dyDescent="0.25">
      <c r="P15620" s="4"/>
    </row>
    <row r="15621" spans="16:16" x14ac:dyDescent="0.25">
      <c r="P15621" s="4"/>
    </row>
    <row r="15622" spans="16:16" x14ac:dyDescent="0.25">
      <c r="P15622" s="4"/>
    </row>
    <row r="15623" spans="16:16" x14ac:dyDescent="0.25">
      <c r="P15623" s="4"/>
    </row>
    <row r="15624" spans="16:16" x14ac:dyDescent="0.25">
      <c r="P15624" s="4"/>
    </row>
    <row r="15625" spans="16:16" x14ac:dyDescent="0.25">
      <c r="P15625" s="4"/>
    </row>
    <row r="15626" spans="16:16" x14ac:dyDescent="0.25">
      <c r="P15626" s="4"/>
    </row>
    <row r="15627" spans="16:16" x14ac:dyDescent="0.25">
      <c r="P15627" s="4"/>
    </row>
    <row r="15628" spans="16:16" x14ac:dyDescent="0.25">
      <c r="P15628" s="4"/>
    </row>
    <row r="15629" spans="16:16" x14ac:dyDescent="0.25">
      <c r="P15629" s="4"/>
    </row>
    <row r="15630" spans="16:16" x14ac:dyDescent="0.25">
      <c r="P15630" s="4"/>
    </row>
    <row r="15631" spans="16:16" x14ac:dyDescent="0.25">
      <c r="P15631" s="4"/>
    </row>
    <row r="15632" spans="16:16" x14ac:dyDescent="0.25">
      <c r="P15632" s="4"/>
    </row>
    <row r="15633" spans="16:16" x14ac:dyDescent="0.25">
      <c r="P15633" s="4"/>
    </row>
    <row r="15634" spans="16:16" x14ac:dyDescent="0.25">
      <c r="P15634" s="4"/>
    </row>
    <row r="15635" spans="16:16" x14ac:dyDescent="0.25">
      <c r="P15635" s="4"/>
    </row>
    <row r="15636" spans="16:16" x14ac:dyDescent="0.25">
      <c r="P15636" s="4"/>
    </row>
    <row r="15637" spans="16:16" x14ac:dyDescent="0.25">
      <c r="P15637" s="4"/>
    </row>
    <row r="15638" spans="16:16" x14ac:dyDescent="0.25">
      <c r="P15638" s="4"/>
    </row>
    <row r="15639" spans="16:16" x14ac:dyDescent="0.25">
      <c r="P15639" s="4"/>
    </row>
    <row r="15640" spans="16:16" x14ac:dyDescent="0.25">
      <c r="P15640" s="4"/>
    </row>
    <row r="15641" spans="16:16" x14ac:dyDescent="0.25">
      <c r="P15641" s="4"/>
    </row>
    <row r="15642" spans="16:16" x14ac:dyDescent="0.25">
      <c r="P15642" s="4"/>
    </row>
    <row r="15643" spans="16:16" x14ac:dyDescent="0.25">
      <c r="P15643" s="4"/>
    </row>
    <row r="15644" spans="16:16" x14ac:dyDescent="0.25">
      <c r="P15644" s="4"/>
    </row>
    <row r="15645" spans="16:16" x14ac:dyDescent="0.25">
      <c r="P15645" s="4"/>
    </row>
    <row r="15646" spans="16:16" x14ac:dyDescent="0.25">
      <c r="P15646" s="4"/>
    </row>
    <row r="15647" spans="16:16" x14ac:dyDescent="0.25">
      <c r="P15647" s="4"/>
    </row>
    <row r="15648" spans="16:16" x14ac:dyDescent="0.25">
      <c r="P15648" s="4"/>
    </row>
    <row r="15649" spans="16:16" x14ac:dyDescent="0.25">
      <c r="P15649" s="4"/>
    </row>
    <row r="15650" spans="16:16" x14ac:dyDescent="0.25">
      <c r="P15650" s="4"/>
    </row>
    <row r="15651" spans="16:16" x14ac:dyDescent="0.25">
      <c r="P15651" s="4"/>
    </row>
    <row r="15652" spans="16:16" x14ac:dyDescent="0.25">
      <c r="P15652" s="4"/>
    </row>
    <row r="15653" spans="16:16" x14ac:dyDescent="0.25">
      <c r="P15653" s="4"/>
    </row>
    <row r="15654" spans="16:16" x14ac:dyDescent="0.25">
      <c r="P15654" s="4"/>
    </row>
    <row r="15655" spans="16:16" x14ac:dyDescent="0.25">
      <c r="P15655" s="4"/>
    </row>
    <row r="15656" spans="16:16" x14ac:dyDescent="0.25">
      <c r="P15656" s="4"/>
    </row>
    <row r="15657" spans="16:16" x14ac:dyDescent="0.25">
      <c r="P15657" s="4"/>
    </row>
    <row r="15658" spans="16:16" x14ac:dyDescent="0.25">
      <c r="P15658" s="4"/>
    </row>
    <row r="15659" spans="16:16" x14ac:dyDescent="0.25">
      <c r="P15659" s="4"/>
    </row>
    <row r="15660" spans="16:16" x14ac:dyDescent="0.25">
      <c r="P15660" s="4"/>
    </row>
    <row r="15661" spans="16:16" x14ac:dyDescent="0.25">
      <c r="P15661" s="4"/>
    </row>
    <row r="15662" spans="16:16" x14ac:dyDescent="0.25">
      <c r="P15662" s="4"/>
    </row>
    <row r="15663" spans="16:16" x14ac:dyDescent="0.25">
      <c r="P15663" s="4"/>
    </row>
    <row r="15664" spans="16:16" x14ac:dyDescent="0.25">
      <c r="P15664" s="4"/>
    </row>
    <row r="15665" spans="16:16" x14ac:dyDescent="0.25">
      <c r="P15665" s="4"/>
    </row>
    <row r="15666" spans="16:16" x14ac:dyDescent="0.25">
      <c r="P15666" s="4"/>
    </row>
    <row r="15667" spans="16:16" x14ac:dyDescent="0.25">
      <c r="P15667" s="4"/>
    </row>
    <row r="15668" spans="16:16" x14ac:dyDescent="0.25">
      <c r="P15668" s="4"/>
    </row>
    <row r="15669" spans="16:16" x14ac:dyDescent="0.25">
      <c r="P15669" s="4"/>
    </row>
    <row r="15670" spans="16:16" x14ac:dyDescent="0.25">
      <c r="P15670" s="4"/>
    </row>
    <row r="15671" spans="16:16" x14ac:dyDescent="0.25">
      <c r="P15671" s="4"/>
    </row>
    <row r="15672" spans="16:16" x14ac:dyDescent="0.25">
      <c r="P15672" s="4"/>
    </row>
    <row r="15673" spans="16:16" x14ac:dyDescent="0.25">
      <c r="P15673" s="4"/>
    </row>
    <row r="15674" spans="16:16" x14ac:dyDescent="0.25">
      <c r="P15674" s="4"/>
    </row>
    <row r="15675" spans="16:16" x14ac:dyDescent="0.25">
      <c r="P15675" s="4"/>
    </row>
    <row r="15676" spans="16:16" x14ac:dyDescent="0.25">
      <c r="P15676" s="4"/>
    </row>
    <row r="15677" spans="16:16" x14ac:dyDescent="0.25">
      <c r="P15677" s="4"/>
    </row>
    <row r="15678" spans="16:16" x14ac:dyDescent="0.25">
      <c r="P15678" s="4"/>
    </row>
    <row r="15679" spans="16:16" x14ac:dyDescent="0.25">
      <c r="P15679" s="4"/>
    </row>
    <row r="15680" spans="16:16" x14ac:dyDescent="0.25">
      <c r="P15680" s="4"/>
    </row>
    <row r="15681" spans="16:16" x14ac:dyDescent="0.25">
      <c r="P15681" s="4"/>
    </row>
    <row r="15682" spans="16:16" x14ac:dyDescent="0.25">
      <c r="P15682" s="4"/>
    </row>
    <row r="15683" spans="16:16" x14ac:dyDescent="0.25">
      <c r="P15683" s="4"/>
    </row>
    <row r="15684" spans="16:16" x14ac:dyDescent="0.25">
      <c r="P15684" s="4"/>
    </row>
    <row r="15685" spans="16:16" x14ac:dyDescent="0.25">
      <c r="P15685" s="4"/>
    </row>
    <row r="15686" spans="16:16" x14ac:dyDescent="0.25">
      <c r="P15686" s="4"/>
    </row>
    <row r="15687" spans="16:16" x14ac:dyDescent="0.25">
      <c r="P15687" s="4"/>
    </row>
    <row r="15688" spans="16:16" x14ac:dyDescent="0.25">
      <c r="P15688" s="4"/>
    </row>
    <row r="15689" spans="16:16" x14ac:dyDescent="0.25">
      <c r="P15689" s="4"/>
    </row>
    <row r="15690" spans="16:16" x14ac:dyDescent="0.25">
      <c r="P15690" s="4"/>
    </row>
    <row r="15691" spans="16:16" x14ac:dyDescent="0.25">
      <c r="P15691" s="4"/>
    </row>
    <row r="15692" spans="16:16" x14ac:dyDescent="0.25">
      <c r="P15692" s="4"/>
    </row>
    <row r="15693" spans="16:16" x14ac:dyDescent="0.25">
      <c r="P15693" s="4"/>
    </row>
    <row r="15694" spans="16:16" x14ac:dyDescent="0.25">
      <c r="P15694" s="4"/>
    </row>
    <row r="15695" spans="16:16" x14ac:dyDescent="0.25">
      <c r="P15695" s="4"/>
    </row>
    <row r="15696" spans="16:16" x14ac:dyDescent="0.25">
      <c r="P15696" s="4"/>
    </row>
    <row r="15697" spans="16:16" x14ac:dyDescent="0.25">
      <c r="P15697" s="4"/>
    </row>
    <row r="15698" spans="16:16" x14ac:dyDescent="0.25">
      <c r="P15698" s="4"/>
    </row>
    <row r="15699" spans="16:16" x14ac:dyDescent="0.25">
      <c r="P15699" s="4"/>
    </row>
    <row r="15700" spans="16:16" x14ac:dyDescent="0.25">
      <c r="P15700" s="4"/>
    </row>
    <row r="15701" spans="16:16" x14ac:dyDescent="0.25">
      <c r="P15701" s="4"/>
    </row>
    <row r="15702" spans="16:16" x14ac:dyDescent="0.25">
      <c r="P15702" s="4"/>
    </row>
    <row r="15703" spans="16:16" x14ac:dyDescent="0.25">
      <c r="P15703" s="4"/>
    </row>
    <row r="15704" spans="16:16" x14ac:dyDescent="0.25">
      <c r="P15704" s="4"/>
    </row>
    <row r="15705" spans="16:16" x14ac:dyDescent="0.25">
      <c r="P15705" s="4"/>
    </row>
    <row r="15706" spans="16:16" x14ac:dyDescent="0.25">
      <c r="P15706" s="4"/>
    </row>
    <row r="15707" spans="16:16" x14ac:dyDescent="0.25">
      <c r="P15707" s="4"/>
    </row>
    <row r="15708" spans="16:16" x14ac:dyDescent="0.25">
      <c r="P15708" s="4"/>
    </row>
    <row r="15709" spans="16:16" x14ac:dyDescent="0.25">
      <c r="P15709" s="4"/>
    </row>
    <row r="15710" spans="16:16" x14ac:dyDescent="0.25">
      <c r="P15710" s="4"/>
    </row>
    <row r="15711" spans="16:16" x14ac:dyDescent="0.25">
      <c r="P15711" s="4"/>
    </row>
    <row r="15712" spans="16:16" x14ac:dyDescent="0.25">
      <c r="P15712" s="4"/>
    </row>
    <row r="15713" spans="16:16" x14ac:dyDescent="0.25">
      <c r="P15713" s="4"/>
    </row>
    <row r="15714" spans="16:16" x14ac:dyDescent="0.25">
      <c r="P15714" s="4"/>
    </row>
    <row r="15715" spans="16:16" x14ac:dyDescent="0.25">
      <c r="P15715" s="4"/>
    </row>
    <row r="15716" spans="16:16" x14ac:dyDescent="0.25">
      <c r="P15716" s="4"/>
    </row>
    <row r="15717" spans="16:16" x14ac:dyDescent="0.25">
      <c r="P15717" s="4"/>
    </row>
    <row r="15718" spans="16:16" x14ac:dyDescent="0.25">
      <c r="P15718" s="4"/>
    </row>
    <row r="15719" spans="16:16" x14ac:dyDescent="0.25">
      <c r="P15719" s="4"/>
    </row>
    <row r="15720" spans="16:16" x14ac:dyDescent="0.25">
      <c r="P15720" s="4"/>
    </row>
    <row r="15721" spans="16:16" x14ac:dyDescent="0.25">
      <c r="P15721" s="4"/>
    </row>
    <row r="15722" spans="16:16" x14ac:dyDescent="0.25">
      <c r="P15722" s="4"/>
    </row>
    <row r="15723" spans="16:16" x14ac:dyDescent="0.25">
      <c r="P15723" s="4"/>
    </row>
    <row r="15724" spans="16:16" x14ac:dyDescent="0.25">
      <c r="P15724" s="4"/>
    </row>
    <row r="15725" spans="16:16" x14ac:dyDescent="0.25">
      <c r="P15725" s="4"/>
    </row>
    <row r="15726" spans="16:16" x14ac:dyDescent="0.25">
      <c r="P15726" s="4"/>
    </row>
    <row r="15727" spans="16:16" x14ac:dyDescent="0.25">
      <c r="P15727" s="4"/>
    </row>
    <row r="15728" spans="16:16" x14ac:dyDescent="0.25">
      <c r="P15728" s="4"/>
    </row>
    <row r="15729" spans="16:16" x14ac:dyDescent="0.25">
      <c r="P15729" s="4"/>
    </row>
    <row r="15730" spans="16:16" x14ac:dyDescent="0.25">
      <c r="P15730" s="4"/>
    </row>
    <row r="15731" spans="16:16" x14ac:dyDescent="0.25">
      <c r="P15731" s="4"/>
    </row>
    <row r="15732" spans="16:16" x14ac:dyDescent="0.25">
      <c r="P15732" s="4"/>
    </row>
    <row r="15733" spans="16:16" x14ac:dyDescent="0.25">
      <c r="P15733" s="4"/>
    </row>
    <row r="15734" spans="16:16" x14ac:dyDescent="0.25">
      <c r="P15734" s="4"/>
    </row>
    <row r="15735" spans="16:16" x14ac:dyDescent="0.25">
      <c r="P15735" s="4"/>
    </row>
    <row r="15736" spans="16:16" x14ac:dyDescent="0.25">
      <c r="P15736" s="4"/>
    </row>
    <row r="15737" spans="16:16" x14ac:dyDescent="0.25">
      <c r="P15737" s="4"/>
    </row>
    <row r="15738" spans="16:16" x14ac:dyDescent="0.25">
      <c r="P15738" s="4"/>
    </row>
    <row r="15739" spans="16:16" x14ac:dyDescent="0.25">
      <c r="P15739" s="4"/>
    </row>
    <row r="15740" spans="16:16" x14ac:dyDescent="0.25">
      <c r="P15740" s="4"/>
    </row>
    <row r="15741" spans="16:16" x14ac:dyDescent="0.25">
      <c r="P15741" s="4"/>
    </row>
    <row r="15742" spans="16:16" x14ac:dyDescent="0.25">
      <c r="P15742" s="4"/>
    </row>
    <row r="15743" spans="16:16" x14ac:dyDescent="0.25">
      <c r="P15743" s="4"/>
    </row>
    <row r="15744" spans="16:16" x14ac:dyDescent="0.25">
      <c r="P15744" s="4"/>
    </row>
    <row r="15745" spans="16:16" x14ac:dyDescent="0.25">
      <c r="P15745" s="4"/>
    </row>
    <row r="15746" spans="16:16" x14ac:dyDescent="0.25">
      <c r="P15746" s="4"/>
    </row>
    <row r="15747" spans="16:16" x14ac:dyDescent="0.25">
      <c r="P15747" s="4"/>
    </row>
    <row r="15748" spans="16:16" x14ac:dyDescent="0.25">
      <c r="P15748" s="4"/>
    </row>
    <row r="15749" spans="16:16" x14ac:dyDescent="0.25">
      <c r="P15749" s="4"/>
    </row>
    <row r="15750" spans="16:16" x14ac:dyDescent="0.25">
      <c r="P15750" s="4"/>
    </row>
    <row r="15751" spans="16:16" x14ac:dyDescent="0.25">
      <c r="P15751" s="4"/>
    </row>
    <row r="15752" spans="16:16" x14ac:dyDescent="0.25">
      <c r="P15752" s="4"/>
    </row>
    <row r="15753" spans="16:16" x14ac:dyDescent="0.25">
      <c r="P15753" s="4"/>
    </row>
    <row r="15754" spans="16:16" x14ac:dyDescent="0.25">
      <c r="P15754" s="4"/>
    </row>
    <row r="15755" spans="16:16" x14ac:dyDescent="0.25">
      <c r="P15755" s="4"/>
    </row>
    <row r="15756" spans="16:16" x14ac:dyDescent="0.25">
      <c r="P15756" s="4"/>
    </row>
    <row r="15757" spans="16:16" x14ac:dyDescent="0.25">
      <c r="P15757" s="4"/>
    </row>
    <row r="15758" spans="16:16" x14ac:dyDescent="0.25">
      <c r="P15758" s="4"/>
    </row>
    <row r="15759" spans="16:16" x14ac:dyDescent="0.25">
      <c r="P15759" s="4"/>
    </row>
    <row r="15760" spans="16:16" x14ac:dyDescent="0.25">
      <c r="P15760" s="4"/>
    </row>
    <row r="15761" spans="16:16" x14ac:dyDescent="0.25">
      <c r="P15761" s="4"/>
    </row>
    <row r="15762" spans="16:16" x14ac:dyDescent="0.25">
      <c r="P15762" s="4"/>
    </row>
    <row r="15763" spans="16:16" x14ac:dyDescent="0.25">
      <c r="P15763" s="4"/>
    </row>
    <row r="15764" spans="16:16" x14ac:dyDescent="0.25">
      <c r="P15764" s="4"/>
    </row>
    <row r="15765" spans="16:16" x14ac:dyDescent="0.25">
      <c r="P15765" s="4"/>
    </row>
    <row r="15766" spans="16:16" x14ac:dyDescent="0.25">
      <c r="P15766" s="4"/>
    </row>
    <row r="15767" spans="16:16" x14ac:dyDescent="0.25">
      <c r="P15767" s="4"/>
    </row>
    <row r="15768" spans="16:16" x14ac:dyDescent="0.25">
      <c r="P15768" s="4"/>
    </row>
    <row r="15769" spans="16:16" x14ac:dyDescent="0.25">
      <c r="P15769" s="4"/>
    </row>
    <row r="15770" spans="16:16" x14ac:dyDescent="0.25">
      <c r="P15770" s="4"/>
    </row>
    <row r="15771" spans="16:16" x14ac:dyDescent="0.25">
      <c r="P15771" s="4"/>
    </row>
    <row r="15772" spans="16:16" x14ac:dyDescent="0.25">
      <c r="P15772" s="4"/>
    </row>
    <row r="15773" spans="16:16" x14ac:dyDescent="0.25">
      <c r="P15773" s="4"/>
    </row>
    <row r="15774" spans="16:16" x14ac:dyDescent="0.25">
      <c r="P15774" s="4"/>
    </row>
    <row r="15775" spans="16:16" x14ac:dyDescent="0.25">
      <c r="P15775" s="4"/>
    </row>
    <row r="15776" spans="16:16" x14ac:dyDescent="0.25">
      <c r="P15776" s="4"/>
    </row>
    <row r="15777" spans="16:16" x14ac:dyDescent="0.25">
      <c r="P15777" s="4"/>
    </row>
    <row r="15778" spans="16:16" x14ac:dyDescent="0.25">
      <c r="P15778" s="4"/>
    </row>
    <row r="15779" spans="16:16" x14ac:dyDescent="0.25">
      <c r="P15779" s="4"/>
    </row>
    <row r="15780" spans="16:16" x14ac:dyDescent="0.25">
      <c r="P15780" s="4"/>
    </row>
    <row r="15781" spans="16:16" x14ac:dyDescent="0.25">
      <c r="P15781" s="4"/>
    </row>
    <row r="15782" spans="16:16" x14ac:dyDescent="0.25">
      <c r="P15782" s="4"/>
    </row>
    <row r="15783" spans="16:16" x14ac:dyDescent="0.25">
      <c r="P15783" s="4"/>
    </row>
    <row r="15784" spans="16:16" x14ac:dyDescent="0.25">
      <c r="P15784" s="4"/>
    </row>
    <row r="15785" spans="16:16" x14ac:dyDescent="0.25">
      <c r="P15785" s="4"/>
    </row>
    <row r="15786" spans="16:16" x14ac:dyDescent="0.25">
      <c r="P15786" s="4"/>
    </row>
    <row r="15787" spans="16:16" x14ac:dyDescent="0.25">
      <c r="P15787" s="4"/>
    </row>
    <row r="15788" spans="16:16" x14ac:dyDescent="0.25">
      <c r="P15788" s="4"/>
    </row>
    <row r="15789" spans="16:16" x14ac:dyDescent="0.25">
      <c r="P15789" s="4"/>
    </row>
    <row r="15790" spans="16:16" x14ac:dyDescent="0.25">
      <c r="P15790" s="4"/>
    </row>
    <row r="15791" spans="16:16" x14ac:dyDescent="0.25">
      <c r="P15791" s="4"/>
    </row>
    <row r="15792" spans="16:16" x14ac:dyDescent="0.25">
      <c r="P15792" s="4"/>
    </row>
    <row r="15793" spans="16:16" x14ac:dyDescent="0.25">
      <c r="P15793" s="4"/>
    </row>
    <row r="15794" spans="16:16" x14ac:dyDescent="0.25">
      <c r="P15794" s="4"/>
    </row>
    <row r="15795" spans="16:16" x14ac:dyDescent="0.25">
      <c r="P15795" s="4"/>
    </row>
    <row r="15796" spans="16:16" x14ac:dyDescent="0.25">
      <c r="P15796" s="4"/>
    </row>
    <row r="15797" spans="16:16" x14ac:dyDescent="0.25">
      <c r="P15797" s="4"/>
    </row>
    <row r="15798" spans="16:16" x14ac:dyDescent="0.25">
      <c r="P15798" s="4"/>
    </row>
    <row r="15799" spans="16:16" x14ac:dyDescent="0.25">
      <c r="P15799" s="4"/>
    </row>
    <row r="15800" spans="16:16" x14ac:dyDescent="0.25">
      <c r="P15800" s="4"/>
    </row>
    <row r="15801" spans="16:16" x14ac:dyDescent="0.25">
      <c r="P15801" s="4"/>
    </row>
    <row r="15802" spans="16:16" x14ac:dyDescent="0.25">
      <c r="P15802" s="4"/>
    </row>
    <row r="15803" spans="16:16" x14ac:dyDescent="0.25">
      <c r="P15803" s="4"/>
    </row>
    <row r="15804" spans="16:16" x14ac:dyDescent="0.25">
      <c r="P15804" s="4"/>
    </row>
    <row r="15805" spans="16:16" x14ac:dyDescent="0.25">
      <c r="P15805" s="4"/>
    </row>
    <row r="15806" spans="16:16" x14ac:dyDescent="0.25">
      <c r="P15806" s="4"/>
    </row>
    <row r="15807" spans="16:16" x14ac:dyDescent="0.25">
      <c r="P15807" s="4"/>
    </row>
    <row r="15808" spans="16:16" x14ac:dyDescent="0.25">
      <c r="P15808" s="4"/>
    </row>
    <row r="15809" spans="16:16" x14ac:dyDescent="0.25">
      <c r="P15809" s="4"/>
    </row>
    <row r="15810" spans="16:16" x14ac:dyDescent="0.25">
      <c r="P15810" s="4"/>
    </row>
    <row r="15811" spans="16:16" x14ac:dyDescent="0.25">
      <c r="P15811" s="4"/>
    </row>
    <row r="15812" spans="16:16" x14ac:dyDescent="0.25">
      <c r="P15812" s="4"/>
    </row>
    <row r="15813" spans="16:16" x14ac:dyDescent="0.25">
      <c r="P15813" s="4"/>
    </row>
    <row r="15814" spans="16:16" x14ac:dyDescent="0.25">
      <c r="P15814" s="4"/>
    </row>
    <row r="15815" spans="16:16" x14ac:dyDescent="0.25">
      <c r="P15815" s="4"/>
    </row>
    <row r="15816" spans="16:16" x14ac:dyDescent="0.25">
      <c r="P15816" s="4"/>
    </row>
    <row r="15817" spans="16:16" x14ac:dyDescent="0.25">
      <c r="P15817" s="4"/>
    </row>
    <row r="15818" spans="16:16" x14ac:dyDescent="0.25">
      <c r="P15818" s="4"/>
    </row>
    <row r="15819" spans="16:16" x14ac:dyDescent="0.25">
      <c r="P15819" s="4"/>
    </row>
    <row r="15820" spans="16:16" x14ac:dyDescent="0.25">
      <c r="P15820" s="4"/>
    </row>
    <row r="15821" spans="16:16" x14ac:dyDescent="0.25">
      <c r="P15821" s="4"/>
    </row>
    <row r="15822" spans="16:16" x14ac:dyDescent="0.25">
      <c r="P15822" s="4"/>
    </row>
    <row r="15823" spans="16:16" x14ac:dyDescent="0.25">
      <c r="P15823" s="4"/>
    </row>
    <row r="15824" spans="16:16" x14ac:dyDescent="0.25">
      <c r="P15824" s="4"/>
    </row>
    <row r="15825" spans="16:16" x14ac:dyDescent="0.25">
      <c r="P15825" s="4"/>
    </row>
    <row r="15826" spans="16:16" x14ac:dyDescent="0.25">
      <c r="P15826" s="4"/>
    </row>
    <row r="15827" spans="16:16" x14ac:dyDescent="0.25">
      <c r="P15827" s="4"/>
    </row>
    <row r="15828" spans="16:16" x14ac:dyDescent="0.25">
      <c r="P15828" s="4"/>
    </row>
    <row r="15829" spans="16:16" x14ac:dyDescent="0.25">
      <c r="P15829" s="4"/>
    </row>
    <row r="15830" spans="16:16" x14ac:dyDescent="0.25">
      <c r="P15830" s="4"/>
    </row>
    <row r="15831" spans="16:16" x14ac:dyDescent="0.25">
      <c r="P15831" s="4"/>
    </row>
    <row r="15832" spans="16:16" x14ac:dyDescent="0.25">
      <c r="P15832" s="4"/>
    </row>
    <row r="15833" spans="16:16" x14ac:dyDescent="0.25">
      <c r="P15833" s="4"/>
    </row>
    <row r="15834" spans="16:16" x14ac:dyDescent="0.25">
      <c r="P15834" s="4"/>
    </row>
    <row r="15835" spans="16:16" x14ac:dyDescent="0.25">
      <c r="P15835" s="4"/>
    </row>
    <row r="15836" spans="16:16" x14ac:dyDescent="0.25">
      <c r="P15836" s="4"/>
    </row>
    <row r="15837" spans="16:16" x14ac:dyDescent="0.25">
      <c r="P15837" s="4"/>
    </row>
    <row r="15838" spans="16:16" x14ac:dyDescent="0.25">
      <c r="P15838" s="4"/>
    </row>
    <row r="15839" spans="16:16" x14ac:dyDescent="0.25">
      <c r="P15839" s="4"/>
    </row>
    <row r="15840" spans="16:16" x14ac:dyDescent="0.25">
      <c r="P15840" s="4"/>
    </row>
    <row r="15841" spans="16:16" x14ac:dyDescent="0.25">
      <c r="P15841" s="4"/>
    </row>
    <row r="15842" spans="16:16" x14ac:dyDescent="0.25">
      <c r="P15842" s="4"/>
    </row>
    <row r="15843" spans="16:16" x14ac:dyDescent="0.25">
      <c r="P15843" s="4"/>
    </row>
    <row r="15844" spans="16:16" x14ac:dyDescent="0.25">
      <c r="P15844" s="4"/>
    </row>
    <row r="15845" spans="16:16" x14ac:dyDescent="0.25">
      <c r="P15845" s="4"/>
    </row>
    <row r="15846" spans="16:16" x14ac:dyDescent="0.25">
      <c r="P15846" s="4"/>
    </row>
    <row r="15847" spans="16:16" x14ac:dyDescent="0.25">
      <c r="P15847" s="4"/>
    </row>
    <row r="15848" spans="16:16" x14ac:dyDescent="0.25">
      <c r="P15848" s="4"/>
    </row>
    <row r="15849" spans="16:16" x14ac:dyDescent="0.25">
      <c r="P15849" s="4"/>
    </row>
    <row r="15850" spans="16:16" x14ac:dyDescent="0.25">
      <c r="P15850" s="4"/>
    </row>
    <row r="15851" spans="16:16" x14ac:dyDescent="0.25">
      <c r="P15851" s="4"/>
    </row>
    <row r="15852" spans="16:16" x14ac:dyDescent="0.25">
      <c r="P15852" s="4"/>
    </row>
    <row r="15853" spans="16:16" x14ac:dyDescent="0.25">
      <c r="P15853" s="4"/>
    </row>
    <row r="15854" spans="16:16" x14ac:dyDescent="0.25">
      <c r="P15854" s="4"/>
    </row>
    <row r="15855" spans="16:16" x14ac:dyDescent="0.25">
      <c r="P15855" s="4"/>
    </row>
    <row r="15856" spans="16:16" x14ac:dyDescent="0.25">
      <c r="P15856" s="4"/>
    </row>
    <row r="15857" spans="16:16" x14ac:dyDescent="0.25">
      <c r="P15857" s="4"/>
    </row>
    <row r="15858" spans="16:16" x14ac:dyDescent="0.25">
      <c r="P15858" s="4"/>
    </row>
    <row r="15859" spans="16:16" x14ac:dyDescent="0.25">
      <c r="P15859" s="4"/>
    </row>
    <row r="15860" spans="16:16" x14ac:dyDescent="0.25">
      <c r="P15860" s="4"/>
    </row>
    <row r="15861" spans="16:16" x14ac:dyDescent="0.25">
      <c r="P15861" s="4"/>
    </row>
    <row r="15862" spans="16:16" x14ac:dyDescent="0.25">
      <c r="P15862" s="4"/>
    </row>
    <row r="15863" spans="16:16" x14ac:dyDescent="0.25">
      <c r="P15863" s="4"/>
    </row>
    <row r="15864" spans="16:16" x14ac:dyDescent="0.25">
      <c r="P15864" s="4"/>
    </row>
    <row r="15865" spans="16:16" x14ac:dyDescent="0.25">
      <c r="P15865" s="4"/>
    </row>
    <row r="15866" spans="16:16" x14ac:dyDescent="0.25">
      <c r="P15866" s="4"/>
    </row>
    <row r="15867" spans="16:16" x14ac:dyDescent="0.25">
      <c r="P15867" s="4"/>
    </row>
    <row r="15868" spans="16:16" x14ac:dyDescent="0.25">
      <c r="P15868" s="4"/>
    </row>
    <row r="15869" spans="16:16" x14ac:dyDescent="0.25">
      <c r="P15869" s="4"/>
    </row>
    <row r="15870" spans="16:16" x14ac:dyDescent="0.25">
      <c r="P15870" s="4"/>
    </row>
    <row r="15871" spans="16:16" x14ac:dyDescent="0.25">
      <c r="P15871" s="4"/>
    </row>
    <row r="15872" spans="16:16" x14ac:dyDescent="0.25">
      <c r="P15872" s="4"/>
    </row>
    <row r="15873" spans="16:16" x14ac:dyDescent="0.25">
      <c r="P15873" s="4"/>
    </row>
    <row r="15874" spans="16:16" x14ac:dyDescent="0.25">
      <c r="P15874" s="4"/>
    </row>
    <row r="15875" spans="16:16" x14ac:dyDescent="0.25">
      <c r="P15875" s="4"/>
    </row>
    <row r="15876" spans="16:16" x14ac:dyDescent="0.25">
      <c r="P15876" s="4"/>
    </row>
    <row r="15877" spans="16:16" x14ac:dyDescent="0.25">
      <c r="P15877" s="4"/>
    </row>
    <row r="15878" spans="16:16" x14ac:dyDescent="0.25">
      <c r="P15878" s="4"/>
    </row>
    <row r="15879" spans="16:16" x14ac:dyDescent="0.25">
      <c r="P15879" s="4"/>
    </row>
    <row r="15880" spans="16:16" x14ac:dyDescent="0.25">
      <c r="P15880" s="4"/>
    </row>
    <row r="15881" spans="16:16" x14ac:dyDescent="0.25">
      <c r="P15881" s="4"/>
    </row>
    <row r="15882" spans="16:16" x14ac:dyDescent="0.25">
      <c r="P15882" s="4"/>
    </row>
    <row r="15883" spans="16:16" x14ac:dyDescent="0.25">
      <c r="P15883" s="4"/>
    </row>
    <row r="15884" spans="16:16" x14ac:dyDescent="0.25">
      <c r="P15884" s="4"/>
    </row>
    <row r="15885" spans="16:16" x14ac:dyDescent="0.25">
      <c r="P15885" s="4"/>
    </row>
    <row r="15886" spans="16:16" x14ac:dyDescent="0.25">
      <c r="P15886" s="4"/>
    </row>
    <row r="15887" spans="16:16" x14ac:dyDescent="0.25">
      <c r="P15887" s="4"/>
    </row>
    <row r="15888" spans="16:16" x14ac:dyDescent="0.25">
      <c r="P15888" s="4"/>
    </row>
    <row r="15889" spans="16:16" x14ac:dyDescent="0.25">
      <c r="P15889" s="4"/>
    </row>
    <row r="15890" spans="16:16" x14ac:dyDescent="0.25">
      <c r="P15890" s="4"/>
    </row>
    <row r="15891" spans="16:16" x14ac:dyDescent="0.25">
      <c r="P15891" s="4"/>
    </row>
    <row r="15892" spans="16:16" x14ac:dyDescent="0.25">
      <c r="P15892" s="4"/>
    </row>
    <row r="15893" spans="16:16" x14ac:dyDescent="0.25">
      <c r="P15893" s="4"/>
    </row>
    <row r="15894" spans="16:16" x14ac:dyDescent="0.25">
      <c r="P15894" s="4"/>
    </row>
    <row r="15895" spans="16:16" x14ac:dyDescent="0.25">
      <c r="P15895" s="4"/>
    </row>
    <row r="15896" spans="16:16" x14ac:dyDescent="0.25">
      <c r="P15896" s="4"/>
    </row>
    <row r="15897" spans="16:16" x14ac:dyDescent="0.25">
      <c r="P15897" s="4"/>
    </row>
    <row r="15898" spans="16:16" x14ac:dyDescent="0.25">
      <c r="P15898" s="4"/>
    </row>
    <row r="15899" spans="16:16" x14ac:dyDescent="0.25">
      <c r="P15899" s="4"/>
    </row>
    <row r="15900" spans="16:16" x14ac:dyDescent="0.25">
      <c r="P15900" s="4"/>
    </row>
    <row r="15901" spans="16:16" x14ac:dyDescent="0.25">
      <c r="P15901" s="4"/>
    </row>
    <row r="15902" spans="16:16" x14ac:dyDescent="0.25">
      <c r="P15902" s="4"/>
    </row>
    <row r="15903" spans="16:16" x14ac:dyDescent="0.25">
      <c r="P15903" s="4"/>
    </row>
    <row r="15904" spans="16:16" x14ac:dyDescent="0.25">
      <c r="P15904" s="4"/>
    </row>
    <row r="15905" spans="16:16" x14ac:dyDescent="0.25">
      <c r="P15905" s="4"/>
    </row>
    <row r="15906" spans="16:16" x14ac:dyDescent="0.25">
      <c r="P15906" s="4"/>
    </row>
    <row r="15907" spans="16:16" x14ac:dyDescent="0.25">
      <c r="P15907" s="4"/>
    </row>
    <row r="15908" spans="16:16" x14ac:dyDescent="0.25">
      <c r="P15908" s="4"/>
    </row>
    <row r="15909" spans="16:16" x14ac:dyDescent="0.25">
      <c r="P15909" s="4"/>
    </row>
    <row r="15910" spans="16:16" x14ac:dyDescent="0.25">
      <c r="P15910" s="4"/>
    </row>
    <row r="15911" spans="16:16" x14ac:dyDescent="0.25">
      <c r="P15911" s="4"/>
    </row>
    <row r="15912" spans="16:16" x14ac:dyDescent="0.25">
      <c r="P15912" s="4"/>
    </row>
    <row r="15913" spans="16:16" x14ac:dyDescent="0.25">
      <c r="P15913" s="4"/>
    </row>
    <row r="15914" spans="16:16" x14ac:dyDescent="0.25">
      <c r="P15914" s="4"/>
    </row>
    <row r="15915" spans="16:16" x14ac:dyDescent="0.25">
      <c r="P15915" s="4"/>
    </row>
    <row r="15916" spans="16:16" x14ac:dyDescent="0.25">
      <c r="P15916" s="4"/>
    </row>
    <row r="15917" spans="16:16" x14ac:dyDescent="0.25">
      <c r="P15917" s="4"/>
    </row>
    <row r="15918" spans="16:16" x14ac:dyDescent="0.25">
      <c r="P15918" s="4"/>
    </row>
    <row r="15919" spans="16:16" x14ac:dyDescent="0.25">
      <c r="P15919" s="4"/>
    </row>
    <row r="15920" spans="16:16" x14ac:dyDescent="0.25">
      <c r="P15920" s="4"/>
    </row>
    <row r="15921" spans="16:16" x14ac:dyDescent="0.25">
      <c r="P15921" s="4"/>
    </row>
    <row r="15922" spans="16:16" x14ac:dyDescent="0.25">
      <c r="P15922" s="4"/>
    </row>
    <row r="15923" spans="16:16" x14ac:dyDescent="0.25">
      <c r="P15923" s="4"/>
    </row>
    <row r="15924" spans="16:16" x14ac:dyDescent="0.25">
      <c r="P15924" s="4"/>
    </row>
    <row r="15925" spans="16:16" x14ac:dyDescent="0.25">
      <c r="P15925" s="4"/>
    </row>
    <row r="15926" spans="16:16" x14ac:dyDescent="0.25">
      <c r="P15926" s="4"/>
    </row>
    <row r="15927" spans="16:16" x14ac:dyDescent="0.25">
      <c r="P15927" s="4"/>
    </row>
    <row r="15928" spans="16:16" x14ac:dyDescent="0.25">
      <c r="P15928" s="4"/>
    </row>
    <row r="15929" spans="16:16" x14ac:dyDescent="0.25">
      <c r="P15929" s="4"/>
    </row>
    <row r="15930" spans="16:16" x14ac:dyDescent="0.25">
      <c r="P15930" s="4"/>
    </row>
    <row r="15931" spans="16:16" x14ac:dyDescent="0.25">
      <c r="P15931" s="4"/>
    </row>
    <row r="15932" spans="16:16" x14ac:dyDescent="0.25">
      <c r="P15932" s="4"/>
    </row>
    <row r="15933" spans="16:16" x14ac:dyDescent="0.25">
      <c r="P15933" s="4"/>
    </row>
    <row r="15934" spans="16:16" x14ac:dyDescent="0.25">
      <c r="P15934" s="4"/>
    </row>
    <row r="15935" spans="16:16" x14ac:dyDescent="0.25">
      <c r="P15935" s="4"/>
    </row>
    <row r="15936" spans="16:16" x14ac:dyDescent="0.25">
      <c r="P15936" s="4"/>
    </row>
    <row r="15937" spans="16:16" x14ac:dyDescent="0.25">
      <c r="P15937" s="4"/>
    </row>
    <row r="15938" spans="16:16" x14ac:dyDescent="0.25">
      <c r="P15938" s="4"/>
    </row>
    <row r="15939" spans="16:16" x14ac:dyDescent="0.25">
      <c r="P15939" s="4"/>
    </row>
    <row r="15940" spans="16:16" x14ac:dyDescent="0.25">
      <c r="P15940" s="4"/>
    </row>
    <row r="15941" spans="16:16" x14ac:dyDescent="0.25">
      <c r="P15941" s="4"/>
    </row>
    <row r="15942" spans="16:16" x14ac:dyDescent="0.25">
      <c r="P15942" s="4"/>
    </row>
    <row r="15943" spans="16:16" x14ac:dyDescent="0.25">
      <c r="P15943" s="4"/>
    </row>
    <row r="15944" spans="16:16" x14ac:dyDescent="0.25">
      <c r="P15944" s="4"/>
    </row>
    <row r="15945" spans="16:16" x14ac:dyDescent="0.25">
      <c r="P15945" s="4"/>
    </row>
    <row r="15946" spans="16:16" x14ac:dyDescent="0.25">
      <c r="P15946" s="4"/>
    </row>
    <row r="15947" spans="16:16" x14ac:dyDescent="0.25">
      <c r="P15947" s="4"/>
    </row>
    <row r="15948" spans="16:16" x14ac:dyDescent="0.25">
      <c r="P15948" s="4"/>
    </row>
    <row r="15949" spans="16:16" x14ac:dyDescent="0.25">
      <c r="P15949" s="4"/>
    </row>
    <row r="15950" spans="16:16" x14ac:dyDescent="0.25">
      <c r="P15950" s="4"/>
    </row>
    <row r="15951" spans="16:16" x14ac:dyDescent="0.25">
      <c r="P15951" s="4"/>
    </row>
    <row r="15952" spans="16:16" x14ac:dyDescent="0.25">
      <c r="P15952" s="4"/>
    </row>
    <row r="15953" spans="16:16" x14ac:dyDescent="0.25">
      <c r="P15953" s="4"/>
    </row>
    <row r="15954" spans="16:16" x14ac:dyDescent="0.25">
      <c r="P15954" s="4"/>
    </row>
    <row r="15955" spans="16:16" x14ac:dyDescent="0.25">
      <c r="P15955" s="4"/>
    </row>
    <row r="15956" spans="16:16" x14ac:dyDescent="0.25">
      <c r="P15956" s="4"/>
    </row>
    <row r="15957" spans="16:16" x14ac:dyDescent="0.25">
      <c r="P15957" s="4"/>
    </row>
    <row r="15958" spans="16:16" x14ac:dyDescent="0.25">
      <c r="P15958" s="4"/>
    </row>
    <row r="15959" spans="16:16" x14ac:dyDescent="0.25">
      <c r="P15959" s="4"/>
    </row>
    <row r="15960" spans="16:16" x14ac:dyDescent="0.25">
      <c r="P15960" s="4"/>
    </row>
    <row r="15961" spans="16:16" x14ac:dyDescent="0.25">
      <c r="P15961" s="4"/>
    </row>
    <row r="15962" spans="16:16" x14ac:dyDescent="0.25">
      <c r="P15962" s="4"/>
    </row>
    <row r="15963" spans="16:16" x14ac:dyDescent="0.25">
      <c r="P15963" s="4"/>
    </row>
    <row r="15964" spans="16:16" x14ac:dyDescent="0.25">
      <c r="P15964" s="4"/>
    </row>
    <row r="15965" spans="16:16" x14ac:dyDescent="0.25">
      <c r="P15965" s="4"/>
    </row>
    <row r="15966" spans="16:16" x14ac:dyDescent="0.25">
      <c r="P15966" s="4"/>
    </row>
    <row r="15967" spans="16:16" x14ac:dyDescent="0.25">
      <c r="P15967" s="4"/>
    </row>
    <row r="15968" spans="16:16" x14ac:dyDescent="0.25">
      <c r="P15968" s="4"/>
    </row>
    <row r="15969" spans="16:16" x14ac:dyDescent="0.25">
      <c r="P15969" s="4"/>
    </row>
    <row r="15970" spans="16:16" x14ac:dyDescent="0.25">
      <c r="P15970" s="4"/>
    </row>
    <row r="15971" spans="16:16" x14ac:dyDescent="0.25">
      <c r="P15971" s="4"/>
    </row>
    <row r="15972" spans="16:16" x14ac:dyDescent="0.25">
      <c r="P15972" s="4"/>
    </row>
    <row r="15973" spans="16:16" x14ac:dyDescent="0.25">
      <c r="P15973" s="4"/>
    </row>
    <row r="15974" spans="16:16" x14ac:dyDescent="0.25">
      <c r="P15974" s="4"/>
    </row>
    <row r="15975" spans="16:16" x14ac:dyDescent="0.25">
      <c r="P15975" s="4"/>
    </row>
    <row r="15976" spans="16:16" x14ac:dyDescent="0.25">
      <c r="P15976" s="4"/>
    </row>
    <row r="15977" spans="16:16" x14ac:dyDescent="0.25">
      <c r="P15977" s="4"/>
    </row>
    <row r="15978" spans="16:16" x14ac:dyDescent="0.25">
      <c r="P15978" s="4"/>
    </row>
    <row r="15979" spans="16:16" x14ac:dyDescent="0.25">
      <c r="P15979" s="4"/>
    </row>
    <row r="15980" spans="16:16" x14ac:dyDescent="0.25">
      <c r="P15980" s="4"/>
    </row>
    <row r="15981" spans="16:16" x14ac:dyDescent="0.25">
      <c r="P15981" s="4"/>
    </row>
    <row r="15982" spans="16:16" x14ac:dyDescent="0.25">
      <c r="P15982" s="4"/>
    </row>
    <row r="15983" spans="16:16" x14ac:dyDescent="0.25">
      <c r="P15983" s="4"/>
    </row>
    <row r="15984" spans="16:16" x14ac:dyDescent="0.25">
      <c r="P15984" s="4"/>
    </row>
    <row r="15985" spans="16:16" x14ac:dyDescent="0.25">
      <c r="P15985" s="4"/>
    </row>
    <row r="15986" spans="16:16" x14ac:dyDescent="0.25">
      <c r="P15986" s="4"/>
    </row>
    <row r="15987" spans="16:16" x14ac:dyDescent="0.25">
      <c r="P15987" s="4"/>
    </row>
    <row r="15988" spans="16:16" x14ac:dyDescent="0.25">
      <c r="P15988" s="4"/>
    </row>
    <row r="15989" spans="16:16" x14ac:dyDescent="0.25">
      <c r="P15989" s="4"/>
    </row>
    <row r="15990" spans="16:16" x14ac:dyDescent="0.25">
      <c r="P15990" s="4"/>
    </row>
    <row r="15991" spans="16:16" x14ac:dyDescent="0.25">
      <c r="P15991" s="4"/>
    </row>
    <row r="15992" spans="16:16" x14ac:dyDescent="0.25">
      <c r="P15992" s="4"/>
    </row>
    <row r="15993" spans="16:16" x14ac:dyDescent="0.25">
      <c r="P15993" s="4"/>
    </row>
    <row r="15994" spans="16:16" x14ac:dyDescent="0.25">
      <c r="P15994" s="4"/>
    </row>
    <row r="15995" spans="16:16" x14ac:dyDescent="0.25">
      <c r="P15995" s="4"/>
    </row>
    <row r="15996" spans="16:16" x14ac:dyDescent="0.25">
      <c r="P15996" s="4"/>
    </row>
    <row r="15997" spans="16:16" x14ac:dyDescent="0.25">
      <c r="P15997" s="4"/>
    </row>
    <row r="15998" spans="16:16" x14ac:dyDescent="0.25">
      <c r="P15998" s="4"/>
    </row>
    <row r="15999" spans="16:16" x14ac:dyDescent="0.25">
      <c r="P15999" s="4"/>
    </row>
    <row r="16000" spans="16:16" x14ac:dyDescent="0.25">
      <c r="P16000" s="4"/>
    </row>
    <row r="16001" spans="16:16" x14ac:dyDescent="0.25">
      <c r="P16001" s="4"/>
    </row>
    <row r="16002" spans="16:16" x14ac:dyDescent="0.25">
      <c r="P16002" s="4"/>
    </row>
    <row r="16003" spans="16:16" x14ac:dyDescent="0.25">
      <c r="P16003" s="4"/>
    </row>
    <row r="16004" spans="16:16" x14ac:dyDescent="0.25">
      <c r="P16004" s="4"/>
    </row>
    <row r="16005" spans="16:16" x14ac:dyDescent="0.25">
      <c r="P16005" s="4"/>
    </row>
    <row r="16006" spans="16:16" x14ac:dyDescent="0.25">
      <c r="P16006" s="4"/>
    </row>
    <row r="16007" spans="16:16" x14ac:dyDescent="0.25">
      <c r="P16007" s="4"/>
    </row>
    <row r="16008" spans="16:16" x14ac:dyDescent="0.25">
      <c r="P16008" s="4"/>
    </row>
    <row r="16009" spans="16:16" x14ac:dyDescent="0.25">
      <c r="P16009" s="4"/>
    </row>
    <row r="16010" spans="16:16" x14ac:dyDescent="0.25">
      <c r="P16010" s="4"/>
    </row>
    <row r="16011" spans="16:16" x14ac:dyDescent="0.25">
      <c r="P16011" s="4"/>
    </row>
    <row r="16012" spans="16:16" x14ac:dyDescent="0.25">
      <c r="P16012" s="4"/>
    </row>
    <row r="16013" spans="16:16" x14ac:dyDescent="0.25">
      <c r="P16013" s="4"/>
    </row>
    <row r="16014" spans="16:16" x14ac:dyDescent="0.25">
      <c r="P16014" s="4"/>
    </row>
    <row r="16015" spans="16:16" x14ac:dyDescent="0.25">
      <c r="P16015" s="4"/>
    </row>
    <row r="16016" spans="16:16" x14ac:dyDescent="0.25">
      <c r="P16016" s="4"/>
    </row>
    <row r="16017" spans="16:16" x14ac:dyDescent="0.25">
      <c r="P16017" s="4"/>
    </row>
    <row r="16018" spans="16:16" x14ac:dyDescent="0.25">
      <c r="P16018" s="4"/>
    </row>
    <row r="16019" spans="16:16" x14ac:dyDescent="0.25">
      <c r="P16019" s="4"/>
    </row>
    <row r="16020" spans="16:16" x14ac:dyDescent="0.25">
      <c r="P16020" s="4"/>
    </row>
    <row r="16021" spans="16:16" x14ac:dyDescent="0.25">
      <c r="P16021" s="4"/>
    </row>
    <row r="16022" spans="16:16" x14ac:dyDescent="0.25">
      <c r="P16022" s="4"/>
    </row>
    <row r="16023" spans="16:16" x14ac:dyDescent="0.25">
      <c r="P16023" s="4"/>
    </row>
    <row r="16024" spans="16:16" x14ac:dyDescent="0.25">
      <c r="P16024" s="4"/>
    </row>
    <row r="16025" spans="16:16" x14ac:dyDescent="0.25">
      <c r="P16025" s="4"/>
    </row>
    <row r="16026" spans="16:16" x14ac:dyDescent="0.25">
      <c r="P16026" s="4"/>
    </row>
    <row r="16027" spans="16:16" x14ac:dyDescent="0.25">
      <c r="P16027" s="4"/>
    </row>
    <row r="16028" spans="16:16" x14ac:dyDescent="0.25">
      <c r="P16028" s="4"/>
    </row>
    <row r="16029" spans="16:16" x14ac:dyDescent="0.25">
      <c r="P16029" s="4"/>
    </row>
    <row r="16030" spans="16:16" x14ac:dyDescent="0.25">
      <c r="P16030" s="4"/>
    </row>
    <row r="16031" spans="16:16" x14ac:dyDescent="0.25">
      <c r="P16031" s="4"/>
    </row>
    <row r="16032" spans="16:16" x14ac:dyDescent="0.25">
      <c r="P16032" s="4"/>
    </row>
    <row r="16033" spans="16:16" x14ac:dyDescent="0.25">
      <c r="P16033" s="4"/>
    </row>
    <row r="16034" spans="16:16" x14ac:dyDescent="0.25">
      <c r="P16034" s="4"/>
    </row>
    <row r="16035" spans="16:16" x14ac:dyDescent="0.25">
      <c r="P16035" s="4"/>
    </row>
    <row r="16036" spans="16:16" x14ac:dyDescent="0.25">
      <c r="P16036" s="4"/>
    </row>
    <row r="16037" spans="16:16" x14ac:dyDescent="0.25">
      <c r="P16037" s="4"/>
    </row>
    <row r="16038" spans="16:16" x14ac:dyDescent="0.25">
      <c r="P16038" s="4"/>
    </row>
    <row r="16039" spans="16:16" x14ac:dyDescent="0.25">
      <c r="P16039" s="4"/>
    </row>
    <row r="16040" spans="16:16" x14ac:dyDescent="0.25">
      <c r="P16040" s="4"/>
    </row>
    <row r="16041" spans="16:16" x14ac:dyDescent="0.25">
      <c r="P16041" s="4"/>
    </row>
    <row r="16042" spans="16:16" x14ac:dyDescent="0.25">
      <c r="P16042" s="4"/>
    </row>
    <row r="16043" spans="16:16" x14ac:dyDescent="0.25">
      <c r="P16043" s="4"/>
    </row>
    <row r="16044" spans="16:16" x14ac:dyDescent="0.25">
      <c r="P16044" s="4"/>
    </row>
    <row r="16045" spans="16:16" x14ac:dyDescent="0.25">
      <c r="P16045" s="4"/>
    </row>
    <row r="16046" spans="16:16" x14ac:dyDescent="0.25">
      <c r="P16046" s="4"/>
    </row>
    <row r="16047" spans="16:16" x14ac:dyDescent="0.25">
      <c r="P16047" s="4"/>
    </row>
    <row r="16048" spans="16:16" x14ac:dyDescent="0.25">
      <c r="P16048" s="4"/>
    </row>
    <row r="16049" spans="16:16" x14ac:dyDescent="0.25">
      <c r="P16049" s="4"/>
    </row>
    <row r="16050" spans="16:16" x14ac:dyDescent="0.25">
      <c r="P16050" s="4"/>
    </row>
    <row r="16051" spans="16:16" x14ac:dyDescent="0.25">
      <c r="P16051" s="4"/>
    </row>
    <row r="16052" spans="16:16" x14ac:dyDescent="0.25">
      <c r="P16052" s="4"/>
    </row>
    <row r="16053" spans="16:16" x14ac:dyDescent="0.25">
      <c r="P16053" s="4"/>
    </row>
    <row r="16054" spans="16:16" x14ac:dyDescent="0.25">
      <c r="P16054" s="4"/>
    </row>
    <row r="16055" spans="16:16" x14ac:dyDescent="0.25">
      <c r="P16055" s="4"/>
    </row>
    <row r="16056" spans="16:16" x14ac:dyDescent="0.25">
      <c r="P16056" s="4"/>
    </row>
    <row r="16057" spans="16:16" x14ac:dyDescent="0.25">
      <c r="P16057" s="4"/>
    </row>
    <row r="16058" spans="16:16" x14ac:dyDescent="0.25">
      <c r="P16058" s="4"/>
    </row>
    <row r="16059" spans="16:16" x14ac:dyDescent="0.25">
      <c r="P16059" s="4"/>
    </row>
    <row r="16060" spans="16:16" x14ac:dyDescent="0.25">
      <c r="P16060" s="4"/>
    </row>
    <row r="16061" spans="16:16" x14ac:dyDescent="0.25">
      <c r="P16061" s="4"/>
    </row>
    <row r="16062" spans="16:16" x14ac:dyDescent="0.25">
      <c r="P16062" s="4"/>
    </row>
    <row r="16063" spans="16:16" x14ac:dyDescent="0.25">
      <c r="P16063" s="4"/>
    </row>
    <row r="16064" spans="16:16" x14ac:dyDescent="0.25">
      <c r="P16064" s="4"/>
    </row>
    <row r="16065" spans="16:16" x14ac:dyDescent="0.25">
      <c r="P16065" s="4"/>
    </row>
    <row r="16066" spans="16:16" x14ac:dyDescent="0.25">
      <c r="P16066" s="4"/>
    </row>
    <row r="16067" spans="16:16" x14ac:dyDescent="0.25">
      <c r="P16067" s="4"/>
    </row>
    <row r="16068" spans="16:16" x14ac:dyDescent="0.25">
      <c r="P16068" s="4"/>
    </row>
    <row r="16069" spans="16:16" x14ac:dyDescent="0.25">
      <c r="P16069" s="4"/>
    </row>
    <row r="16070" spans="16:16" x14ac:dyDescent="0.25">
      <c r="P16070" s="4"/>
    </row>
    <row r="16071" spans="16:16" x14ac:dyDescent="0.25">
      <c r="P16071" s="4"/>
    </row>
    <row r="16072" spans="16:16" x14ac:dyDescent="0.25">
      <c r="P16072" s="4"/>
    </row>
    <row r="16073" spans="16:16" x14ac:dyDescent="0.25">
      <c r="P16073" s="4"/>
    </row>
    <row r="16074" spans="16:16" x14ac:dyDescent="0.25">
      <c r="P16074" s="4"/>
    </row>
    <row r="16075" spans="16:16" x14ac:dyDescent="0.25">
      <c r="P16075" s="4"/>
    </row>
    <row r="16076" spans="16:16" x14ac:dyDescent="0.25">
      <c r="P16076" s="4"/>
    </row>
    <row r="16077" spans="16:16" x14ac:dyDescent="0.25">
      <c r="P16077" s="4"/>
    </row>
    <row r="16078" spans="16:16" x14ac:dyDescent="0.25">
      <c r="P16078" s="4"/>
    </row>
    <row r="16079" spans="16:16" x14ac:dyDescent="0.25">
      <c r="P16079" s="4"/>
    </row>
    <row r="16080" spans="16:16" x14ac:dyDescent="0.25">
      <c r="P16080" s="4"/>
    </row>
    <row r="16081" spans="16:16" x14ac:dyDescent="0.25">
      <c r="P16081" s="4"/>
    </row>
    <row r="16082" spans="16:16" x14ac:dyDescent="0.25">
      <c r="P16082" s="4"/>
    </row>
    <row r="16083" spans="16:16" x14ac:dyDescent="0.25">
      <c r="P16083" s="4"/>
    </row>
    <row r="16084" spans="16:16" x14ac:dyDescent="0.25">
      <c r="P16084" s="4"/>
    </row>
    <row r="16085" spans="16:16" x14ac:dyDescent="0.25">
      <c r="P16085" s="4"/>
    </row>
    <row r="16086" spans="16:16" x14ac:dyDescent="0.25">
      <c r="P16086" s="4"/>
    </row>
    <row r="16087" spans="16:16" x14ac:dyDescent="0.25">
      <c r="P16087" s="4"/>
    </row>
    <row r="16088" spans="16:16" x14ac:dyDescent="0.25">
      <c r="P16088" s="4"/>
    </row>
    <row r="16089" spans="16:16" x14ac:dyDescent="0.25">
      <c r="P16089" s="4"/>
    </row>
    <row r="16090" spans="16:16" x14ac:dyDescent="0.25">
      <c r="P16090" s="4"/>
    </row>
    <row r="16091" spans="16:16" x14ac:dyDescent="0.25">
      <c r="P16091" s="4"/>
    </row>
    <row r="16092" spans="16:16" x14ac:dyDescent="0.25">
      <c r="P16092" s="4"/>
    </row>
    <row r="16093" spans="16:16" x14ac:dyDescent="0.25">
      <c r="P16093" s="4"/>
    </row>
    <row r="16094" spans="16:16" x14ac:dyDescent="0.25">
      <c r="P16094" s="4"/>
    </row>
    <row r="16095" spans="16:16" x14ac:dyDescent="0.25">
      <c r="P16095" s="4"/>
    </row>
    <row r="16096" spans="16:16" x14ac:dyDescent="0.25">
      <c r="P16096" s="4"/>
    </row>
    <row r="16097" spans="16:16" x14ac:dyDescent="0.25">
      <c r="P16097" s="4"/>
    </row>
    <row r="16098" spans="16:16" x14ac:dyDescent="0.25">
      <c r="P16098" s="4"/>
    </row>
    <row r="16099" spans="16:16" x14ac:dyDescent="0.25">
      <c r="P16099" s="4"/>
    </row>
    <row r="16100" spans="16:16" x14ac:dyDescent="0.25">
      <c r="P16100" s="4"/>
    </row>
    <row r="16101" spans="16:16" x14ac:dyDescent="0.25">
      <c r="P16101" s="4"/>
    </row>
    <row r="16102" spans="16:16" x14ac:dyDescent="0.25">
      <c r="P16102" s="4"/>
    </row>
    <row r="16103" spans="16:16" x14ac:dyDescent="0.25">
      <c r="P16103" s="4"/>
    </row>
    <row r="16104" spans="16:16" x14ac:dyDescent="0.25">
      <c r="P16104" s="4"/>
    </row>
    <row r="16105" spans="16:16" x14ac:dyDescent="0.25">
      <c r="P16105" s="4"/>
    </row>
    <row r="16106" spans="16:16" x14ac:dyDescent="0.25">
      <c r="P16106" s="4"/>
    </row>
    <row r="16107" spans="16:16" x14ac:dyDescent="0.25">
      <c r="P16107" s="4"/>
    </row>
    <row r="16108" spans="16:16" x14ac:dyDescent="0.25">
      <c r="P16108" s="4"/>
    </row>
    <row r="16109" spans="16:16" x14ac:dyDescent="0.25">
      <c r="P16109" s="4"/>
    </row>
    <row r="16110" spans="16:16" x14ac:dyDescent="0.25">
      <c r="P16110" s="4"/>
    </row>
    <row r="16111" spans="16:16" x14ac:dyDescent="0.25">
      <c r="P16111" s="4"/>
    </row>
    <row r="16112" spans="16:16" x14ac:dyDescent="0.25">
      <c r="P16112" s="4"/>
    </row>
    <row r="16113" spans="16:16" x14ac:dyDescent="0.25">
      <c r="P16113" s="4"/>
    </row>
    <row r="16114" spans="16:16" x14ac:dyDescent="0.25">
      <c r="P16114" s="4"/>
    </row>
    <row r="16115" spans="16:16" x14ac:dyDescent="0.25">
      <c r="P16115" s="4"/>
    </row>
    <row r="16116" spans="16:16" x14ac:dyDescent="0.25">
      <c r="P16116" s="4"/>
    </row>
    <row r="16117" spans="16:16" x14ac:dyDescent="0.25">
      <c r="P16117" s="4"/>
    </row>
    <row r="16118" spans="16:16" x14ac:dyDescent="0.25">
      <c r="P16118" s="4"/>
    </row>
    <row r="16119" spans="16:16" x14ac:dyDescent="0.25">
      <c r="P16119" s="4"/>
    </row>
    <row r="16120" spans="16:16" x14ac:dyDescent="0.25">
      <c r="P16120" s="4"/>
    </row>
    <row r="16121" spans="16:16" x14ac:dyDescent="0.25">
      <c r="P16121" s="4"/>
    </row>
    <row r="16122" spans="16:16" x14ac:dyDescent="0.25">
      <c r="P16122" s="4"/>
    </row>
    <row r="16123" spans="16:16" x14ac:dyDescent="0.25">
      <c r="P16123" s="4"/>
    </row>
    <row r="16124" spans="16:16" x14ac:dyDescent="0.25">
      <c r="P16124" s="4"/>
    </row>
    <row r="16125" spans="16:16" x14ac:dyDescent="0.25">
      <c r="P16125" s="4"/>
    </row>
    <row r="16126" spans="16:16" x14ac:dyDescent="0.25">
      <c r="P16126" s="4"/>
    </row>
    <row r="16127" spans="16:16" x14ac:dyDescent="0.25">
      <c r="P16127" s="4"/>
    </row>
    <row r="16128" spans="16:16" x14ac:dyDescent="0.25">
      <c r="P16128" s="4"/>
    </row>
    <row r="16129" spans="16:16" x14ac:dyDescent="0.25">
      <c r="P16129" s="4"/>
    </row>
    <row r="16130" spans="16:16" x14ac:dyDescent="0.25">
      <c r="P16130" s="4"/>
    </row>
    <row r="16131" spans="16:16" x14ac:dyDescent="0.25">
      <c r="P16131" s="4"/>
    </row>
    <row r="16132" spans="16:16" x14ac:dyDescent="0.25">
      <c r="P16132" s="4"/>
    </row>
    <row r="16133" spans="16:16" x14ac:dyDescent="0.25">
      <c r="P16133" s="4"/>
    </row>
    <row r="16134" spans="16:16" x14ac:dyDescent="0.25">
      <c r="P16134" s="4"/>
    </row>
    <row r="16135" spans="16:16" x14ac:dyDescent="0.25">
      <c r="P16135" s="4"/>
    </row>
    <row r="16136" spans="16:16" x14ac:dyDescent="0.25">
      <c r="P16136" s="4"/>
    </row>
    <row r="16137" spans="16:16" x14ac:dyDescent="0.25">
      <c r="P16137" s="4"/>
    </row>
    <row r="16138" spans="16:16" x14ac:dyDescent="0.25">
      <c r="P16138" s="4"/>
    </row>
    <row r="16139" spans="16:16" x14ac:dyDescent="0.25">
      <c r="P16139" s="4"/>
    </row>
    <row r="16140" spans="16:16" x14ac:dyDescent="0.25">
      <c r="P16140" s="4"/>
    </row>
    <row r="16141" spans="16:16" x14ac:dyDescent="0.25">
      <c r="P16141" s="4"/>
    </row>
    <row r="16142" spans="16:16" x14ac:dyDescent="0.25">
      <c r="P16142" s="4"/>
    </row>
    <row r="16143" spans="16:16" x14ac:dyDescent="0.25">
      <c r="P16143" s="4"/>
    </row>
    <row r="16144" spans="16:16" x14ac:dyDescent="0.25">
      <c r="P16144" s="4"/>
    </row>
    <row r="16145" spans="16:16" x14ac:dyDescent="0.25">
      <c r="P16145" s="4"/>
    </row>
    <row r="16146" spans="16:16" x14ac:dyDescent="0.25">
      <c r="P16146" s="4"/>
    </row>
    <row r="16147" spans="16:16" x14ac:dyDescent="0.25">
      <c r="P16147" s="4"/>
    </row>
    <row r="16148" spans="16:16" x14ac:dyDescent="0.25">
      <c r="P16148" s="4"/>
    </row>
    <row r="16149" spans="16:16" x14ac:dyDescent="0.25">
      <c r="P16149" s="4"/>
    </row>
    <row r="16150" spans="16:16" x14ac:dyDescent="0.25">
      <c r="P16150" s="4"/>
    </row>
    <row r="16151" spans="16:16" x14ac:dyDescent="0.25">
      <c r="P16151" s="4"/>
    </row>
    <row r="16152" spans="16:16" x14ac:dyDescent="0.25">
      <c r="P16152" s="4"/>
    </row>
    <row r="16153" spans="16:16" x14ac:dyDescent="0.25">
      <c r="P16153" s="4"/>
    </row>
    <row r="16154" spans="16:16" x14ac:dyDescent="0.25">
      <c r="P16154" s="4"/>
    </row>
    <row r="16155" spans="16:16" x14ac:dyDescent="0.25">
      <c r="P16155" s="4"/>
    </row>
    <row r="16156" spans="16:16" x14ac:dyDescent="0.25">
      <c r="P16156" s="4"/>
    </row>
    <row r="16157" spans="16:16" x14ac:dyDescent="0.25">
      <c r="P16157" s="4"/>
    </row>
    <row r="16158" spans="16:16" x14ac:dyDescent="0.25">
      <c r="P16158" s="4"/>
    </row>
    <row r="16159" spans="16:16" x14ac:dyDescent="0.25">
      <c r="P16159" s="4"/>
    </row>
    <row r="16160" spans="16:16" x14ac:dyDescent="0.25">
      <c r="P16160" s="4"/>
    </row>
    <row r="16161" spans="16:16" x14ac:dyDescent="0.25">
      <c r="P16161" s="4"/>
    </row>
    <row r="16162" spans="16:16" x14ac:dyDescent="0.25">
      <c r="P16162" s="4"/>
    </row>
    <row r="16163" spans="16:16" x14ac:dyDescent="0.25">
      <c r="P16163" s="4"/>
    </row>
    <row r="16164" spans="16:16" x14ac:dyDescent="0.25">
      <c r="P16164" s="4"/>
    </row>
    <row r="16165" spans="16:16" x14ac:dyDescent="0.25">
      <c r="P16165" s="4"/>
    </row>
    <row r="16166" spans="16:16" x14ac:dyDescent="0.25">
      <c r="P16166" s="4"/>
    </row>
    <row r="16167" spans="16:16" x14ac:dyDescent="0.25">
      <c r="P16167" s="4"/>
    </row>
    <row r="16168" spans="16:16" x14ac:dyDescent="0.25">
      <c r="P16168" s="4"/>
    </row>
    <row r="16169" spans="16:16" x14ac:dyDescent="0.25">
      <c r="P16169" s="4"/>
    </row>
    <row r="16170" spans="16:16" x14ac:dyDescent="0.25">
      <c r="P16170" s="4"/>
    </row>
    <row r="16171" spans="16:16" x14ac:dyDescent="0.25">
      <c r="P16171" s="4"/>
    </row>
    <row r="16172" spans="16:16" x14ac:dyDescent="0.25">
      <c r="P16172" s="4"/>
    </row>
    <row r="16173" spans="16:16" x14ac:dyDescent="0.25">
      <c r="P16173" s="4"/>
    </row>
    <row r="16174" spans="16:16" x14ac:dyDescent="0.25">
      <c r="P16174" s="4"/>
    </row>
    <row r="16175" spans="16:16" x14ac:dyDescent="0.25">
      <c r="P16175" s="4"/>
    </row>
    <row r="16176" spans="16:16" x14ac:dyDescent="0.25">
      <c r="P16176" s="4"/>
    </row>
    <row r="16177" spans="16:16" x14ac:dyDescent="0.25">
      <c r="P16177" s="4"/>
    </row>
    <row r="16178" spans="16:16" x14ac:dyDescent="0.25">
      <c r="P16178" s="4"/>
    </row>
    <row r="16179" spans="16:16" x14ac:dyDescent="0.25">
      <c r="P16179" s="4"/>
    </row>
    <row r="16180" spans="16:16" x14ac:dyDescent="0.25">
      <c r="P16180" s="4"/>
    </row>
    <row r="16181" spans="16:16" x14ac:dyDescent="0.25">
      <c r="P16181" s="4"/>
    </row>
    <row r="16182" spans="16:16" x14ac:dyDescent="0.25">
      <c r="P16182" s="4"/>
    </row>
    <row r="16183" spans="16:16" x14ac:dyDescent="0.25">
      <c r="P16183" s="4"/>
    </row>
    <row r="16184" spans="16:16" x14ac:dyDescent="0.25">
      <c r="P16184" s="4"/>
    </row>
    <row r="16185" spans="16:16" x14ac:dyDescent="0.25">
      <c r="P16185" s="4"/>
    </row>
    <row r="16186" spans="16:16" x14ac:dyDescent="0.25">
      <c r="P16186" s="4"/>
    </row>
    <row r="16187" spans="16:16" x14ac:dyDescent="0.25">
      <c r="P16187" s="4"/>
    </row>
    <row r="16188" spans="16:16" x14ac:dyDescent="0.25">
      <c r="P16188" s="4"/>
    </row>
    <row r="16189" spans="16:16" x14ac:dyDescent="0.25">
      <c r="P16189" s="4"/>
    </row>
    <row r="16190" spans="16:16" x14ac:dyDescent="0.25">
      <c r="P16190" s="4"/>
    </row>
    <row r="16191" spans="16:16" x14ac:dyDescent="0.25">
      <c r="P16191" s="4"/>
    </row>
    <row r="16192" spans="16:16" x14ac:dyDescent="0.25">
      <c r="P16192" s="4"/>
    </row>
    <row r="16193" spans="16:16" x14ac:dyDescent="0.25">
      <c r="P16193" s="4"/>
    </row>
    <row r="16194" spans="16:16" x14ac:dyDescent="0.25">
      <c r="P16194" s="4"/>
    </row>
    <row r="16195" spans="16:16" x14ac:dyDescent="0.25">
      <c r="P16195" s="4"/>
    </row>
    <row r="16196" spans="16:16" x14ac:dyDescent="0.25">
      <c r="P16196" s="4"/>
    </row>
    <row r="16197" spans="16:16" x14ac:dyDescent="0.25">
      <c r="P16197" s="4"/>
    </row>
    <row r="16198" spans="16:16" x14ac:dyDescent="0.25">
      <c r="P16198" s="4"/>
    </row>
    <row r="16199" spans="16:16" x14ac:dyDescent="0.25">
      <c r="P16199" s="4"/>
    </row>
    <row r="16200" spans="16:16" x14ac:dyDescent="0.25">
      <c r="P16200" s="4"/>
    </row>
    <row r="16201" spans="16:16" x14ac:dyDescent="0.25">
      <c r="P16201" s="4"/>
    </row>
    <row r="16202" spans="16:16" x14ac:dyDescent="0.25">
      <c r="P16202" s="4"/>
    </row>
    <row r="16203" spans="16:16" x14ac:dyDescent="0.25">
      <c r="P16203" s="4"/>
    </row>
    <row r="16204" spans="16:16" x14ac:dyDescent="0.25">
      <c r="P16204" s="4"/>
    </row>
    <row r="16205" spans="16:16" x14ac:dyDescent="0.25">
      <c r="P16205" s="4"/>
    </row>
    <row r="16206" spans="16:16" x14ac:dyDescent="0.25">
      <c r="P16206" s="4"/>
    </row>
    <row r="16207" spans="16:16" x14ac:dyDescent="0.25">
      <c r="P16207" s="4"/>
    </row>
    <row r="16208" spans="16:16" x14ac:dyDescent="0.25">
      <c r="P16208" s="4"/>
    </row>
    <row r="16209" spans="16:16" x14ac:dyDescent="0.25">
      <c r="P16209" s="4"/>
    </row>
    <row r="16210" spans="16:16" x14ac:dyDescent="0.25">
      <c r="P16210" s="4"/>
    </row>
    <row r="16211" spans="16:16" x14ac:dyDescent="0.25">
      <c r="P16211" s="4"/>
    </row>
    <row r="16212" spans="16:16" x14ac:dyDescent="0.25">
      <c r="P16212" s="4"/>
    </row>
    <row r="16213" spans="16:16" x14ac:dyDescent="0.25">
      <c r="P16213" s="4"/>
    </row>
    <row r="16214" spans="16:16" x14ac:dyDescent="0.25">
      <c r="P16214" s="4"/>
    </row>
    <row r="16215" spans="16:16" x14ac:dyDescent="0.25">
      <c r="P16215" s="4"/>
    </row>
    <row r="16216" spans="16:16" x14ac:dyDescent="0.25">
      <c r="P16216" s="4"/>
    </row>
    <row r="16217" spans="16:16" x14ac:dyDescent="0.25">
      <c r="P16217" s="4"/>
    </row>
    <row r="16218" spans="16:16" x14ac:dyDescent="0.25">
      <c r="P16218" s="4"/>
    </row>
    <row r="16219" spans="16:16" x14ac:dyDescent="0.25">
      <c r="P16219" s="4"/>
    </row>
    <row r="16220" spans="16:16" x14ac:dyDescent="0.25">
      <c r="P16220" s="4"/>
    </row>
    <row r="16221" spans="16:16" x14ac:dyDescent="0.25">
      <c r="P16221" s="4"/>
    </row>
    <row r="16222" spans="16:16" x14ac:dyDescent="0.25">
      <c r="P16222" s="4"/>
    </row>
    <row r="16223" spans="16:16" x14ac:dyDescent="0.25">
      <c r="P16223" s="4"/>
    </row>
    <row r="16224" spans="16:16" x14ac:dyDescent="0.25">
      <c r="P16224" s="4"/>
    </row>
    <row r="16225" spans="16:16" x14ac:dyDescent="0.25">
      <c r="P16225" s="4"/>
    </row>
    <row r="16226" spans="16:16" x14ac:dyDescent="0.25">
      <c r="P16226" s="4"/>
    </row>
    <row r="16227" spans="16:16" x14ac:dyDescent="0.25">
      <c r="P16227" s="4"/>
    </row>
    <row r="16228" spans="16:16" x14ac:dyDescent="0.25">
      <c r="P16228" s="4"/>
    </row>
    <row r="16229" spans="16:16" x14ac:dyDescent="0.25">
      <c r="P16229" s="4"/>
    </row>
    <row r="16230" spans="16:16" x14ac:dyDescent="0.25">
      <c r="P16230" s="4"/>
    </row>
    <row r="16231" spans="16:16" x14ac:dyDescent="0.25">
      <c r="P16231" s="4"/>
    </row>
    <row r="16232" spans="16:16" x14ac:dyDescent="0.25">
      <c r="P16232" s="4"/>
    </row>
    <row r="16233" spans="16:16" x14ac:dyDescent="0.25">
      <c r="P16233" s="4"/>
    </row>
    <row r="16234" spans="16:16" x14ac:dyDescent="0.25">
      <c r="P16234" s="4"/>
    </row>
    <row r="16235" spans="16:16" x14ac:dyDescent="0.25">
      <c r="P16235" s="4"/>
    </row>
    <row r="16236" spans="16:16" x14ac:dyDescent="0.25">
      <c r="P16236" s="4"/>
    </row>
    <row r="16237" spans="16:16" x14ac:dyDescent="0.25">
      <c r="P16237" s="4"/>
    </row>
    <row r="16238" spans="16:16" x14ac:dyDescent="0.25">
      <c r="P16238" s="4"/>
    </row>
    <row r="16239" spans="16:16" x14ac:dyDescent="0.25">
      <c r="P16239" s="4"/>
    </row>
    <row r="16240" spans="16:16" x14ac:dyDescent="0.25">
      <c r="P16240" s="4"/>
    </row>
    <row r="16241" spans="16:16" x14ac:dyDescent="0.25">
      <c r="P16241" s="4"/>
    </row>
    <row r="16242" spans="16:16" x14ac:dyDescent="0.25">
      <c r="P16242" s="4"/>
    </row>
    <row r="16243" spans="16:16" x14ac:dyDescent="0.25">
      <c r="P16243" s="4"/>
    </row>
    <row r="16244" spans="16:16" x14ac:dyDescent="0.25">
      <c r="P16244" s="4"/>
    </row>
    <row r="16245" spans="16:16" x14ac:dyDescent="0.25">
      <c r="P16245" s="4"/>
    </row>
    <row r="16246" spans="16:16" x14ac:dyDescent="0.25">
      <c r="P16246" s="4"/>
    </row>
    <row r="16247" spans="16:16" x14ac:dyDescent="0.25">
      <c r="P16247" s="4"/>
    </row>
    <row r="16248" spans="16:16" x14ac:dyDescent="0.25">
      <c r="P16248" s="4"/>
    </row>
    <row r="16249" spans="16:16" x14ac:dyDescent="0.25">
      <c r="P16249" s="4"/>
    </row>
    <row r="16250" spans="16:16" x14ac:dyDescent="0.25">
      <c r="P16250" s="4"/>
    </row>
    <row r="16251" spans="16:16" x14ac:dyDescent="0.25">
      <c r="P16251" s="4"/>
    </row>
    <row r="16252" spans="16:16" x14ac:dyDescent="0.25">
      <c r="P16252" s="4"/>
    </row>
    <row r="16253" spans="16:16" x14ac:dyDescent="0.25">
      <c r="P16253" s="4"/>
    </row>
    <row r="16254" spans="16:16" x14ac:dyDescent="0.25">
      <c r="P16254" s="4"/>
    </row>
    <row r="16255" spans="16:16" x14ac:dyDescent="0.25">
      <c r="P16255" s="4"/>
    </row>
    <row r="16256" spans="16:16" x14ac:dyDescent="0.25">
      <c r="P16256" s="4"/>
    </row>
    <row r="16257" spans="16:16" x14ac:dyDescent="0.25">
      <c r="P16257" s="4"/>
    </row>
    <row r="16258" spans="16:16" x14ac:dyDescent="0.25">
      <c r="P16258" s="4"/>
    </row>
    <row r="16259" spans="16:16" x14ac:dyDescent="0.25">
      <c r="P16259" s="4"/>
    </row>
    <row r="16260" spans="16:16" x14ac:dyDescent="0.25">
      <c r="P16260" s="4"/>
    </row>
    <row r="16261" spans="16:16" x14ac:dyDescent="0.25">
      <c r="P16261" s="4"/>
    </row>
    <row r="16262" spans="16:16" x14ac:dyDescent="0.25">
      <c r="P16262" s="4"/>
    </row>
    <row r="16263" spans="16:16" x14ac:dyDescent="0.25">
      <c r="P16263" s="4"/>
    </row>
    <row r="16264" spans="16:16" x14ac:dyDescent="0.25">
      <c r="P16264" s="4"/>
    </row>
    <row r="16265" spans="16:16" x14ac:dyDescent="0.25">
      <c r="P16265" s="4"/>
    </row>
    <row r="16266" spans="16:16" x14ac:dyDescent="0.25">
      <c r="P16266" s="4"/>
    </row>
    <row r="16267" spans="16:16" x14ac:dyDescent="0.25">
      <c r="P16267" s="4"/>
    </row>
    <row r="16268" spans="16:16" x14ac:dyDescent="0.25">
      <c r="P16268" s="4"/>
    </row>
    <row r="16269" spans="16:16" x14ac:dyDescent="0.25">
      <c r="P16269" s="4"/>
    </row>
    <row r="16270" spans="16:16" x14ac:dyDescent="0.25">
      <c r="P16270" s="4"/>
    </row>
    <row r="16271" spans="16:16" x14ac:dyDescent="0.25">
      <c r="P16271" s="4"/>
    </row>
    <row r="16272" spans="16:16" x14ac:dyDescent="0.25">
      <c r="P16272" s="4"/>
    </row>
    <row r="16273" spans="16:16" x14ac:dyDescent="0.25">
      <c r="P16273" s="4"/>
    </row>
    <row r="16274" spans="16:16" x14ac:dyDescent="0.25">
      <c r="P16274" s="4"/>
    </row>
    <row r="16275" spans="16:16" x14ac:dyDescent="0.25">
      <c r="P16275" s="4"/>
    </row>
    <row r="16276" spans="16:16" x14ac:dyDescent="0.25">
      <c r="P16276" s="4"/>
    </row>
    <row r="16277" spans="16:16" x14ac:dyDescent="0.25">
      <c r="P16277" s="4"/>
    </row>
    <row r="16278" spans="16:16" x14ac:dyDescent="0.25">
      <c r="P16278" s="4"/>
    </row>
    <row r="16279" spans="16:16" x14ac:dyDescent="0.25">
      <c r="P16279" s="4"/>
    </row>
    <row r="16280" spans="16:16" x14ac:dyDescent="0.25">
      <c r="P16280" s="4"/>
    </row>
    <row r="16281" spans="16:16" x14ac:dyDescent="0.25">
      <c r="P16281" s="4"/>
    </row>
    <row r="16282" spans="16:16" x14ac:dyDescent="0.25">
      <c r="P16282" s="4"/>
    </row>
    <row r="16283" spans="16:16" x14ac:dyDescent="0.25">
      <c r="P16283" s="4"/>
    </row>
    <row r="16284" spans="16:16" x14ac:dyDescent="0.25">
      <c r="P16284" s="4"/>
    </row>
    <row r="16285" spans="16:16" x14ac:dyDescent="0.25">
      <c r="P16285" s="4"/>
    </row>
    <row r="16286" spans="16:16" x14ac:dyDescent="0.25">
      <c r="P16286" s="4"/>
    </row>
    <row r="16287" spans="16:16" x14ac:dyDescent="0.25">
      <c r="P16287" s="4"/>
    </row>
    <row r="16288" spans="16:16" x14ac:dyDescent="0.25">
      <c r="P16288" s="4"/>
    </row>
    <row r="16289" spans="16:16" x14ac:dyDescent="0.25">
      <c r="P16289" s="4"/>
    </row>
    <row r="16290" spans="16:16" x14ac:dyDescent="0.25">
      <c r="P16290" s="4"/>
    </row>
    <row r="16291" spans="16:16" x14ac:dyDescent="0.25">
      <c r="P16291" s="4"/>
    </row>
    <row r="16292" spans="16:16" x14ac:dyDescent="0.25">
      <c r="P16292" s="4"/>
    </row>
    <row r="16293" spans="16:16" x14ac:dyDescent="0.25">
      <c r="P16293" s="4"/>
    </row>
    <row r="16294" spans="16:16" x14ac:dyDescent="0.25">
      <c r="P16294" s="4"/>
    </row>
    <row r="16295" spans="16:16" x14ac:dyDescent="0.25">
      <c r="P16295" s="4"/>
    </row>
    <row r="16296" spans="16:16" x14ac:dyDescent="0.25">
      <c r="P16296" s="4"/>
    </row>
    <row r="16297" spans="16:16" x14ac:dyDescent="0.25">
      <c r="P16297" s="4"/>
    </row>
    <row r="16298" spans="16:16" x14ac:dyDescent="0.25">
      <c r="P16298" s="4"/>
    </row>
    <row r="16299" spans="16:16" x14ac:dyDescent="0.25">
      <c r="P16299" s="4"/>
    </row>
    <row r="16300" spans="16:16" x14ac:dyDescent="0.25">
      <c r="P16300" s="4"/>
    </row>
    <row r="16301" spans="16:16" x14ac:dyDescent="0.25">
      <c r="P16301" s="4"/>
    </row>
    <row r="16302" spans="16:16" x14ac:dyDescent="0.25">
      <c r="P16302" s="4"/>
    </row>
    <row r="16303" spans="16:16" x14ac:dyDescent="0.25">
      <c r="P16303" s="4"/>
    </row>
    <row r="16304" spans="16:16" x14ac:dyDescent="0.25">
      <c r="P16304" s="4"/>
    </row>
    <row r="16305" spans="16:16" x14ac:dyDescent="0.25">
      <c r="P16305" s="4"/>
    </row>
    <row r="16306" spans="16:16" x14ac:dyDescent="0.25">
      <c r="P16306" s="4"/>
    </row>
    <row r="16307" spans="16:16" x14ac:dyDescent="0.25">
      <c r="P16307" s="4"/>
    </row>
    <row r="16308" spans="16:16" x14ac:dyDescent="0.25">
      <c r="P16308" s="4"/>
    </row>
    <row r="16309" spans="16:16" x14ac:dyDescent="0.25">
      <c r="P16309" s="4"/>
    </row>
    <row r="16310" spans="16:16" x14ac:dyDescent="0.25">
      <c r="P16310" s="4"/>
    </row>
    <row r="16311" spans="16:16" x14ac:dyDescent="0.25">
      <c r="P16311" s="4"/>
    </row>
    <row r="16312" spans="16:16" x14ac:dyDescent="0.25">
      <c r="P16312" s="4"/>
    </row>
    <row r="16313" spans="16:16" x14ac:dyDescent="0.25">
      <c r="P16313" s="4"/>
    </row>
    <row r="16314" spans="16:16" x14ac:dyDescent="0.25">
      <c r="P16314" s="4"/>
    </row>
    <row r="16315" spans="16:16" x14ac:dyDescent="0.25">
      <c r="P16315" s="4"/>
    </row>
    <row r="16316" spans="16:16" x14ac:dyDescent="0.25">
      <c r="P16316" s="4"/>
    </row>
    <row r="16317" spans="16:16" x14ac:dyDescent="0.25">
      <c r="P16317" s="4"/>
    </row>
    <row r="16318" spans="16:16" x14ac:dyDescent="0.25">
      <c r="P16318" s="4"/>
    </row>
    <row r="16319" spans="16:16" x14ac:dyDescent="0.25">
      <c r="P16319" s="4"/>
    </row>
    <row r="16320" spans="16:16" x14ac:dyDescent="0.25">
      <c r="P16320" s="4"/>
    </row>
    <row r="16321" spans="16:16" x14ac:dyDescent="0.25">
      <c r="P16321" s="4"/>
    </row>
    <row r="16322" spans="16:16" x14ac:dyDescent="0.25">
      <c r="P16322" s="4"/>
    </row>
    <row r="16323" spans="16:16" x14ac:dyDescent="0.25">
      <c r="P16323" s="4"/>
    </row>
    <row r="16324" spans="16:16" x14ac:dyDescent="0.25">
      <c r="P16324" s="4"/>
    </row>
    <row r="16325" spans="16:16" x14ac:dyDescent="0.25">
      <c r="P16325" s="4"/>
    </row>
    <row r="16326" spans="16:16" x14ac:dyDescent="0.25">
      <c r="P16326" s="4"/>
    </row>
    <row r="16327" spans="16:16" x14ac:dyDescent="0.25">
      <c r="P16327" s="4"/>
    </row>
    <row r="16328" spans="16:16" x14ac:dyDescent="0.25">
      <c r="P16328" s="4"/>
    </row>
    <row r="16329" spans="16:16" x14ac:dyDescent="0.25">
      <c r="P16329" s="4"/>
    </row>
    <row r="16330" spans="16:16" x14ac:dyDescent="0.25">
      <c r="P16330" s="4"/>
    </row>
    <row r="16331" spans="16:16" x14ac:dyDescent="0.25">
      <c r="P16331" s="4"/>
    </row>
    <row r="16332" spans="16:16" x14ac:dyDescent="0.25">
      <c r="P16332" s="4"/>
    </row>
    <row r="16333" spans="16:16" x14ac:dyDescent="0.25">
      <c r="P16333" s="4"/>
    </row>
    <row r="16334" spans="16:16" x14ac:dyDescent="0.25">
      <c r="P16334" s="4"/>
    </row>
    <row r="16335" spans="16:16" x14ac:dyDescent="0.25">
      <c r="P16335" s="4"/>
    </row>
    <row r="16336" spans="16:16" x14ac:dyDescent="0.25">
      <c r="P16336" s="4"/>
    </row>
    <row r="16337" spans="16:16" x14ac:dyDescent="0.25">
      <c r="P16337" s="4"/>
    </row>
    <row r="16338" spans="16:16" x14ac:dyDescent="0.25">
      <c r="P16338" s="4"/>
    </row>
    <row r="16339" spans="16:16" x14ac:dyDescent="0.25">
      <c r="P16339" s="4"/>
    </row>
    <row r="16340" spans="16:16" x14ac:dyDescent="0.25">
      <c r="P16340" s="4"/>
    </row>
    <row r="16341" spans="16:16" x14ac:dyDescent="0.25">
      <c r="P16341" s="4"/>
    </row>
    <row r="16342" spans="16:16" x14ac:dyDescent="0.25">
      <c r="P16342" s="4"/>
    </row>
    <row r="16343" spans="16:16" x14ac:dyDescent="0.25">
      <c r="P16343" s="4"/>
    </row>
    <row r="16344" spans="16:16" x14ac:dyDescent="0.25">
      <c r="P16344" s="4"/>
    </row>
    <row r="16345" spans="16:16" x14ac:dyDescent="0.25">
      <c r="P16345" s="4"/>
    </row>
    <row r="16346" spans="16:16" x14ac:dyDescent="0.25">
      <c r="P16346" s="4"/>
    </row>
    <row r="16347" spans="16:16" x14ac:dyDescent="0.25">
      <c r="P16347" s="4"/>
    </row>
    <row r="16348" spans="16:16" x14ac:dyDescent="0.25">
      <c r="P16348" s="4"/>
    </row>
    <row r="16349" spans="16:16" x14ac:dyDescent="0.25">
      <c r="P16349" s="4"/>
    </row>
    <row r="16350" spans="16:16" x14ac:dyDescent="0.25">
      <c r="P16350" s="4"/>
    </row>
    <row r="16351" spans="16:16" x14ac:dyDescent="0.25">
      <c r="P16351" s="4"/>
    </row>
    <row r="16352" spans="16:16" x14ac:dyDescent="0.25">
      <c r="P16352" s="4"/>
    </row>
    <row r="16353" spans="16:16" x14ac:dyDescent="0.25">
      <c r="P16353" s="4"/>
    </row>
    <row r="16354" spans="16:16" x14ac:dyDescent="0.25">
      <c r="P16354" s="4"/>
    </row>
    <row r="16355" spans="16:16" x14ac:dyDescent="0.25">
      <c r="P16355" s="4"/>
    </row>
    <row r="16356" spans="16:16" x14ac:dyDescent="0.25">
      <c r="P16356" s="4"/>
    </row>
    <row r="16357" spans="16:16" x14ac:dyDescent="0.25">
      <c r="P16357" s="4"/>
    </row>
    <row r="16358" spans="16:16" x14ac:dyDescent="0.25">
      <c r="P16358" s="4"/>
    </row>
    <row r="16359" spans="16:16" x14ac:dyDescent="0.25">
      <c r="P16359" s="4"/>
    </row>
    <row r="16360" spans="16:16" x14ac:dyDescent="0.25">
      <c r="P16360" s="4"/>
    </row>
    <row r="16361" spans="16:16" x14ac:dyDescent="0.25">
      <c r="P16361" s="4"/>
    </row>
    <row r="16362" spans="16:16" x14ac:dyDescent="0.25">
      <c r="P16362" s="4"/>
    </row>
    <row r="16363" spans="16:16" x14ac:dyDescent="0.25">
      <c r="P16363" s="4"/>
    </row>
    <row r="16364" spans="16:16" x14ac:dyDescent="0.25">
      <c r="P16364" s="4"/>
    </row>
    <row r="16365" spans="16:16" x14ac:dyDescent="0.25">
      <c r="P16365" s="4"/>
    </row>
    <row r="16366" spans="16:16" x14ac:dyDescent="0.25">
      <c r="P16366" s="4"/>
    </row>
    <row r="16367" spans="16:16" x14ac:dyDescent="0.25">
      <c r="P16367" s="4"/>
    </row>
    <row r="16368" spans="16:16" x14ac:dyDescent="0.25">
      <c r="P16368" s="4"/>
    </row>
    <row r="16369" spans="16:16" x14ac:dyDescent="0.25">
      <c r="P16369" s="4"/>
    </row>
    <row r="16370" spans="16:16" x14ac:dyDescent="0.25">
      <c r="P16370" s="4"/>
    </row>
    <row r="16371" spans="16:16" x14ac:dyDescent="0.25">
      <c r="P16371" s="4"/>
    </row>
    <row r="16372" spans="16:16" x14ac:dyDescent="0.25">
      <c r="P16372" s="4"/>
    </row>
    <row r="16373" spans="16:16" x14ac:dyDescent="0.25">
      <c r="P16373" s="4"/>
    </row>
    <row r="16374" spans="16:16" x14ac:dyDescent="0.25">
      <c r="P16374" s="4"/>
    </row>
    <row r="16375" spans="16:16" x14ac:dyDescent="0.25">
      <c r="P16375" s="4"/>
    </row>
    <row r="16376" spans="16:16" x14ac:dyDescent="0.25">
      <c r="P16376" s="4"/>
    </row>
    <row r="16377" spans="16:16" x14ac:dyDescent="0.25">
      <c r="P16377" s="4"/>
    </row>
    <row r="16378" spans="16:16" x14ac:dyDescent="0.25">
      <c r="P16378" s="4"/>
    </row>
    <row r="16379" spans="16:16" x14ac:dyDescent="0.25">
      <c r="P16379" s="4"/>
    </row>
    <row r="16380" spans="16:16" x14ac:dyDescent="0.25">
      <c r="P16380" s="4"/>
    </row>
    <row r="16381" spans="16:16" x14ac:dyDescent="0.25">
      <c r="P16381" s="4"/>
    </row>
    <row r="16382" spans="16:16" x14ac:dyDescent="0.25">
      <c r="P16382" s="4"/>
    </row>
    <row r="16383" spans="16:16" x14ac:dyDescent="0.25">
      <c r="P16383" s="4"/>
    </row>
    <row r="16384" spans="16:16" x14ac:dyDescent="0.25">
      <c r="P16384" s="4"/>
    </row>
    <row r="16385" spans="16:16" x14ac:dyDescent="0.25">
      <c r="P16385" s="4"/>
    </row>
  </sheetData>
  <autoFilter ref="J3:P151" xr:uid="{0572FF16-0273-42FC-AF68-BF9290093588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433B644-D1DA-415F-BA5E-792E23E1BD4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Project Status</vt:lpstr>
      <vt:lpstr>Bulk Doc Upload UI</vt:lpstr>
      <vt:lpstr>Unique Fields</vt:lpstr>
      <vt:lpstr>Property_Type</vt:lpstr>
      <vt:lpstr>Output_Type</vt:lpstr>
      <vt:lpstr>Keywords_Mapping</vt:lpstr>
      <vt:lpstr>Sheet2</vt:lpstr>
      <vt:lpstr>Questions</vt:lpstr>
      <vt:lpstr>Process Flow Chart</vt:lpstr>
      <vt:lpstr>Lease Review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Neha Gupta</dc:creator>
  <cp:lastModifiedBy>Achintya Rai</cp:lastModifiedBy>
  <dcterms:created xsi:type="dcterms:W3CDTF">2026-02-12T06:34:36Z</dcterms:created>
  <dcterms:modified xsi:type="dcterms:W3CDTF">2026-04-18T09:40:56Z</dcterms:modified>
</cp:coreProperties>
</file>